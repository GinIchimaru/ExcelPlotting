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ml.chartshapes+xml"/>
  <Override PartName="/xl/charts/chart3.xml" ContentType="application/vnd.openxmlformats-officedocument.drawingml.chart+xml"/>
  <Override PartName="/xl/drawings/drawing3.xml" ContentType="application/vnd.openxmlformats-officedocument.drawingml.chartshapes+xml"/>
  <Override PartName="/xl/charts/chart4.xml" ContentType="application/vnd.openxmlformats-officedocument.drawingml.chart+xml"/>
  <Override PartName="/xl/drawings/drawing4.xml" ContentType="application/vnd.openxmlformats-officedocument.drawingml.chartshapes+xml"/>
  <Override PartName="/xl/charts/chart5.xml" ContentType="application/vnd.openxmlformats-officedocument.drawingml.chart+xml"/>
  <Override PartName="/xl/drawings/drawing5.xml" ContentType="application/vnd.openxmlformats-officedocument.drawingml.chartshapes+xml"/>
  <Override PartName="/xl/charts/chart6.xml" ContentType="application/vnd.openxmlformats-officedocument.drawingml.chart+xml"/>
  <Override PartName="/xl/charts/chart7.xml" ContentType="application/vnd.openxmlformats-officedocument.drawingml.chart+xml"/>
  <Override PartName="/xl/drawings/drawing6.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drawings/drawing7.xml" ContentType="application/vnd.openxmlformats-officedocument.drawingml.chartshapes+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drawings/drawing8.xml" ContentType="application/vnd.openxmlformats-officedocument.drawingml.chartshapes+xml"/>
  <Override PartName="/xl/drawings/drawing9.xml" ContentType="application/vnd.openxmlformats-officedocument.drawing+xml"/>
  <Override PartName="/xl/queryTables/queryTable1.xml" ContentType="application/vnd.openxmlformats-officedocument.spreadsheetml.queryTable+xml"/>
  <Override PartName="/xl/charts/chart17.xml" ContentType="application/vnd.openxmlformats-officedocument.drawingml.chart+xml"/>
  <Override PartName="/xl/queryTables/queryTable2.xml" ContentType="application/vnd.openxmlformats-officedocument.spreadsheetml.queryTable+xml"/>
  <Override PartName="/xl/drawings/drawing10.xml" ContentType="application/vnd.openxmlformats-officedocument.drawing+xml"/>
  <Override PartName="/xl/comments2.xml" ContentType="application/vnd.openxmlformats-officedocument.spreadsheetml.comments+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11.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130" codeName="{85106AD5-7665-2F1B-BB0A-E31DD656B090}"/>
  <workbookPr codeName="ThisWorkbook"/>
  <mc:AlternateContent xmlns:mc="http://schemas.openxmlformats.org/markup-compatibility/2006">
    <mc:Choice Requires="x15">
      <x15ac:absPath xmlns:x15ac="http://schemas.microsoft.com/office/spreadsheetml/2010/11/ac" url="C:\Users\Gin\Desktop\VBA\Kodovi\7. Time Series\3. Charts\"/>
    </mc:Choice>
  </mc:AlternateContent>
  <xr:revisionPtr revIDLastSave="0" documentId="13_ncr:1_{F8D40311-539B-4878-9A53-689539D3D87A}" xr6:coauthVersionLast="45" xr6:coauthVersionMax="45" xr10:uidLastSave="{00000000-0000-0000-0000-000000000000}"/>
  <bookViews>
    <workbookView xWindow="-120" yWindow="-120" windowWidth="20730" windowHeight="11160" xr2:uid="{00000000-000D-0000-FFFF-FFFF00000000}"/>
  </bookViews>
  <sheets>
    <sheet name="Tutorial" sheetId="1" r:id="rId1"/>
    <sheet name="DATA" sheetId="2" r:id="rId2"/>
    <sheet name="colors short" sheetId="3" r:id="rId3"/>
    <sheet name="colors large" sheetId="6" r:id="rId4"/>
    <sheet name="Cols to choose for tutorial" sheetId="4" r:id="rId5"/>
    <sheet name="ToDo" sheetId="5" r:id="rId6"/>
  </sheets>
  <externalReferences>
    <externalReference r:id="rId7"/>
  </externalReferences>
  <definedNames>
    <definedName name="_xlnm._FilterDatabase" localSheetId="3" hidden="1">'colors large'!$A$1:$I$611</definedName>
    <definedName name="_xlnm._FilterDatabase" localSheetId="2" hidden="1">'colors short'!$A$2:$M$192</definedName>
    <definedName name="_xlnm._FilterDatabase" localSheetId="4" hidden="1">'Cols to choose for tutorial'!$H$2:$M$2</definedName>
    <definedName name="colors" localSheetId="3">'colors large'!$A$1:$G$573</definedName>
    <definedName name="colourspace" localSheetId="2">'colors short'!$B$2:$L$1484</definedName>
    <definedName name="confidence_bix_X">DATA!$H$4:$H$137</definedName>
    <definedName name="Confidence_Bounds">Tutorial!$C$195:$J$205</definedName>
    <definedName name="Confidence_data">DATA!$I$4:$T$137</definedName>
    <definedName name="Confidence_X">Tutorial!$B$195:$B$205</definedName>
    <definedName name="_xlnm.Print_Area" localSheetId="0">Tutorial!$A$1:$L$524</definedName>
    <definedName name="x">Tutorial!$B$25:$B$34</definedName>
    <definedName name="y">Tutorial!$C$25:$C$34</definedName>
    <definedName name="y_1">Tutorial!$B$144:$B$153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4" i="6" l="1"/>
  <c r="B494" i="1"/>
  <c r="G23" i="1"/>
  <c r="B310" i="1"/>
  <c r="B350" i="1"/>
  <c r="B330" i="1"/>
  <c r="B6" i="1"/>
  <c r="C88" i="1"/>
  <c r="C2517" i="2" l="1"/>
  <c r="C2516" i="2"/>
  <c r="C2515" i="2"/>
  <c r="C2514" i="2"/>
  <c r="C2513" i="2"/>
  <c r="C2512" i="2"/>
  <c r="C2511" i="2"/>
  <c r="C2510" i="2"/>
  <c r="C2509" i="2"/>
  <c r="C2508" i="2"/>
  <c r="C2507" i="2"/>
  <c r="C2506" i="2"/>
  <c r="C2505" i="2"/>
  <c r="C2504" i="2"/>
  <c r="C2503" i="2"/>
  <c r="C2502" i="2"/>
  <c r="C2501" i="2"/>
  <c r="C2500" i="2"/>
  <c r="C2499" i="2"/>
  <c r="C2498" i="2"/>
  <c r="C2497" i="2"/>
  <c r="C2496" i="2"/>
  <c r="C2495" i="2"/>
  <c r="C2494" i="2"/>
  <c r="C2493" i="2"/>
  <c r="C2492" i="2"/>
  <c r="C2491" i="2"/>
  <c r="C2490" i="2"/>
  <c r="C2489" i="2"/>
  <c r="C2488" i="2"/>
  <c r="C2487" i="2"/>
  <c r="C2486" i="2"/>
  <c r="C2485" i="2"/>
  <c r="C2484" i="2"/>
  <c r="C2483" i="2"/>
  <c r="C2482" i="2"/>
  <c r="C2481" i="2"/>
  <c r="C2480" i="2"/>
  <c r="C2479" i="2"/>
  <c r="C2478" i="2"/>
  <c r="C2477" i="2"/>
  <c r="C2476" i="2"/>
  <c r="C2475" i="2"/>
  <c r="C2474" i="2"/>
  <c r="C2473" i="2"/>
  <c r="C2472" i="2"/>
  <c r="C2471" i="2"/>
  <c r="C2470" i="2"/>
  <c r="C2469" i="2"/>
  <c r="C2468" i="2"/>
  <c r="C2467" i="2"/>
  <c r="C2466" i="2"/>
  <c r="C2465" i="2"/>
  <c r="C2464" i="2"/>
  <c r="C2463" i="2"/>
  <c r="C2462" i="2"/>
  <c r="C2461" i="2"/>
  <c r="C2460" i="2"/>
  <c r="C2459" i="2"/>
  <c r="C2458" i="2"/>
  <c r="C2457" i="2"/>
  <c r="C2456" i="2"/>
  <c r="C2455" i="2"/>
  <c r="C2454" i="2"/>
  <c r="C2453" i="2"/>
  <c r="C2452" i="2"/>
  <c r="C2451" i="2"/>
  <c r="C2450" i="2"/>
  <c r="C2449" i="2"/>
  <c r="C2448" i="2"/>
  <c r="C2447" i="2"/>
  <c r="C2446" i="2"/>
  <c r="C2445" i="2"/>
  <c r="C2444" i="2"/>
  <c r="C2443" i="2"/>
  <c r="C2442" i="2"/>
  <c r="C2441" i="2"/>
  <c r="C2440" i="2"/>
  <c r="C2439" i="2"/>
  <c r="C2438" i="2"/>
  <c r="C2437" i="2"/>
  <c r="C2436" i="2"/>
  <c r="C2435" i="2"/>
  <c r="C2434" i="2"/>
  <c r="C2433" i="2"/>
  <c r="C2432" i="2"/>
  <c r="C2431" i="2"/>
  <c r="C2430" i="2"/>
  <c r="C2429" i="2"/>
  <c r="C2428" i="2"/>
  <c r="C2427" i="2"/>
  <c r="C2426" i="2"/>
  <c r="C2425" i="2"/>
  <c r="C2424" i="2"/>
  <c r="C2423" i="2"/>
  <c r="C2422" i="2"/>
  <c r="C2421" i="2"/>
  <c r="C2420" i="2"/>
  <c r="C2419" i="2"/>
  <c r="C2418" i="2"/>
  <c r="C2417" i="2"/>
  <c r="C2416" i="2"/>
  <c r="C2415" i="2"/>
  <c r="C2414" i="2"/>
  <c r="C2413" i="2"/>
  <c r="C2412" i="2"/>
  <c r="C2411" i="2"/>
  <c r="C2410" i="2"/>
  <c r="C2409" i="2"/>
  <c r="C2408" i="2"/>
  <c r="C2407" i="2"/>
  <c r="C2406" i="2"/>
  <c r="C2405" i="2"/>
  <c r="C2404" i="2"/>
  <c r="C2403" i="2"/>
  <c r="C2402" i="2"/>
  <c r="C2401" i="2"/>
  <c r="C2400" i="2"/>
  <c r="C2399" i="2"/>
  <c r="C2398" i="2"/>
  <c r="C2397" i="2"/>
  <c r="C2396" i="2"/>
  <c r="C2395" i="2"/>
  <c r="C2394" i="2"/>
  <c r="C2393" i="2"/>
  <c r="C2392" i="2"/>
  <c r="C2391" i="2"/>
  <c r="C2390" i="2"/>
  <c r="C2389" i="2"/>
  <c r="C2388" i="2"/>
  <c r="C2387" i="2"/>
  <c r="C2386" i="2"/>
  <c r="C2385" i="2"/>
  <c r="C2384" i="2"/>
  <c r="C2383" i="2"/>
  <c r="C2382" i="2"/>
  <c r="C2381" i="2"/>
  <c r="C2380" i="2"/>
  <c r="C2379" i="2"/>
  <c r="C2378" i="2"/>
  <c r="C2377" i="2"/>
  <c r="C2376" i="2"/>
  <c r="C2375" i="2"/>
  <c r="C2374" i="2"/>
  <c r="C2373" i="2"/>
  <c r="C2372" i="2"/>
  <c r="C2371" i="2"/>
  <c r="C2370" i="2"/>
  <c r="C2369" i="2"/>
  <c r="C2368" i="2"/>
  <c r="C2367" i="2"/>
  <c r="C2366" i="2"/>
  <c r="C2365" i="2"/>
  <c r="C2364" i="2"/>
  <c r="C2363" i="2"/>
  <c r="C2362" i="2"/>
  <c r="C2361" i="2"/>
  <c r="C2360" i="2"/>
  <c r="C2359" i="2"/>
  <c r="C2358" i="2"/>
  <c r="C2357" i="2"/>
  <c r="C2356" i="2"/>
  <c r="C2355" i="2"/>
  <c r="C2354" i="2"/>
  <c r="C2353" i="2"/>
  <c r="C2352" i="2"/>
  <c r="C2351" i="2"/>
  <c r="C2350" i="2"/>
  <c r="C2349" i="2"/>
  <c r="C2348" i="2"/>
  <c r="C2347" i="2"/>
  <c r="C2346" i="2"/>
  <c r="C2345" i="2"/>
  <c r="C2344" i="2"/>
  <c r="C2343" i="2"/>
  <c r="C2342" i="2"/>
  <c r="C2341" i="2"/>
  <c r="C2340" i="2"/>
  <c r="C2339" i="2"/>
  <c r="C2338" i="2"/>
  <c r="C2337" i="2"/>
  <c r="C2336" i="2"/>
  <c r="C2335" i="2"/>
  <c r="C2334" i="2"/>
  <c r="C2333" i="2"/>
  <c r="C2332" i="2"/>
  <c r="C2331" i="2"/>
  <c r="C2330" i="2"/>
  <c r="C2329" i="2"/>
  <c r="C2328" i="2"/>
  <c r="C2327" i="2"/>
  <c r="C2326" i="2"/>
  <c r="C2325" i="2"/>
  <c r="C2324" i="2"/>
  <c r="C2323" i="2"/>
  <c r="C2322" i="2"/>
  <c r="C2321" i="2"/>
  <c r="C2320" i="2"/>
  <c r="C2319" i="2"/>
  <c r="C2318" i="2"/>
  <c r="C2317" i="2"/>
  <c r="C2316" i="2"/>
  <c r="C2315" i="2"/>
  <c r="C2314" i="2"/>
  <c r="C2313" i="2"/>
  <c r="C2312" i="2"/>
  <c r="C2311" i="2"/>
  <c r="C2310" i="2"/>
  <c r="C2309" i="2"/>
  <c r="C2308" i="2"/>
  <c r="C2307" i="2"/>
  <c r="C2306" i="2"/>
  <c r="C2305" i="2"/>
  <c r="C2304" i="2"/>
  <c r="C2303" i="2"/>
  <c r="C2302" i="2"/>
  <c r="C2301" i="2"/>
  <c r="C2300" i="2"/>
  <c r="C2299" i="2"/>
  <c r="C2298" i="2"/>
  <c r="C2297" i="2"/>
  <c r="C2296" i="2"/>
  <c r="C2295" i="2"/>
  <c r="C2294" i="2"/>
  <c r="C2293" i="2"/>
  <c r="C2292" i="2"/>
  <c r="C2291" i="2"/>
  <c r="C2290" i="2"/>
  <c r="C2289" i="2"/>
  <c r="C2288" i="2"/>
  <c r="C2287" i="2"/>
  <c r="C2286" i="2"/>
  <c r="C2285" i="2"/>
  <c r="C2284" i="2"/>
  <c r="C2283" i="2"/>
  <c r="C2282" i="2"/>
  <c r="C2281" i="2"/>
  <c r="C2280" i="2"/>
  <c r="C2279" i="2"/>
  <c r="C2278" i="2"/>
  <c r="C2277" i="2"/>
  <c r="C2276" i="2"/>
  <c r="C2275" i="2"/>
  <c r="C2274" i="2"/>
  <c r="C2273" i="2"/>
  <c r="C2272" i="2"/>
  <c r="C2271" i="2"/>
  <c r="C2270" i="2"/>
  <c r="C2269" i="2"/>
  <c r="C2268" i="2"/>
  <c r="C2267" i="2"/>
  <c r="C2266" i="2"/>
  <c r="C2265" i="2"/>
  <c r="C2264" i="2"/>
  <c r="C2263" i="2"/>
  <c r="C2262" i="2"/>
  <c r="C2261" i="2"/>
  <c r="C2260" i="2"/>
  <c r="C2259" i="2"/>
  <c r="C2258" i="2"/>
  <c r="C2257" i="2"/>
  <c r="C2256" i="2"/>
  <c r="C2255" i="2"/>
  <c r="C2254" i="2"/>
  <c r="C2253" i="2"/>
  <c r="C2252" i="2"/>
  <c r="C2251" i="2"/>
  <c r="C2250" i="2"/>
  <c r="C2249" i="2"/>
  <c r="C2248" i="2"/>
  <c r="C2247" i="2"/>
  <c r="C2246" i="2"/>
  <c r="C2245" i="2"/>
  <c r="C2244" i="2"/>
  <c r="C2243" i="2"/>
  <c r="C2242" i="2"/>
  <c r="C2241" i="2"/>
  <c r="C2240" i="2"/>
  <c r="C2239" i="2"/>
  <c r="C2238" i="2"/>
  <c r="C2237" i="2"/>
  <c r="C2236" i="2"/>
  <c r="C2235" i="2"/>
  <c r="C2234" i="2"/>
  <c r="C2233" i="2"/>
  <c r="C2232" i="2"/>
  <c r="C2231" i="2"/>
  <c r="C2230" i="2"/>
  <c r="C2229" i="2"/>
  <c r="C2228" i="2"/>
  <c r="C2227" i="2"/>
  <c r="C2226" i="2"/>
  <c r="C2225" i="2"/>
  <c r="C2224" i="2"/>
  <c r="C2223" i="2"/>
  <c r="C2222" i="2"/>
  <c r="C2221" i="2"/>
  <c r="C2220" i="2"/>
  <c r="C2219" i="2"/>
  <c r="C2218" i="2"/>
  <c r="C2217" i="2"/>
  <c r="C2216" i="2"/>
  <c r="C2215" i="2"/>
  <c r="C2214" i="2"/>
  <c r="C2213" i="2"/>
  <c r="C2212" i="2"/>
  <c r="C2211" i="2"/>
  <c r="C2210" i="2"/>
  <c r="C2209" i="2"/>
  <c r="C2208" i="2"/>
  <c r="C2207" i="2"/>
  <c r="C2206" i="2"/>
  <c r="C2205" i="2"/>
  <c r="C2204" i="2"/>
  <c r="C2203" i="2"/>
  <c r="C2202" i="2"/>
  <c r="C2201" i="2"/>
  <c r="C2200" i="2"/>
  <c r="C2199" i="2"/>
  <c r="C2198" i="2"/>
  <c r="C2197" i="2"/>
  <c r="C2196" i="2"/>
  <c r="C2195" i="2"/>
  <c r="C2194" i="2"/>
  <c r="C2193" i="2"/>
  <c r="C2192" i="2"/>
  <c r="C2191" i="2"/>
  <c r="C2190" i="2"/>
  <c r="C2189" i="2"/>
  <c r="C2188" i="2"/>
  <c r="C2187" i="2"/>
  <c r="C2186" i="2"/>
  <c r="C2185" i="2"/>
  <c r="C2184" i="2"/>
  <c r="C2183" i="2"/>
  <c r="C2182" i="2"/>
  <c r="C2181" i="2"/>
  <c r="C2180" i="2"/>
  <c r="C2179" i="2"/>
  <c r="C2178" i="2"/>
  <c r="C2177" i="2"/>
  <c r="C2176" i="2"/>
  <c r="C2175" i="2"/>
  <c r="C2174" i="2"/>
  <c r="C2173" i="2"/>
  <c r="C2172" i="2"/>
  <c r="C2171" i="2"/>
  <c r="C2170" i="2"/>
  <c r="C2169" i="2"/>
  <c r="C2168" i="2"/>
  <c r="C2167" i="2"/>
  <c r="C2166" i="2"/>
  <c r="C2165" i="2"/>
  <c r="C2164" i="2"/>
  <c r="C2163" i="2"/>
  <c r="C2162" i="2"/>
  <c r="C2161" i="2"/>
  <c r="C2160" i="2"/>
  <c r="C2159" i="2"/>
  <c r="C2158" i="2"/>
  <c r="C2157" i="2"/>
  <c r="C2156" i="2"/>
  <c r="C2155" i="2"/>
  <c r="C2154" i="2"/>
  <c r="C2153" i="2"/>
  <c r="C2152" i="2"/>
  <c r="C2151" i="2"/>
  <c r="C2150" i="2"/>
  <c r="C2149" i="2"/>
  <c r="C2148" i="2"/>
  <c r="C2147" i="2"/>
  <c r="C2146" i="2"/>
  <c r="C2145" i="2"/>
  <c r="C2144" i="2"/>
  <c r="C2143" i="2"/>
  <c r="C2142" i="2"/>
  <c r="C2141" i="2"/>
  <c r="C2140" i="2"/>
  <c r="C2139" i="2"/>
  <c r="C2138" i="2"/>
  <c r="C2137" i="2"/>
  <c r="C2136" i="2"/>
  <c r="C2135" i="2"/>
  <c r="C2134" i="2"/>
  <c r="C2133" i="2"/>
  <c r="C2132" i="2"/>
  <c r="C2131" i="2"/>
  <c r="C2130" i="2"/>
  <c r="C2129" i="2"/>
  <c r="C2128" i="2"/>
  <c r="C2127" i="2"/>
  <c r="C2126" i="2"/>
  <c r="C2125" i="2"/>
  <c r="C2124" i="2"/>
  <c r="C2123" i="2"/>
  <c r="C2122" i="2"/>
  <c r="C2121" i="2"/>
  <c r="C2120" i="2"/>
  <c r="C2119" i="2"/>
  <c r="C2118" i="2"/>
  <c r="C2117" i="2"/>
  <c r="C2116" i="2"/>
  <c r="C2115" i="2"/>
  <c r="C2114" i="2"/>
  <c r="C2113" i="2"/>
  <c r="C2112" i="2"/>
  <c r="C2111" i="2"/>
  <c r="C2110" i="2"/>
  <c r="C2109" i="2"/>
  <c r="C2108" i="2"/>
  <c r="C2107" i="2"/>
  <c r="C2106" i="2"/>
  <c r="C2105" i="2"/>
  <c r="C2104" i="2"/>
  <c r="C2103" i="2"/>
  <c r="C2102" i="2"/>
  <c r="C2101" i="2"/>
  <c r="C2100" i="2"/>
  <c r="C2099" i="2"/>
  <c r="C2098" i="2"/>
  <c r="C2097" i="2"/>
  <c r="C2096" i="2"/>
  <c r="C2095" i="2"/>
  <c r="C2094" i="2"/>
  <c r="C2093" i="2"/>
  <c r="C2092" i="2"/>
  <c r="C2091" i="2"/>
  <c r="C2090" i="2"/>
  <c r="C2089" i="2"/>
  <c r="C2088" i="2"/>
  <c r="C2087" i="2"/>
  <c r="C2086" i="2"/>
  <c r="C2085" i="2"/>
  <c r="C2084" i="2"/>
  <c r="C2083" i="2"/>
  <c r="C2082" i="2"/>
  <c r="C2081" i="2"/>
  <c r="C2080" i="2"/>
  <c r="C2079" i="2"/>
  <c r="C2078" i="2"/>
  <c r="C2077" i="2"/>
  <c r="C2076" i="2"/>
  <c r="C2075" i="2"/>
  <c r="C2074" i="2"/>
  <c r="C2073" i="2"/>
  <c r="C2072" i="2"/>
  <c r="C2071" i="2"/>
  <c r="C2070" i="2"/>
  <c r="C2069" i="2"/>
  <c r="C2068" i="2"/>
  <c r="C2067" i="2"/>
  <c r="C2066" i="2"/>
  <c r="C2065" i="2"/>
  <c r="C2064" i="2"/>
  <c r="C2063" i="2"/>
  <c r="C2062" i="2"/>
  <c r="C2061" i="2"/>
  <c r="C2060" i="2"/>
  <c r="C2059" i="2"/>
  <c r="C2058" i="2"/>
  <c r="C2057" i="2"/>
  <c r="C2056" i="2"/>
  <c r="C2055" i="2"/>
  <c r="C2054" i="2"/>
  <c r="C2053" i="2"/>
  <c r="C2052" i="2"/>
  <c r="C2051" i="2"/>
  <c r="C2050" i="2"/>
  <c r="C2049" i="2"/>
  <c r="C2048" i="2"/>
  <c r="C2047" i="2"/>
  <c r="C2046" i="2"/>
  <c r="C2045" i="2"/>
  <c r="C2044" i="2"/>
  <c r="C2043" i="2"/>
  <c r="C2042" i="2"/>
  <c r="C2041" i="2"/>
  <c r="C2040" i="2"/>
  <c r="C2039" i="2"/>
  <c r="C2038" i="2"/>
  <c r="C2037" i="2"/>
  <c r="C2036" i="2"/>
  <c r="C2035" i="2"/>
  <c r="C2034" i="2"/>
  <c r="C2033" i="2"/>
  <c r="C2032" i="2"/>
  <c r="C2031" i="2"/>
  <c r="C2030" i="2"/>
  <c r="C2029" i="2"/>
  <c r="C2028" i="2"/>
  <c r="C2027" i="2"/>
  <c r="C2026" i="2"/>
  <c r="C2025" i="2"/>
  <c r="C2024" i="2"/>
  <c r="C2023" i="2"/>
  <c r="C2022" i="2"/>
  <c r="C2021" i="2"/>
  <c r="C2020" i="2"/>
  <c r="C2019" i="2"/>
  <c r="C2018" i="2"/>
  <c r="C2017" i="2"/>
  <c r="C2016" i="2"/>
  <c r="C2015" i="2"/>
  <c r="C2014" i="2"/>
  <c r="C2013" i="2"/>
  <c r="C2012" i="2"/>
  <c r="C2011" i="2"/>
  <c r="C2010" i="2"/>
  <c r="C2009" i="2"/>
  <c r="C2008" i="2"/>
  <c r="C2007" i="2"/>
  <c r="C2006" i="2"/>
  <c r="C2005" i="2"/>
  <c r="C2004" i="2"/>
  <c r="C2003" i="2"/>
  <c r="C2002" i="2"/>
  <c r="C2001" i="2"/>
  <c r="C2000" i="2"/>
  <c r="C1999" i="2"/>
  <c r="C1998" i="2"/>
  <c r="C1997" i="2"/>
  <c r="C1996" i="2"/>
  <c r="C1995" i="2"/>
  <c r="C1994" i="2"/>
  <c r="C1993" i="2"/>
  <c r="C1992" i="2"/>
  <c r="C1991" i="2"/>
  <c r="C1990" i="2"/>
  <c r="C1989" i="2"/>
  <c r="C1988" i="2"/>
  <c r="C1987" i="2"/>
  <c r="C1986" i="2"/>
  <c r="C1985" i="2"/>
  <c r="C1984" i="2"/>
  <c r="C1983" i="2"/>
  <c r="C1982" i="2"/>
  <c r="C1981" i="2"/>
  <c r="C1980" i="2"/>
  <c r="C1979" i="2"/>
  <c r="C1978" i="2"/>
  <c r="C1977" i="2"/>
  <c r="C1976" i="2"/>
  <c r="C1975" i="2"/>
  <c r="C1974" i="2"/>
  <c r="C1973" i="2"/>
  <c r="C1972" i="2"/>
  <c r="C1971" i="2"/>
  <c r="C1970" i="2"/>
  <c r="C1969" i="2"/>
  <c r="C1968" i="2"/>
  <c r="C1967" i="2"/>
  <c r="C1966" i="2"/>
  <c r="C1965" i="2"/>
  <c r="C1964" i="2"/>
  <c r="C1963" i="2"/>
  <c r="C1962" i="2"/>
  <c r="C1961" i="2"/>
  <c r="C1960" i="2"/>
  <c r="C1959" i="2"/>
  <c r="C1958" i="2"/>
  <c r="C1957" i="2"/>
  <c r="C1956" i="2"/>
  <c r="C1955" i="2"/>
  <c r="C1954" i="2"/>
  <c r="C1953" i="2"/>
  <c r="C1952" i="2"/>
  <c r="C1951" i="2"/>
  <c r="C1950" i="2"/>
  <c r="C1949" i="2"/>
  <c r="C1948" i="2"/>
  <c r="C1947" i="2"/>
  <c r="C1946" i="2"/>
  <c r="C1945" i="2"/>
  <c r="C1944" i="2"/>
  <c r="C1943" i="2"/>
  <c r="C1942" i="2"/>
  <c r="C1941" i="2"/>
  <c r="C1940" i="2"/>
  <c r="C1939" i="2"/>
  <c r="C1938" i="2"/>
  <c r="C1937" i="2"/>
  <c r="C1936" i="2"/>
  <c r="C1935" i="2"/>
  <c r="C1934" i="2"/>
  <c r="C1933" i="2"/>
  <c r="C1932" i="2"/>
  <c r="C1931" i="2"/>
  <c r="C1930" i="2"/>
  <c r="C1929" i="2"/>
  <c r="C1928" i="2"/>
  <c r="C1927" i="2"/>
  <c r="C1926" i="2"/>
  <c r="C1925" i="2"/>
  <c r="C1924" i="2"/>
  <c r="C1923" i="2"/>
  <c r="C1922" i="2"/>
  <c r="C1921" i="2"/>
  <c r="C1920" i="2"/>
  <c r="C1919" i="2"/>
  <c r="C1918" i="2"/>
  <c r="C1917" i="2"/>
  <c r="C1916" i="2"/>
  <c r="C1915" i="2"/>
  <c r="C1914" i="2"/>
  <c r="C1913" i="2"/>
  <c r="C1912" i="2"/>
  <c r="C1911" i="2"/>
  <c r="C1910" i="2"/>
  <c r="C1909" i="2"/>
  <c r="C1908" i="2"/>
  <c r="C1907" i="2"/>
  <c r="C1906" i="2"/>
  <c r="C1905" i="2"/>
  <c r="C1904" i="2"/>
  <c r="C1903" i="2"/>
  <c r="C1902" i="2"/>
  <c r="C1901" i="2"/>
  <c r="C1900" i="2"/>
  <c r="C1899" i="2"/>
  <c r="C1898" i="2"/>
  <c r="C1897" i="2"/>
  <c r="C1896" i="2"/>
  <c r="C1895" i="2"/>
  <c r="C1894" i="2"/>
  <c r="C1893" i="2"/>
  <c r="C1892" i="2"/>
  <c r="C1891" i="2"/>
  <c r="C1890" i="2"/>
  <c r="C1889" i="2"/>
  <c r="C1888" i="2"/>
  <c r="C1887" i="2"/>
  <c r="C1886" i="2"/>
  <c r="C1885" i="2"/>
  <c r="C1884" i="2"/>
  <c r="C1883" i="2"/>
  <c r="C1882" i="2"/>
  <c r="C1881" i="2"/>
  <c r="C1880" i="2"/>
  <c r="C1879" i="2"/>
  <c r="C1878" i="2"/>
  <c r="C1877" i="2"/>
  <c r="C1876" i="2"/>
  <c r="C1875" i="2"/>
  <c r="C1874" i="2"/>
  <c r="C1873" i="2"/>
  <c r="C1872" i="2"/>
  <c r="C1871" i="2"/>
  <c r="C1870" i="2"/>
  <c r="C1869" i="2"/>
  <c r="C1868" i="2"/>
  <c r="C1867" i="2"/>
  <c r="C1866" i="2"/>
  <c r="C1865" i="2"/>
  <c r="C1864" i="2"/>
  <c r="C1863" i="2"/>
  <c r="C1862" i="2"/>
  <c r="C1861" i="2"/>
  <c r="C1860" i="2"/>
  <c r="C1859" i="2"/>
  <c r="C1858" i="2"/>
  <c r="C1857" i="2"/>
  <c r="C1856" i="2"/>
  <c r="C1855" i="2"/>
  <c r="C1854" i="2"/>
  <c r="C1853" i="2"/>
  <c r="C1852" i="2"/>
  <c r="C1851" i="2"/>
  <c r="C1850" i="2"/>
  <c r="C1849" i="2"/>
  <c r="C1848" i="2"/>
  <c r="C1847" i="2"/>
  <c r="C1846" i="2"/>
  <c r="C1845" i="2"/>
  <c r="C1844" i="2"/>
  <c r="C1843" i="2"/>
  <c r="C1842" i="2"/>
  <c r="C1841" i="2"/>
  <c r="C1840" i="2"/>
  <c r="C1839" i="2"/>
  <c r="C1838" i="2"/>
  <c r="C1837" i="2"/>
  <c r="C1836" i="2"/>
  <c r="C1835" i="2"/>
  <c r="C1834" i="2"/>
  <c r="C1833" i="2"/>
  <c r="C1832" i="2"/>
  <c r="C1831" i="2"/>
  <c r="C1830" i="2"/>
  <c r="C1829" i="2"/>
  <c r="C1828" i="2"/>
  <c r="C1827" i="2"/>
  <c r="C1826" i="2"/>
  <c r="C1825" i="2"/>
  <c r="C1824" i="2"/>
  <c r="C1823" i="2"/>
  <c r="C1822" i="2"/>
  <c r="C1821" i="2"/>
  <c r="C1820" i="2"/>
  <c r="C1819" i="2"/>
  <c r="C1818" i="2"/>
  <c r="C1817" i="2"/>
  <c r="C1816" i="2"/>
  <c r="C1815" i="2"/>
  <c r="C1814" i="2"/>
  <c r="C1813" i="2"/>
  <c r="C1812" i="2"/>
  <c r="C1811" i="2"/>
  <c r="C1810" i="2"/>
  <c r="C1809" i="2"/>
  <c r="C1808" i="2"/>
  <c r="C1807" i="2"/>
  <c r="C1806" i="2"/>
  <c r="C1805" i="2"/>
  <c r="C1804" i="2"/>
  <c r="C1803" i="2"/>
  <c r="C1802" i="2"/>
  <c r="C1801" i="2"/>
  <c r="C1800" i="2"/>
  <c r="C1799" i="2"/>
  <c r="C1798" i="2"/>
  <c r="C1797" i="2"/>
  <c r="C1796" i="2"/>
  <c r="C1795" i="2"/>
  <c r="C1794" i="2"/>
  <c r="C1793" i="2"/>
  <c r="C1792" i="2"/>
  <c r="C1791" i="2"/>
  <c r="C1790" i="2"/>
  <c r="C1789" i="2"/>
  <c r="C1788" i="2"/>
  <c r="C1787" i="2"/>
  <c r="C1786" i="2"/>
  <c r="C1785" i="2"/>
  <c r="C1784" i="2"/>
  <c r="C1783" i="2"/>
  <c r="C1782" i="2"/>
  <c r="C1781" i="2"/>
  <c r="C1780" i="2"/>
  <c r="C1779" i="2"/>
  <c r="C1778" i="2"/>
  <c r="C1777" i="2"/>
  <c r="C1776" i="2"/>
  <c r="C1775" i="2"/>
  <c r="C1774" i="2"/>
  <c r="C1773" i="2"/>
  <c r="C1772" i="2"/>
  <c r="C1771" i="2"/>
  <c r="C1770" i="2"/>
  <c r="C1769" i="2"/>
  <c r="C1768" i="2"/>
  <c r="C1767" i="2"/>
  <c r="C1766" i="2"/>
  <c r="C1765" i="2"/>
  <c r="C1764" i="2"/>
  <c r="C1763" i="2"/>
  <c r="C1762" i="2"/>
  <c r="C1761" i="2"/>
  <c r="C1760" i="2"/>
  <c r="C1759" i="2"/>
  <c r="C1758" i="2"/>
  <c r="C1757" i="2"/>
  <c r="C1756" i="2"/>
  <c r="C1755" i="2"/>
  <c r="C1754" i="2"/>
  <c r="C1753" i="2"/>
  <c r="C1752" i="2"/>
  <c r="C1751" i="2"/>
  <c r="C1750" i="2"/>
  <c r="C1749" i="2"/>
  <c r="C1748" i="2"/>
  <c r="C1747" i="2"/>
  <c r="C1746" i="2"/>
  <c r="C1745" i="2"/>
  <c r="C1744" i="2"/>
  <c r="C1743" i="2"/>
  <c r="C1742" i="2"/>
  <c r="C1741" i="2"/>
  <c r="C1740" i="2"/>
  <c r="C1739" i="2"/>
  <c r="C1738" i="2"/>
  <c r="C1737" i="2"/>
  <c r="C1736" i="2"/>
  <c r="C1735" i="2"/>
  <c r="C1734" i="2"/>
  <c r="C1733" i="2"/>
  <c r="C1732" i="2"/>
  <c r="C1731" i="2"/>
  <c r="C1730" i="2"/>
  <c r="C1729" i="2"/>
  <c r="C1728" i="2"/>
  <c r="C1727" i="2"/>
  <c r="C1726" i="2"/>
  <c r="C1725" i="2"/>
  <c r="C1724" i="2"/>
  <c r="C1723" i="2"/>
  <c r="C1722" i="2"/>
  <c r="C1721" i="2"/>
  <c r="C1720" i="2"/>
  <c r="C1719" i="2"/>
  <c r="C1718" i="2"/>
  <c r="C1717" i="2"/>
  <c r="C1716" i="2"/>
  <c r="C1715" i="2"/>
  <c r="C1714" i="2"/>
  <c r="C1713" i="2"/>
  <c r="C1712" i="2"/>
  <c r="C1711" i="2"/>
  <c r="C1710" i="2"/>
  <c r="C1709" i="2"/>
  <c r="C1708" i="2"/>
  <c r="C1707" i="2"/>
  <c r="C1706" i="2"/>
  <c r="C1705" i="2"/>
  <c r="C1704" i="2"/>
  <c r="C1703" i="2"/>
  <c r="C1702" i="2"/>
  <c r="C1701" i="2"/>
  <c r="C1700" i="2"/>
  <c r="C1699" i="2"/>
  <c r="C1698" i="2"/>
  <c r="C1697" i="2"/>
  <c r="C1696" i="2"/>
  <c r="C1695" i="2"/>
  <c r="C1694" i="2"/>
  <c r="C1693" i="2"/>
  <c r="C1692" i="2"/>
  <c r="C1691" i="2"/>
  <c r="C1690" i="2"/>
  <c r="C1689" i="2"/>
  <c r="C1688" i="2"/>
  <c r="C1687" i="2"/>
  <c r="C1686" i="2"/>
  <c r="C1685" i="2"/>
  <c r="C1684" i="2"/>
  <c r="C1683" i="2"/>
  <c r="C1682" i="2"/>
  <c r="C1681" i="2"/>
  <c r="C1680" i="2"/>
  <c r="C1679" i="2"/>
  <c r="C1678" i="2"/>
  <c r="C1677" i="2"/>
  <c r="C1676" i="2"/>
  <c r="C1675" i="2"/>
  <c r="C1674" i="2"/>
  <c r="C1673" i="2"/>
  <c r="C1672" i="2"/>
  <c r="C1671" i="2"/>
  <c r="C1670" i="2"/>
  <c r="C1669" i="2"/>
  <c r="C1668" i="2"/>
  <c r="C1667" i="2"/>
  <c r="C1666" i="2"/>
  <c r="C1665" i="2"/>
  <c r="C1664" i="2"/>
  <c r="C1663" i="2"/>
  <c r="C1662" i="2"/>
  <c r="C1661" i="2"/>
  <c r="C1660" i="2"/>
  <c r="C1659" i="2"/>
  <c r="C1658" i="2"/>
  <c r="C1657" i="2"/>
  <c r="C1656" i="2"/>
  <c r="C1655" i="2"/>
  <c r="C1654" i="2"/>
  <c r="C1653" i="2"/>
  <c r="C1652" i="2"/>
  <c r="C1651" i="2"/>
  <c r="C1650" i="2"/>
  <c r="C1649" i="2"/>
  <c r="C1648" i="2"/>
  <c r="C1647" i="2"/>
  <c r="C1646" i="2"/>
  <c r="C1645" i="2"/>
  <c r="C1644" i="2"/>
  <c r="C1643" i="2"/>
  <c r="C1642" i="2"/>
  <c r="C1641" i="2"/>
  <c r="C1640" i="2"/>
  <c r="C1639" i="2"/>
  <c r="C1638" i="2"/>
  <c r="C1637" i="2"/>
  <c r="C1636" i="2"/>
  <c r="C1635" i="2"/>
  <c r="C1634" i="2"/>
  <c r="C1633" i="2"/>
  <c r="C1632" i="2"/>
  <c r="C1631" i="2"/>
  <c r="C1630" i="2"/>
  <c r="C1629" i="2"/>
  <c r="C1628" i="2"/>
  <c r="C1627" i="2"/>
  <c r="C1626" i="2"/>
  <c r="C1625" i="2"/>
  <c r="C1624" i="2"/>
  <c r="C1623" i="2"/>
  <c r="C1622" i="2"/>
  <c r="C1621" i="2"/>
  <c r="C1620" i="2"/>
  <c r="C1619" i="2"/>
  <c r="C1618" i="2"/>
  <c r="C1617" i="2"/>
  <c r="C1616" i="2"/>
  <c r="C1615" i="2"/>
  <c r="C1614" i="2"/>
  <c r="C1613" i="2"/>
  <c r="C1612" i="2"/>
  <c r="C1611" i="2"/>
  <c r="C1610" i="2"/>
  <c r="C1609" i="2"/>
  <c r="C1608" i="2"/>
  <c r="C1607" i="2"/>
  <c r="C1606" i="2"/>
  <c r="C1605" i="2"/>
  <c r="C1604" i="2"/>
  <c r="C1603" i="2"/>
  <c r="C1602" i="2"/>
  <c r="C1601" i="2"/>
  <c r="C1600" i="2"/>
  <c r="C1599" i="2"/>
  <c r="C1598" i="2"/>
  <c r="C1597" i="2"/>
  <c r="C1596" i="2"/>
  <c r="C1595" i="2"/>
  <c r="C1594" i="2"/>
  <c r="C1593" i="2"/>
  <c r="C1592" i="2"/>
  <c r="C1591" i="2"/>
  <c r="C1590" i="2"/>
  <c r="C1589" i="2"/>
  <c r="C1588" i="2"/>
  <c r="C1587" i="2"/>
  <c r="C1586" i="2"/>
  <c r="C1585" i="2"/>
  <c r="C1584" i="2"/>
  <c r="C1583" i="2"/>
  <c r="C1582" i="2"/>
  <c r="C1581" i="2"/>
  <c r="C1580" i="2"/>
  <c r="C1579" i="2"/>
  <c r="C1578" i="2"/>
  <c r="C1577" i="2"/>
  <c r="C1576" i="2"/>
  <c r="C1575" i="2"/>
  <c r="C1574" i="2"/>
  <c r="C1573" i="2"/>
  <c r="C1572" i="2"/>
  <c r="C1571" i="2"/>
  <c r="C1570" i="2"/>
  <c r="C1569" i="2"/>
  <c r="C1568" i="2"/>
  <c r="C1567" i="2"/>
  <c r="C1566" i="2"/>
  <c r="C1565" i="2"/>
  <c r="C1564" i="2"/>
  <c r="C1563" i="2"/>
  <c r="C1562" i="2"/>
  <c r="C1561" i="2"/>
  <c r="C1560" i="2"/>
  <c r="C1559" i="2"/>
  <c r="C1558" i="2"/>
  <c r="C1557" i="2"/>
  <c r="C1556" i="2"/>
  <c r="C1555" i="2"/>
  <c r="C1554" i="2"/>
  <c r="C1553" i="2"/>
  <c r="C1552" i="2"/>
  <c r="C1551" i="2"/>
  <c r="C1550" i="2"/>
  <c r="C1549" i="2"/>
  <c r="C1548" i="2"/>
  <c r="C1547" i="2"/>
  <c r="C1546" i="2"/>
  <c r="C1545" i="2"/>
  <c r="C1544" i="2"/>
  <c r="C1543" i="2"/>
  <c r="C1542" i="2"/>
  <c r="C1541" i="2"/>
  <c r="C1540" i="2"/>
  <c r="C1539" i="2"/>
  <c r="C1538" i="2"/>
  <c r="C1537" i="2"/>
  <c r="C1536" i="2"/>
  <c r="C1535" i="2"/>
  <c r="C1534" i="2"/>
  <c r="C1533" i="2"/>
  <c r="C1532" i="2"/>
  <c r="C1531" i="2"/>
  <c r="C1530" i="2"/>
  <c r="C1529" i="2"/>
  <c r="C1528" i="2"/>
  <c r="C1527" i="2"/>
  <c r="C1526" i="2"/>
  <c r="C1525" i="2"/>
  <c r="C1524" i="2"/>
  <c r="C1523" i="2"/>
  <c r="C1522" i="2"/>
  <c r="C1521" i="2"/>
  <c r="C1520" i="2"/>
  <c r="C1519" i="2"/>
  <c r="C1518" i="2"/>
  <c r="C1517" i="2"/>
  <c r="C1516" i="2"/>
  <c r="C1515" i="2"/>
  <c r="C1514" i="2"/>
  <c r="C1513" i="2"/>
  <c r="C1512" i="2"/>
  <c r="C1511" i="2"/>
  <c r="C1510" i="2"/>
  <c r="C1509" i="2"/>
  <c r="C1508" i="2"/>
  <c r="C1507" i="2"/>
  <c r="C1506" i="2"/>
  <c r="C1505" i="2"/>
  <c r="C1504" i="2"/>
  <c r="C1503" i="2"/>
  <c r="C1502" i="2"/>
  <c r="C1501" i="2"/>
  <c r="C1500" i="2"/>
  <c r="C1499" i="2"/>
  <c r="C1498" i="2"/>
  <c r="C1497" i="2"/>
  <c r="C1496" i="2"/>
  <c r="C1495" i="2"/>
  <c r="C1494" i="2"/>
  <c r="C1493" i="2"/>
  <c r="C1492" i="2"/>
  <c r="C1491" i="2"/>
  <c r="C1490" i="2"/>
  <c r="C1489" i="2"/>
  <c r="C1488" i="2"/>
  <c r="C1487" i="2"/>
  <c r="C1486" i="2"/>
  <c r="C1485" i="2"/>
  <c r="C1484" i="2"/>
  <c r="C1483" i="2"/>
  <c r="C1482" i="2"/>
  <c r="C1481" i="2"/>
  <c r="C1480" i="2"/>
  <c r="C1479" i="2"/>
  <c r="C1478" i="2"/>
  <c r="C1477" i="2"/>
  <c r="C1476" i="2"/>
  <c r="C1475" i="2"/>
  <c r="C1474" i="2"/>
  <c r="C1473" i="2"/>
  <c r="C1472" i="2"/>
  <c r="C1471" i="2"/>
  <c r="C1470" i="2"/>
  <c r="C1469" i="2"/>
  <c r="C1468" i="2"/>
  <c r="C1467" i="2"/>
  <c r="C1466" i="2"/>
  <c r="C1465" i="2"/>
  <c r="C1464" i="2"/>
  <c r="C1463" i="2"/>
  <c r="C1462" i="2"/>
  <c r="C1461" i="2"/>
  <c r="C1460" i="2"/>
  <c r="C1459" i="2"/>
  <c r="C1458" i="2"/>
  <c r="C1457" i="2"/>
  <c r="C1456" i="2"/>
  <c r="C1455" i="2"/>
  <c r="C1454" i="2"/>
  <c r="C1453" i="2"/>
  <c r="C1452" i="2"/>
  <c r="C1451" i="2"/>
  <c r="C1450" i="2"/>
  <c r="C1449" i="2"/>
  <c r="C1448" i="2"/>
  <c r="C1447" i="2"/>
  <c r="C1446" i="2"/>
  <c r="C1445" i="2"/>
  <c r="C1444" i="2"/>
  <c r="C1443" i="2"/>
  <c r="C1442" i="2"/>
  <c r="C1441" i="2"/>
  <c r="C1440" i="2"/>
  <c r="C1439" i="2"/>
  <c r="C1438" i="2"/>
  <c r="C1437" i="2"/>
  <c r="C1436" i="2"/>
  <c r="C1435" i="2"/>
  <c r="C1434" i="2"/>
  <c r="C1433" i="2"/>
  <c r="C1432" i="2"/>
  <c r="C1431" i="2"/>
  <c r="C1430" i="2"/>
  <c r="C1429" i="2"/>
  <c r="C1428" i="2"/>
  <c r="C1427" i="2"/>
  <c r="C1426" i="2"/>
  <c r="C1425" i="2"/>
  <c r="C1424" i="2"/>
  <c r="C1423" i="2"/>
  <c r="C1422" i="2"/>
  <c r="C1421" i="2"/>
  <c r="C1420" i="2"/>
  <c r="C1419" i="2"/>
  <c r="C1418" i="2"/>
  <c r="C1417" i="2"/>
  <c r="C1416" i="2"/>
  <c r="C1415" i="2"/>
  <c r="C1414" i="2"/>
  <c r="C1413" i="2"/>
  <c r="C1412" i="2"/>
  <c r="C1411" i="2"/>
  <c r="C1410" i="2"/>
  <c r="C1409" i="2"/>
  <c r="C1408" i="2"/>
  <c r="C1407" i="2"/>
  <c r="C1406" i="2"/>
  <c r="C1405" i="2"/>
  <c r="C1404" i="2"/>
  <c r="C1403" i="2"/>
  <c r="C1402" i="2"/>
  <c r="C1401" i="2"/>
  <c r="C1400" i="2"/>
  <c r="C1399" i="2"/>
  <c r="C1398" i="2"/>
  <c r="C1397" i="2"/>
  <c r="C1396" i="2"/>
  <c r="C1395" i="2"/>
  <c r="C1394" i="2"/>
  <c r="C1393" i="2"/>
  <c r="C1392" i="2"/>
  <c r="C1391" i="2"/>
  <c r="C1390" i="2"/>
  <c r="C1389" i="2"/>
  <c r="C1388" i="2"/>
  <c r="C1387" i="2"/>
  <c r="C1386" i="2"/>
  <c r="C1385" i="2"/>
  <c r="C1384" i="2"/>
  <c r="C1383" i="2"/>
  <c r="C1382" i="2"/>
  <c r="C1381" i="2"/>
  <c r="C1380" i="2"/>
  <c r="C1379" i="2"/>
  <c r="C1378" i="2"/>
  <c r="C1377" i="2"/>
  <c r="C1376" i="2"/>
  <c r="C1375" i="2"/>
  <c r="C1374" i="2"/>
  <c r="C1373" i="2"/>
  <c r="C1372" i="2"/>
  <c r="C1371" i="2"/>
  <c r="C1370" i="2"/>
  <c r="C1369" i="2"/>
  <c r="C1368" i="2"/>
  <c r="C1367" i="2"/>
  <c r="C1366" i="2"/>
  <c r="C1365" i="2"/>
  <c r="C1364" i="2"/>
  <c r="C1363" i="2"/>
  <c r="C1362" i="2"/>
  <c r="C1361" i="2"/>
  <c r="C1360" i="2"/>
  <c r="C1359" i="2"/>
  <c r="C1358" i="2"/>
  <c r="C1357" i="2"/>
  <c r="C1356" i="2"/>
  <c r="C1355" i="2"/>
  <c r="C1354" i="2"/>
  <c r="C1353" i="2"/>
  <c r="C1352" i="2"/>
  <c r="C1351" i="2"/>
  <c r="C1350" i="2"/>
  <c r="C1349" i="2"/>
  <c r="C1348" i="2"/>
  <c r="C1347" i="2"/>
  <c r="C1346" i="2"/>
  <c r="C1345" i="2"/>
  <c r="C1344" i="2"/>
  <c r="C1343" i="2"/>
  <c r="C1342" i="2"/>
  <c r="C1341" i="2"/>
  <c r="C1340" i="2"/>
  <c r="C1339" i="2"/>
  <c r="C1338" i="2"/>
  <c r="C1337" i="2"/>
  <c r="C1336" i="2"/>
  <c r="C1335" i="2"/>
  <c r="C1334" i="2"/>
  <c r="C1333" i="2"/>
  <c r="C1332" i="2"/>
  <c r="C1331" i="2"/>
  <c r="C1330" i="2"/>
  <c r="C1329" i="2"/>
  <c r="C1328" i="2"/>
  <c r="C1327" i="2"/>
  <c r="C1326" i="2"/>
  <c r="C1325" i="2"/>
  <c r="C1324" i="2"/>
  <c r="C1323" i="2"/>
  <c r="C1322" i="2"/>
  <c r="C1321" i="2"/>
  <c r="C1320" i="2"/>
  <c r="C1319" i="2"/>
  <c r="C1318" i="2"/>
  <c r="C1317" i="2"/>
  <c r="C1316" i="2"/>
  <c r="C1315" i="2"/>
  <c r="C1314" i="2"/>
  <c r="C1313" i="2"/>
  <c r="C1312" i="2"/>
  <c r="C1311" i="2"/>
  <c r="C1310" i="2"/>
  <c r="C1309" i="2"/>
  <c r="C1308" i="2"/>
  <c r="C1307" i="2"/>
  <c r="C1306" i="2"/>
  <c r="C1305" i="2"/>
  <c r="C1304" i="2"/>
  <c r="C1303" i="2"/>
  <c r="C1302" i="2"/>
  <c r="C1301" i="2"/>
  <c r="C1300" i="2"/>
  <c r="C1299" i="2"/>
  <c r="C1298" i="2"/>
  <c r="C1297" i="2"/>
  <c r="C1296" i="2"/>
  <c r="C1295" i="2"/>
  <c r="C1294" i="2"/>
  <c r="C1293" i="2"/>
  <c r="C1292" i="2"/>
  <c r="C1291" i="2"/>
  <c r="C1290" i="2"/>
  <c r="C1289" i="2"/>
  <c r="C1288" i="2"/>
  <c r="C1287" i="2"/>
  <c r="C1286" i="2"/>
  <c r="C1285" i="2"/>
  <c r="C1284" i="2"/>
  <c r="C1283" i="2"/>
  <c r="C1282" i="2"/>
  <c r="C1281" i="2"/>
  <c r="C1280" i="2"/>
  <c r="C1279" i="2"/>
  <c r="C1278" i="2"/>
  <c r="C1277" i="2"/>
  <c r="C1276" i="2"/>
  <c r="C1275" i="2"/>
  <c r="C1274" i="2"/>
  <c r="C1273" i="2"/>
  <c r="C1272" i="2"/>
  <c r="C1271" i="2"/>
  <c r="C1270" i="2"/>
  <c r="C1269" i="2"/>
  <c r="C1268" i="2"/>
  <c r="C1267" i="2"/>
  <c r="C1266" i="2"/>
  <c r="C1265" i="2"/>
  <c r="C1264" i="2"/>
  <c r="C1263" i="2"/>
  <c r="C1262" i="2"/>
  <c r="C1261" i="2"/>
  <c r="C1260" i="2"/>
  <c r="C1259" i="2"/>
  <c r="C1258" i="2"/>
  <c r="C1257" i="2"/>
  <c r="C1256" i="2"/>
  <c r="C1255" i="2"/>
  <c r="C1254" i="2"/>
  <c r="C1253" i="2"/>
  <c r="C1252" i="2"/>
  <c r="C1251" i="2"/>
  <c r="C1250" i="2"/>
  <c r="C1249" i="2"/>
  <c r="C1248" i="2"/>
  <c r="C1247" i="2"/>
  <c r="C1246" i="2"/>
  <c r="C1245" i="2"/>
  <c r="C1244" i="2"/>
  <c r="C1243" i="2"/>
  <c r="C1242" i="2"/>
  <c r="C1241" i="2"/>
  <c r="C1240" i="2"/>
  <c r="C1239" i="2"/>
  <c r="C1238" i="2"/>
  <c r="C1237" i="2"/>
  <c r="C1236" i="2"/>
  <c r="C1235" i="2"/>
  <c r="C1234" i="2"/>
  <c r="C1233" i="2"/>
  <c r="C1232" i="2"/>
  <c r="C1231" i="2"/>
  <c r="C1230" i="2"/>
  <c r="C1229" i="2"/>
  <c r="C1228" i="2"/>
  <c r="C1227" i="2"/>
  <c r="C1226" i="2"/>
  <c r="C1225" i="2"/>
  <c r="C1224" i="2"/>
  <c r="C1223" i="2"/>
  <c r="C1222" i="2"/>
  <c r="C1221" i="2"/>
  <c r="C1220" i="2"/>
  <c r="C1219" i="2"/>
  <c r="C1218" i="2"/>
  <c r="C1217" i="2"/>
  <c r="C1216" i="2"/>
  <c r="C1215" i="2"/>
  <c r="C1214" i="2"/>
  <c r="C1213" i="2"/>
  <c r="C1212" i="2"/>
  <c r="C1211" i="2"/>
  <c r="C1210" i="2"/>
  <c r="C1209" i="2"/>
  <c r="C1208" i="2"/>
  <c r="C1207" i="2"/>
  <c r="C1206" i="2"/>
  <c r="C1205" i="2"/>
  <c r="C1204" i="2"/>
  <c r="C1203" i="2"/>
  <c r="C1202" i="2"/>
  <c r="C1201" i="2"/>
  <c r="C1200" i="2"/>
  <c r="C1199" i="2"/>
  <c r="C1198" i="2"/>
  <c r="C1197" i="2"/>
  <c r="C1196" i="2"/>
  <c r="C1195" i="2"/>
  <c r="C1194" i="2"/>
  <c r="C1193" i="2"/>
  <c r="C1192" i="2"/>
  <c r="C1191" i="2"/>
  <c r="C1190" i="2"/>
  <c r="C1189" i="2"/>
  <c r="C1188" i="2"/>
  <c r="C1187" i="2"/>
  <c r="C1186" i="2"/>
  <c r="C1185" i="2"/>
  <c r="C1184" i="2"/>
  <c r="C1183" i="2"/>
  <c r="C1182" i="2"/>
  <c r="C1181" i="2"/>
  <c r="C1180" i="2"/>
  <c r="C1179" i="2"/>
  <c r="C1178" i="2"/>
  <c r="C1177" i="2"/>
  <c r="C1176" i="2"/>
  <c r="C1175" i="2"/>
  <c r="C1174" i="2"/>
  <c r="C1173" i="2"/>
  <c r="C1172" i="2"/>
  <c r="C1171" i="2"/>
  <c r="C1170" i="2"/>
  <c r="C1169" i="2"/>
  <c r="C1168" i="2"/>
  <c r="C1167" i="2"/>
  <c r="C1166" i="2"/>
  <c r="C1165" i="2"/>
  <c r="C1164" i="2"/>
  <c r="C1163" i="2"/>
  <c r="C1162" i="2"/>
  <c r="C1161" i="2"/>
  <c r="C1160" i="2"/>
  <c r="C1159" i="2"/>
  <c r="C1158" i="2"/>
  <c r="C1157" i="2"/>
  <c r="C1156" i="2"/>
  <c r="C1155" i="2"/>
  <c r="C1154" i="2"/>
  <c r="C1153" i="2"/>
  <c r="C1152" i="2"/>
  <c r="C1151" i="2"/>
  <c r="C1150" i="2"/>
  <c r="C1149" i="2"/>
  <c r="C1148" i="2"/>
  <c r="C1147" i="2"/>
  <c r="C1146" i="2"/>
  <c r="C1145" i="2"/>
  <c r="C1144" i="2"/>
  <c r="C1143" i="2"/>
  <c r="C1142" i="2"/>
  <c r="C1141" i="2"/>
  <c r="C1140" i="2"/>
  <c r="C1139" i="2"/>
  <c r="C1138" i="2"/>
  <c r="C1137" i="2"/>
  <c r="C1136" i="2"/>
  <c r="C1135" i="2"/>
  <c r="C1134" i="2"/>
  <c r="C1133" i="2"/>
  <c r="C1132" i="2"/>
  <c r="C1131" i="2"/>
  <c r="C1130" i="2"/>
  <c r="C1129" i="2"/>
  <c r="C1128" i="2"/>
  <c r="C1127" i="2"/>
  <c r="C1126" i="2"/>
  <c r="C1125" i="2"/>
  <c r="C1124" i="2"/>
  <c r="C1123" i="2"/>
  <c r="C1122" i="2"/>
  <c r="C1121" i="2"/>
  <c r="C1120" i="2"/>
  <c r="C1119" i="2"/>
  <c r="C1118" i="2"/>
  <c r="C1117" i="2"/>
  <c r="C1116" i="2"/>
  <c r="C1115" i="2"/>
  <c r="C1114" i="2"/>
  <c r="C1113" i="2"/>
  <c r="C1112" i="2"/>
  <c r="C1111" i="2"/>
  <c r="C1110" i="2"/>
  <c r="C1109" i="2"/>
  <c r="C1108" i="2"/>
  <c r="C1107" i="2"/>
  <c r="C1106" i="2"/>
  <c r="C1105" i="2"/>
  <c r="C1104" i="2"/>
  <c r="C1103" i="2"/>
  <c r="C1102" i="2"/>
  <c r="C1101" i="2"/>
  <c r="C1100" i="2"/>
  <c r="C1099" i="2"/>
  <c r="C1098" i="2"/>
  <c r="C1097" i="2"/>
  <c r="C1096" i="2"/>
  <c r="C1095" i="2"/>
  <c r="C1094" i="2"/>
  <c r="C1093" i="2"/>
  <c r="C1092" i="2"/>
  <c r="C1091" i="2"/>
  <c r="C1090" i="2"/>
  <c r="C1089" i="2"/>
  <c r="C1088" i="2"/>
  <c r="C1087" i="2"/>
  <c r="C1086" i="2"/>
  <c r="C1085" i="2"/>
  <c r="C1084" i="2"/>
  <c r="C1083" i="2"/>
  <c r="C1082" i="2"/>
  <c r="C1081" i="2"/>
  <c r="C1080" i="2"/>
  <c r="C1079" i="2"/>
  <c r="C1078" i="2"/>
  <c r="C1077" i="2"/>
  <c r="C1076" i="2"/>
  <c r="C1075" i="2"/>
  <c r="C1074" i="2"/>
  <c r="C1073" i="2"/>
  <c r="C1072" i="2"/>
  <c r="C1071" i="2"/>
  <c r="C1070" i="2"/>
  <c r="C1069" i="2"/>
  <c r="C1068" i="2"/>
  <c r="C1067" i="2"/>
  <c r="C1066" i="2"/>
  <c r="C1065" i="2"/>
  <c r="C1064" i="2"/>
  <c r="C1063" i="2"/>
  <c r="C1062" i="2"/>
  <c r="C1061" i="2"/>
  <c r="C1060" i="2"/>
  <c r="C1059" i="2"/>
  <c r="C1058" i="2"/>
  <c r="C1057" i="2"/>
  <c r="C1056" i="2"/>
  <c r="C1055" i="2"/>
  <c r="C1054" i="2"/>
  <c r="C1053" i="2"/>
  <c r="C1052" i="2"/>
  <c r="C1051" i="2"/>
  <c r="C1050" i="2"/>
  <c r="C1049" i="2"/>
  <c r="C1048" i="2"/>
  <c r="C1047" i="2"/>
  <c r="C1046" i="2"/>
  <c r="C1045" i="2"/>
  <c r="C1044" i="2"/>
  <c r="C1043" i="2"/>
  <c r="C1042" i="2"/>
  <c r="C1041" i="2"/>
  <c r="C1040" i="2"/>
  <c r="C1039" i="2"/>
  <c r="C1038" i="2"/>
  <c r="C1037" i="2"/>
  <c r="C1036" i="2"/>
  <c r="C1035" i="2"/>
  <c r="C1034" i="2"/>
  <c r="C1033" i="2"/>
  <c r="C1032" i="2"/>
  <c r="C1031" i="2"/>
  <c r="C1030" i="2"/>
  <c r="C1029" i="2"/>
  <c r="C1028" i="2"/>
  <c r="C1027" i="2"/>
  <c r="C1026" i="2"/>
  <c r="C1025" i="2"/>
  <c r="C1024" i="2"/>
  <c r="C1023" i="2"/>
  <c r="C1022" i="2"/>
  <c r="C1021" i="2"/>
  <c r="C1020" i="2"/>
  <c r="C1019" i="2"/>
  <c r="C1018" i="2"/>
  <c r="C1017" i="2"/>
  <c r="C1016" i="2"/>
  <c r="C1015" i="2"/>
  <c r="C1014" i="2"/>
  <c r="C1013" i="2"/>
  <c r="C1012" i="2"/>
  <c r="C1011" i="2"/>
  <c r="C1010" i="2"/>
  <c r="C1009" i="2"/>
  <c r="C1008" i="2"/>
  <c r="C1007" i="2"/>
  <c r="C1006" i="2"/>
  <c r="C1005" i="2"/>
  <c r="C1004" i="2"/>
  <c r="C1003" i="2"/>
  <c r="C1002" i="2"/>
  <c r="C1001" i="2"/>
  <c r="C1000" i="2"/>
  <c r="C999" i="2"/>
  <c r="C998" i="2"/>
  <c r="C997" i="2"/>
  <c r="C996" i="2"/>
  <c r="C995" i="2"/>
  <c r="C994" i="2"/>
  <c r="C993" i="2"/>
  <c r="C992" i="2"/>
  <c r="C991" i="2"/>
  <c r="C990" i="2"/>
  <c r="C989" i="2"/>
  <c r="C988" i="2"/>
  <c r="C987" i="2"/>
  <c r="C986" i="2"/>
  <c r="C985" i="2"/>
  <c r="C984" i="2"/>
  <c r="C983" i="2"/>
  <c r="C982" i="2"/>
  <c r="C981" i="2"/>
  <c r="C980" i="2"/>
  <c r="C979" i="2"/>
  <c r="C978" i="2"/>
  <c r="C977" i="2"/>
  <c r="C976" i="2"/>
  <c r="C975" i="2"/>
  <c r="C974" i="2"/>
  <c r="C973" i="2"/>
  <c r="C972" i="2"/>
  <c r="C971" i="2"/>
  <c r="C970" i="2"/>
  <c r="C969" i="2"/>
  <c r="C968" i="2"/>
  <c r="C967" i="2"/>
  <c r="C966" i="2"/>
  <c r="C965" i="2"/>
  <c r="C964" i="2"/>
  <c r="C963" i="2"/>
  <c r="C962" i="2"/>
  <c r="C961" i="2"/>
  <c r="C960" i="2"/>
  <c r="C959" i="2"/>
  <c r="C958" i="2"/>
  <c r="C957" i="2"/>
  <c r="C956" i="2"/>
  <c r="C955" i="2"/>
  <c r="C954" i="2"/>
  <c r="C953" i="2"/>
  <c r="C952" i="2"/>
  <c r="C951" i="2"/>
  <c r="C950" i="2"/>
  <c r="C949" i="2"/>
  <c r="C948" i="2"/>
  <c r="C947" i="2"/>
  <c r="C946" i="2"/>
  <c r="C945" i="2"/>
  <c r="C944" i="2"/>
  <c r="C943" i="2"/>
  <c r="C942" i="2"/>
  <c r="C941" i="2"/>
  <c r="C940" i="2"/>
  <c r="C939" i="2"/>
  <c r="C938" i="2"/>
  <c r="C937" i="2"/>
  <c r="C936" i="2"/>
  <c r="C935" i="2"/>
  <c r="C934" i="2"/>
  <c r="C933" i="2"/>
  <c r="C932" i="2"/>
  <c r="C931" i="2"/>
  <c r="C930" i="2"/>
  <c r="C929" i="2"/>
  <c r="C928" i="2"/>
  <c r="C927" i="2"/>
  <c r="C926" i="2"/>
  <c r="C925" i="2"/>
  <c r="C924" i="2"/>
  <c r="C923" i="2"/>
  <c r="C922" i="2"/>
  <c r="C921" i="2"/>
  <c r="C920" i="2"/>
  <c r="C919" i="2"/>
  <c r="C918" i="2"/>
  <c r="C917" i="2"/>
  <c r="C916" i="2"/>
  <c r="C915" i="2"/>
  <c r="C914" i="2"/>
  <c r="C913" i="2"/>
  <c r="C912" i="2"/>
  <c r="C911" i="2"/>
  <c r="C910" i="2"/>
  <c r="C909" i="2"/>
  <c r="C908" i="2"/>
  <c r="C907" i="2"/>
  <c r="C906" i="2"/>
  <c r="C905" i="2"/>
  <c r="C904" i="2"/>
  <c r="C903" i="2"/>
  <c r="C902" i="2"/>
  <c r="C901" i="2"/>
  <c r="C900" i="2"/>
  <c r="C899" i="2"/>
  <c r="C898" i="2"/>
  <c r="C897" i="2"/>
  <c r="C896" i="2"/>
  <c r="C895" i="2"/>
  <c r="C894" i="2"/>
  <c r="C893" i="2"/>
  <c r="C892" i="2"/>
  <c r="C891" i="2"/>
  <c r="C890" i="2"/>
  <c r="C889" i="2"/>
  <c r="C888" i="2"/>
  <c r="C887" i="2"/>
  <c r="C886" i="2"/>
  <c r="C885" i="2"/>
  <c r="C884" i="2"/>
  <c r="C883" i="2"/>
  <c r="C882" i="2"/>
  <c r="C881" i="2"/>
  <c r="C880" i="2"/>
  <c r="C879" i="2"/>
  <c r="C878" i="2"/>
  <c r="C877" i="2"/>
  <c r="C876" i="2"/>
  <c r="C875" i="2"/>
  <c r="C874" i="2"/>
  <c r="C873" i="2"/>
  <c r="C872" i="2"/>
  <c r="C871" i="2"/>
  <c r="C870" i="2"/>
  <c r="C869" i="2"/>
  <c r="C868" i="2"/>
  <c r="C867" i="2"/>
  <c r="C866" i="2"/>
  <c r="C865" i="2"/>
  <c r="C864" i="2"/>
  <c r="C863" i="2"/>
  <c r="C862" i="2"/>
  <c r="C861" i="2"/>
  <c r="C860" i="2"/>
  <c r="C859" i="2"/>
  <c r="C858" i="2"/>
  <c r="C857" i="2"/>
  <c r="C856" i="2"/>
  <c r="C855" i="2"/>
  <c r="C854" i="2"/>
  <c r="C853" i="2"/>
  <c r="C852" i="2"/>
  <c r="C851" i="2"/>
  <c r="C850" i="2"/>
  <c r="C849" i="2"/>
  <c r="C848" i="2"/>
  <c r="C847" i="2"/>
  <c r="C846" i="2"/>
  <c r="C845" i="2"/>
  <c r="C844" i="2"/>
  <c r="C843" i="2"/>
  <c r="C842" i="2"/>
  <c r="C841" i="2"/>
  <c r="C840" i="2"/>
  <c r="C839" i="2"/>
  <c r="C838" i="2"/>
  <c r="C837" i="2"/>
  <c r="C836" i="2"/>
  <c r="C835" i="2"/>
  <c r="C834" i="2"/>
  <c r="C833" i="2"/>
  <c r="C832" i="2"/>
  <c r="C831" i="2"/>
  <c r="C830" i="2"/>
  <c r="C829" i="2"/>
  <c r="C828" i="2"/>
  <c r="C827" i="2"/>
  <c r="C826" i="2"/>
  <c r="C825" i="2"/>
  <c r="C824" i="2"/>
  <c r="C823" i="2"/>
  <c r="C822" i="2"/>
  <c r="C821" i="2"/>
  <c r="C820" i="2"/>
  <c r="C819" i="2"/>
  <c r="C818" i="2"/>
  <c r="C817" i="2"/>
  <c r="C816" i="2"/>
  <c r="C815" i="2"/>
  <c r="C814" i="2"/>
  <c r="C813" i="2"/>
  <c r="C812" i="2"/>
  <c r="C811" i="2"/>
  <c r="C810" i="2"/>
  <c r="C809" i="2"/>
  <c r="C808" i="2"/>
  <c r="C807" i="2"/>
  <c r="C806" i="2"/>
  <c r="C805" i="2"/>
  <c r="C804" i="2"/>
  <c r="C803" i="2"/>
  <c r="C802" i="2"/>
  <c r="C801" i="2"/>
  <c r="C800" i="2"/>
  <c r="C799" i="2"/>
  <c r="C798" i="2"/>
  <c r="C797" i="2"/>
  <c r="C796" i="2"/>
  <c r="C795" i="2"/>
  <c r="C794" i="2"/>
  <c r="C793" i="2"/>
  <c r="C792" i="2"/>
  <c r="C791" i="2"/>
  <c r="C790" i="2"/>
  <c r="C789" i="2"/>
  <c r="C788" i="2"/>
  <c r="C787" i="2"/>
  <c r="C786" i="2"/>
  <c r="C785" i="2"/>
  <c r="C784" i="2"/>
  <c r="C783" i="2"/>
  <c r="C782" i="2"/>
  <c r="C781" i="2"/>
  <c r="C780" i="2"/>
  <c r="C779" i="2"/>
  <c r="C778" i="2"/>
  <c r="C777" i="2"/>
  <c r="C776" i="2"/>
  <c r="C775" i="2"/>
  <c r="C774" i="2"/>
  <c r="C773" i="2"/>
  <c r="C772" i="2"/>
  <c r="C771" i="2"/>
  <c r="C770" i="2"/>
  <c r="C769" i="2"/>
  <c r="C768" i="2"/>
  <c r="C767" i="2"/>
  <c r="C766" i="2"/>
  <c r="C765" i="2"/>
  <c r="C764" i="2"/>
  <c r="C763" i="2"/>
  <c r="C762" i="2"/>
  <c r="C761" i="2"/>
  <c r="C760" i="2"/>
  <c r="C759" i="2"/>
  <c r="C758" i="2"/>
  <c r="C757" i="2"/>
  <c r="C756" i="2"/>
  <c r="C755" i="2"/>
  <c r="C754" i="2"/>
  <c r="C753" i="2"/>
  <c r="C752" i="2"/>
  <c r="C751" i="2"/>
  <c r="C750" i="2"/>
  <c r="C749" i="2"/>
  <c r="C748" i="2"/>
  <c r="C747" i="2"/>
  <c r="C746" i="2"/>
  <c r="C745" i="2"/>
  <c r="C744" i="2"/>
  <c r="C743" i="2"/>
  <c r="C742" i="2"/>
  <c r="C741" i="2"/>
  <c r="C740" i="2"/>
  <c r="C739" i="2"/>
  <c r="C738" i="2"/>
  <c r="C737" i="2"/>
  <c r="C736" i="2"/>
  <c r="C735" i="2"/>
  <c r="C734" i="2"/>
  <c r="C733" i="2"/>
  <c r="C732" i="2"/>
  <c r="C731" i="2"/>
  <c r="C730" i="2"/>
  <c r="C729" i="2"/>
  <c r="C728" i="2"/>
  <c r="C727" i="2"/>
  <c r="C726" i="2"/>
  <c r="C725" i="2"/>
  <c r="C724" i="2"/>
  <c r="C723" i="2"/>
  <c r="C722" i="2"/>
  <c r="C721" i="2"/>
  <c r="C720" i="2"/>
  <c r="C719" i="2"/>
  <c r="C718" i="2"/>
  <c r="C717" i="2"/>
  <c r="C716" i="2"/>
  <c r="C715" i="2"/>
  <c r="C714" i="2"/>
  <c r="C713" i="2"/>
  <c r="C712" i="2"/>
  <c r="C711" i="2"/>
  <c r="C710" i="2"/>
  <c r="C709" i="2"/>
  <c r="C708" i="2"/>
  <c r="C707" i="2"/>
  <c r="C706" i="2"/>
  <c r="C705" i="2"/>
  <c r="C704" i="2"/>
  <c r="C703" i="2"/>
  <c r="C702" i="2"/>
  <c r="C701" i="2"/>
  <c r="C700" i="2"/>
  <c r="C699" i="2"/>
  <c r="C698" i="2"/>
  <c r="C697" i="2"/>
  <c r="C696" i="2"/>
  <c r="C695" i="2"/>
  <c r="C694" i="2"/>
  <c r="C693" i="2"/>
  <c r="C692" i="2"/>
  <c r="C691" i="2"/>
  <c r="C690" i="2"/>
  <c r="C689" i="2"/>
  <c r="C688" i="2"/>
  <c r="C687" i="2"/>
  <c r="C686" i="2"/>
  <c r="C685" i="2"/>
  <c r="C684" i="2"/>
  <c r="C683" i="2"/>
  <c r="C682" i="2"/>
  <c r="C681" i="2"/>
  <c r="C680" i="2"/>
  <c r="C679" i="2"/>
  <c r="C678" i="2"/>
  <c r="C677" i="2"/>
  <c r="C676" i="2"/>
  <c r="C675" i="2"/>
  <c r="C674" i="2"/>
  <c r="C673" i="2"/>
  <c r="C672" i="2"/>
  <c r="C671" i="2"/>
  <c r="C670" i="2"/>
  <c r="C669" i="2"/>
  <c r="C668" i="2"/>
  <c r="C667" i="2"/>
  <c r="C666" i="2"/>
  <c r="C665" i="2"/>
  <c r="C664" i="2"/>
  <c r="C663" i="2"/>
  <c r="C662" i="2"/>
  <c r="C661" i="2"/>
  <c r="C660" i="2"/>
  <c r="C659" i="2"/>
  <c r="C658" i="2"/>
  <c r="C657" i="2"/>
  <c r="C656" i="2"/>
  <c r="C655" i="2"/>
  <c r="C654" i="2"/>
  <c r="C653" i="2"/>
  <c r="C652" i="2"/>
  <c r="C651" i="2"/>
  <c r="C650" i="2"/>
  <c r="C649" i="2"/>
  <c r="C648" i="2"/>
  <c r="C647" i="2"/>
  <c r="C646" i="2"/>
  <c r="C645" i="2"/>
  <c r="C644" i="2"/>
  <c r="C643" i="2"/>
  <c r="C642" i="2"/>
  <c r="C641" i="2"/>
  <c r="C640" i="2"/>
  <c r="C639" i="2"/>
  <c r="C638" i="2"/>
  <c r="C637" i="2"/>
  <c r="C636" i="2"/>
  <c r="C635" i="2"/>
  <c r="C634" i="2"/>
  <c r="C633" i="2"/>
  <c r="C632" i="2"/>
  <c r="C631" i="2"/>
  <c r="C630" i="2"/>
  <c r="C629" i="2"/>
  <c r="C628" i="2"/>
  <c r="C627" i="2"/>
  <c r="C626" i="2"/>
  <c r="C625" i="2"/>
  <c r="C624" i="2"/>
  <c r="C623" i="2"/>
  <c r="C622" i="2"/>
  <c r="C621" i="2"/>
  <c r="C620" i="2"/>
  <c r="C619" i="2"/>
  <c r="C618" i="2"/>
  <c r="C617" i="2"/>
  <c r="C616" i="2"/>
  <c r="C615" i="2"/>
  <c r="C614" i="2"/>
  <c r="C613" i="2"/>
  <c r="C612" i="2"/>
  <c r="C611" i="2"/>
  <c r="C610" i="2"/>
  <c r="C609" i="2"/>
  <c r="C608" i="2"/>
  <c r="C607" i="2"/>
  <c r="C606" i="2"/>
  <c r="C605" i="2"/>
  <c r="C604" i="2"/>
  <c r="C603" i="2"/>
  <c r="C602" i="2"/>
  <c r="C601" i="2"/>
  <c r="C600" i="2"/>
  <c r="C599" i="2"/>
  <c r="C598" i="2"/>
  <c r="C597" i="2"/>
  <c r="C596" i="2"/>
  <c r="C595" i="2"/>
  <c r="C594" i="2"/>
  <c r="C593" i="2"/>
  <c r="C592" i="2"/>
  <c r="C591" i="2"/>
  <c r="C590" i="2"/>
  <c r="C589" i="2"/>
  <c r="C588" i="2"/>
  <c r="C587" i="2"/>
  <c r="C586" i="2"/>
  <c r="C585" i="2"/>
  <c r="C584" i="2"/>
  <c r="C583" i="2"/>
  <c r="C582" i="2"/>
  <c r="C581" i="2"/>
  <c r="C580" i="2"/>
  <c r="C579" i="2"/>
  <c r="C578" i="2"/>
  <c r="C577" i="2"/>
  <c r="C576" i="2"/>
  <c r="C575" i="2"/>
  <c r="C574" i="2"/>
  <c r="C573" i="2"/>
  <c r="C572" i="2"/>
  <c r="C571" i="2"/>
  <c r="C570" i="2"/>
  <c r="C569" i="2"/>
  <c r="C568" i="2"/>
  <c r="C567" i="2"/>
  <c r="C566" i="2"/>
  <c r="C565" i="2"/>
  <c r="C564" i="2"/>
  <c r="C563" i="2"/>
  <c r="C562" i="2"/>
  <c r="C561" i="2"/>
  <c r="C560" i="2"/>
  <c r="C559" i="2"/>
  <c r="C558" i="2"/>
  <c r="C557" i="2"/>
  <c r="C556" i="2"/>
  <c r="C555" i="2"/>
  <c r="C554" i="2"/>
  <c r="C553" i="2"/>
  <c r="C552" i="2"/>
  <c r="C551" i="2"/>
  <c r="C550" i="2"/>
  <c r="C549" i="2"/>
  <c r="C548" i="2"/>
  <c r="C547" i="2"/>
  <c r="C546" i="2"/>
  <c r="C545" i="2"/>
  <c r="C544" i="2"/>
  <c r="C543" i="2"/>
  <c r="C542" i="2"/>
  <c r="C541" i="2"/>
  <c r="C540" i="2"/>
  <c r="C539" i="2"/>
  <c r="C538" i="2"/>
  <c r="C537" i="2"/>
  <c r="C536" i="2"/>
  <c r="C535" i="2"/>
  <c r="C534" i="2"/>
  <c r="C533" i="2"/>
  <c r="C532" i="2"/>
  <c r="C531" i="2"/>
  <c r="C530" i="2"/>
  <c r="C529" i="2"/>
  <c r="C528" i="2"/>
  <c r="C527" i="2"/>
  <c r="C526" i="2"/>
  <c r="C525" i="2"/>
  <c r="C524" i="2"/>
  <c r="C523" i="2"/>
  <c r="C522" i="2"/>
  <c r="C521" i="2"/>
  <c r="C520" i="2"/>
  <c r="C519" i="2"/>
  <c r="C518" i="2"/>
  <c r="C517" i="2"/>
  <c r="C516" i="2"/>
  <c r="C515" i="2"/>
  <c r="C514" i="2"/>
  <c r="C513" i="2"/>
  <c r="C512" i="2"/>
  <c r="C511" i="2"/>
  <c r="C510" i="2"/>
  <c r="C509" i="2"/>
  <c r="C508" i="2"/>
  <c r="C507" i="2"/>
  <c r="C506" i="2"/>
  <c r="C505" i="2"/>
  <c r="C504" i="2"/>
  <c r="C503" i="2"/>
  <c r="C502" i="2"/>
  <c r="C501" i="2"/>
  <c r="C500" i="2"/>
  <c r="C499" i="2"/>
  <c r="C498" i="2"/>
  <c r="C497" i="2"/>
  <c r="C496" i="2"/>
  <c r="C495" i="2"/>
  <c r="C494" i="2"/>
  <c r="C493" i="2"/>
  <c r="C492" i="2"/>
  <c r="C491" i="2"/>
  <c r="C490" i="2"/>
  <c r="C489" i="2"/>
  <c r="C488" i="2"/>
  <c r="C487" i="2"/>
  <c r="C486" i="2"/>
  <c r="C485" i="2"/>
  <c r="C484" i="2"/>
  <c r="C483" i="2"/>
  <c r="C482" i="2"/>
  <c r="C481" i="2"/>
  <c r="C480" i="2"/>
  <c r="C479" i="2"/>
  <c r="C478" i="2"/>
  <c r="C477" i="2"/>
  <c r="C476" i="2"/>
  <c r="C475" i="2"/>
  <c r="C474" i="2"/>
  <c r="C473" i="2"/>
  <c r="C472" i="2"/>
  <c r="C471" i="2"/>
  <c r="C470" i="2"/>
  <c r="C469" i="2"/>
  <c r="C468" i="2"/>
  <c r="C467" i="2"/>
  <c r="C466" i="2"/>
  <c r="C465" i="2"/>
  <c r="C464" i="2"/>
  <c r="C463" i="2"/>
  <c r="C462" i="2"/>
  <c r="C461" i="2"/>
  <c r="C460" i="2"/>
  <c r="C459" i="2"/>
  <c r="C458" i="2"/>
  <c r="C457" i="2"/>
  <c r="C456" i="2"/>
  <c r="C455" i="2"/>
  <c r="C454" i="2"/>
  <c r="C453" i="2"/>
  <c r="C452" i="2"/>
  <c r="C451" i="2"/>
  <c r="C450" i="2"/>
  <c r="C449" i="2"/>
  <c r="C448" i="2"/>
  <c r="C447" i="2"/>
  <c r="C446" i="2"/>
  <c r="C445" i="2"/>
  <c r="C444" i="2"/>
  <c r="C443" i="2"/>
  <c r="C442" i="2"/>
  <c r="C441" i="2"/>
  <c r="C440" i="2"/>
  <c r="C439" i="2"/>
  <c r="C438" i="2"/>
  <c r="C437" i="2"/>
  <c r="C436" i="2"/>
  <c r="C435" i="2"/>
  <c r="C434" i="2"/>
  <c r="C433" i="2"/>
  <c r="C432" i="2"/>
  <c r="C431" i="2"/>
  <c r="C430" i="2"/>
  <c r="C429" i="2"/>
  <c r="C428" i="2"/>
  <c r="C427" i="2"/>
  <c r="C426" i="2"/>
  <c r="C425" i="2"/>
  <c r="C424" i="2"/>
  <c r="C423" i="2"/>
  <c r="C422" i="2"/>
  <c r="C421" i="2"/>
  <c r="C420" i="2"/>
  <c r="C419" i="2"/>
  <c r="C418" i="2"/>
  <c r="C417" i="2"/>
  <c r="C416" i="2"/>
  <c r="C415" i="2"/>
  <c r="C414" i="2"/>
  <c r="C413" i="2"/>
  <c r="C412" i="2"/>
  <c r="C411" i="2"/>
  <c r="C410" i="2"/>
  <c r="C409" i="2"/>
  <c r="C408" i="2"/>
  <c r="C407" i="2"/>
  <c r="C406" i="2"/>
  <c r="C405" i="2"/>
  <c r="C404" i="2"/>
  <c r="C403" i="2"/>
  <c r="C402" i="2"/>
  <c r="C401" i="2"/>
  <c r="C400" i="2"/>
  <c r="C399" i="2"/>
  <c r="C398" i="2"/>
  <c r="C397" i="2"/>
  <c r="C396" i="2"/>
  <c r="C395" i="2"/>
  <c r="C394" i="2"/>
  <c r="C393" i="2"/>
  <c r="C392" i="2"/>
  <c r="C391" i="2"/>
  <c r="C390" i="2"/>
  <c r="C389" i="2"/>
  <c r="C388" i="2"/>
  <c r="C387" i="2"/>
  <c r="C386" i="2"/>
  <c r="C385" i="2"/>
  <c r="C384" i="2"/>
  <c r="C383" i="2"/>
  <c r="C382" i="2"/>
  <c r="C381" i="2"/>
  <c r="C380" i="2"/>
  <c r="C379" i="2"/>
  <c r="C378" i="2"/>
  <c r="C377" i="2"/>
  <c r="C376" i="2"/>
  <c r="C375" i="2"/>
  <c r="C374" i="2"/>
  <c r="C373" i="2"/>
  <c r="C372" i="2"/>
  <c r="C371" i="2"/>
  <c r="C370" i="2"/>
  <c r="C369" i="2"/>
  <c r="C368" i="2"/>
  <c r="C367" i="2"/>
  <c r="C366" i="2"/>
  <c r="C365" i="2"/>
  <c r="C364" i="2"/>
  <c r="C363" i="2"/>
  <c r="C362" i="2"/>
  <c r="C361" i="2"/>
  <c r="C360" i="2"/>
  <c r="C359" i="2"/>
  <c r="C358" i="2"/>
  <c r="C357" i="2"/>
  <c r="C356" i="2"/>
  <c r="C355" i="2"/>
  <c r="C354" i="2"/>
  <c r="C353" i="2"/>
  <c r="C352" i="2"/>
  <c r="C351" i="2"/>
  <c r="C350" i="2"/>
  <c r="C349" i="2"/>
  <c r="C348" i="2"/>
  <c r="C347" i="2"/>
  <c r="C346" i="2"/>
  <c r="C345" i="2"/>
  <c r="C344" i="2"/>
  <c r="C343" i="2"/>
  <c r="C342" i="2"/>
  <c r="C341" i="2"/>
  <c r="C340" i="2"/>
  <c r="C339" i="2"/>
  <c r="C338" i="2"/>
  <c r="C337" i="2"/>
  <c r="C336" i="2"/>
  <c r="C335" i="2"/>
  <c r="C334" i="2"/>
  <c r="C333" i="2"/>
  <c r="C332" i="2"/>
  <c r="C331" i="2"/>
  <c r="C330" i="2"/>
  <c r="C329" i="2"/>
  <c r="C328" i="2"/>
  <c r="C327" i="2"/>
  <c r="C326" i="2"/>
  <c r="C325" i="2"/>
  <c r="C324" i="2"/>
  <c r="C323" i="2"/>
  <c r="C322" i="2"/>
  <c r="C321" i="2"/>
  <c r="C320" i="2"/>
  <c r="C319" i="2"/>
  <c r="C318" i="2"/>
  <c r="C317" i="2"/>
  <c r="C316" i="2"/>
  <c r="C315" i="2"/>
  <c r="C314" i="2"/>
  <c r="C313" i="2"/>
  <c r="C312" i="2"/>
  <c r="C311" i="2"/>
  <c r="C310" i="2"/>
  <c r="C309" i="2"/>
  <c r="C308" i="2"/>
  <c r="C307" i="2"/>
  <c r="C306" i="2"/>
  <c r="C305" i="2"/>
  <c r="C304" i="2"/>
  <c r="C303" i="2"/>
  <c r="C302" i="2"/>
  <c r="C301" i="2"/>
  <c r="C300" i="2"/>
  <c r="C299" i="2"/>
  <c r="C298" i="2"/>
  <c r="C297" i="2"/>
  <c r="C296" i="2"/>
  <c r="C295" i="2"/>
  <c r="C294" i="2"/>
  <c r="C293" i="2"/>
  <c r="C292" i="2"/>
  <c r="C291" i="2"/>
  <c r="C290" i="2"/>
  <c r="C289" i="2"/>
  <c r="C288" i="2"/>
  <c r="C287" i="2"/>
  <c r="C286" i="2"/>
  <c r="C285" i="2"/>
  <c r="C284" i="2"/>
  <c r="C283" i="2"/>
  <c r="C282" i="2"/>
  <c r="C281" i="2"/>
  <c r="C280" i="2"/>
  <c r="C279" i="2"/>
  <c r="C278" i="2"/>
  <c r="C277" i="2"/>
  <c r="C276" i="2"/>
  <c r="C275" i="2"/>
  <c r="C274" i="2"/>
  <c r="C273" i="2"/>
  <c r="C272" i="2"/>
  <c r="C271" i="2"/>
  <c r="C270" i="2"/>
  <c r="C269" i="2"/>
  <c r="C268" i="2"/>
  <c r="C267" i="2"/>
  <c r="C266" i="2"/>
  <c r="C265" i="2"/>
  <c r="C264" i="2"/>
  <c r="C263" i="2"/>
  <c r="C262" i="2"/>
  <c r="C261" i="2"/>
  <c r="C260" i="2"/>
  <c r="C259" i="2"/>
  <c r="C258" i="2"/>
  <c r="C257" i="2"/>
  <c r="C256" i="2"/>
  <c r="C255" i="2"/>
  <c r="C254" i="2"/>
  <c r="C253" i="2"/>
  <c r="C252" i="2"/>
  <c r="C251" i="2"/>
  <c r="C250" i="2"/>
  <c r="C249" i="2"/>
  <c r="C248" i="2"/>
  <c r="C247" i="2"/>
  <c r="C246" i="2"/>
  <c r="C245" i="2"/>
  <c r="C244" i="2"/>
  <c r="C243" i="2"/>
  <c r="C242" i="2"/>
  <c r="C241" i="2"/>
  <c r="C240" i="2"/>
  <c r="C239" i="2"/>
  <c r="C238" i="2"/>
  <c r="C237" i="2"/>
  <c r="C236" i="2"/>
  <c r="C235" i="2"/>
  <c r="C234" i="2"/>
  <c r="C233" i="2"/>
  <c r="C232" i="2"/>
  <c r="C231" i="2"/>
  <c r="C230" i="2"/>
  <c r="C229" i="2"/>
  <c r="C228" i="2"/>
  <c r="C227" i="2"/>
  <c r="C226" i="2"/>
  <c r="C225" i="2"/>
  <c r="C224" i="2"/>
  <c r="C223" i="2"/>
  <c r="C222" i="2"/>
  <c r="C221" i="2"/>
  <c r="C220" i="2"/>
  <c r="C219" i="2"/>
  <c r="C218" i="2"/>
  <c r="C217" i="2"/>
  <c r="C216" i="2"/>
  <c r="C215" i="2"/>
  <c r="C214" i="2"/>
  <c r="C213" i="2"/>
  <c r="C212" i="2"/>
  <c r="C211" i="2"/>
  <c r="C210" i="2"/>
  <c r="C209" i="2"/>
  <c r="C208" i="2"/>
  <c r="C207" i="2"/>
  <c r="C206" i="2"/>
  <c r="C205" i="2"/>
  <c r="C204" i="2"/>
  <c r="C203" i="2"/>
  <c r="C202" i="2"/>
  <c r="C201" i="2"/>
  <c r="C200" i="2"/>
  <c r="C199" i="2"/>
  <c r="C198" i="2"/>
  <c r="C197" i="2"/>
  <c r="C196" i="2"/>
  <c r="C195" i="2"/>
  <c r="C194" i="2"/>
  <c r="C193" i="2"/>
  <c r="C192" i="2"/>
  <c r="C191" i="2"/>
  <c r="C190" i="2"/>
  <c r="C189" i="2"/>
  <c r="C188" i="2"/>
  <c r="C187" i="2"/>
  <c r="C186" i="2"/>
  <c r="C185" i="2"/>
  <c r="C184" i="2"/>
  <c r="C183" i="2"/>
  <c r="C182" i="2"/>
  <c r="C181" i="2"/>
  <c r="C180" i="2"/>
  <c r="C179" i="2"/>
  <c r="C178" i="2"/>
  <c r="C177" i="2"/>
  <c r="C176" i="2"/>
  <c r="C175" i="2"/>
  <c r="C174" i="2"/>
  <c r="C173" i="2"/>
  <c r="C172" i="2"/>
  <c r="C171" i="2"/>
  <c r="C170" i="2"/>
  <c r="C169" i="2"/>
  <c r="C168" i="2"/>
  <c r="C167" i="2"/>
  <c r="C166" i="2"/>
  <c r="C165" i="2"/>
  <c r="C164" i="2"/>
  <c r="C163" i="2"/>
  <c r="C162" i="2"/>
  <c r="C161" i="2"/>
  <c r="C160" i="2"/>
  <c r="C159" i="2"/>
  <c r="C158" i="2"/>
  <c r="C157" i="2"/>
  <c r="C156" i="2"/>
  <c r="C155" i="2"/>
  <c r="C154" i="2"/>
  <c r="C153" i="2"/>
  <c r="C152" i="2"/>
  <c r="C151" i="2"/>
  <c r="C150" i="2"/>
  <c r="C149" i="2"/>
  <c r="C148" i="2"/>
  <c r="C147" i="2"/>
  <c r="C146" i="2"/>
  <c r="C145" i="2"/>
  <c r="C144" i="2"/>
  <c r="C143" i="2"/>
  <c r="C142" i="2"/>
  <c r="C141" i="2"/>
  <c r="C140" i="2"/>
  <c r="C139" i="2"/>
  <c r="C138" i="2"/>
  <c r="C137" i="2"/>
  <c r="C136" i="2"/>
  <c r="C135" i="2"/>
  <c r="C134" i="2"/>
  <c r="C133" i="2"/>
  <c r="C132" i="2"/>
  <c r="C131" i="2"/>
  <c r="C130" i="2"/>
  <c r="C129" i="2"/>
  <c r="C128" i="2"/>
  <c r="C127" i="2"/>
  <c r="C126" i="2"/>
  <c r="C125" i="2"/>
  <c r="C124" i="2"/>
  <c r="C123" i="2"/>
  <c r="C122" i="2"/>
  <c r="C121" i="2"/>
  <c r="C120" i="2"/>
  <c r="C119" i="2"/>
  <c r="C118" i="2"/>
  <c r="C117" i="2"/>
  <c r="C116" i="2"/>
  <c r="C115" i="2"/>
  <c r="C114" i="2"/>
  <c r="C113" i="2"/>
  <c r="C112" i="2"/>
  <c r="C111" i="2"/>
  <c r="C110" i="2"/>
  <c r="C109" i="2"/>
  <c r="C108" i="2"/>
  <c r="C107" i="2"/>
  <c r="C106" i="2"/>
  <c r="C105" i="2"/>
  <c r="C104" i="2"/>
  <c r="C103" i="2"/>
  <c r="C102" i="2"/>
  <c r="C101" i="2"/>
  <c r="C100" i="2"/>
  <c r="C99" i="2"/>
  <c r="C98" i="2"/>
  <c r="C97" i="2"/>
  <c r="C96" i="2"/>
  <c r="C95" i="2"/>
  <c r="C94" i="2"/>
  <c r="C93" i="2"/>
  <c r="C92" i="2"/>
  <c r="C91" i="2"/>
  <c r="C90" i="2"/>
  <c r="C89" i="2"/>
  <c r="C88" i="2"/>
  <c r="C87" i="2"/>
  <c r="C86" i="2"/>
  <c r="C85" i="2"/>
  <c r="C84" i="2"/>
  <c r="C83" i="2"/>
  <c r="C82" i="2"/>
  <c r="C81" i="2"/>
  <c r="C80" i="2"/>
  <c r="C79" i="2"/>
  <c r="C78" i="2"/>
  <c r="C77" i="2"/>
  <c r="C76" i="2"/>
  <c r="C75" i="2"/>
  <c r="C74" i="2"/>
  <c r="C73" i="2"/>
  <c r="C72" i="2"/>
  <c r="C71" i="2"/>
  <c r="C70" i="2"/>
  <c r="C69" i="2"/>
  <c r="C68" i="2"/>
  <c r="C67" i="2"/>
  <c r="C66" i="2"/>
  <c r="C65" i="2"/>
  <c r="C64" i="2"/>
  <c r="C63" i="2"/>
  <c r="C62" i="2"/>
  <c r="C61" i="2"/>
  <c r="C60" i="2"/>
  <c r="C59" i="2"/>
  <c r="C58" i="2"/>
  <c r="C57" i="2"/>
  <c r="C56" i="2"/>
  <c r="C55" i="2"/>
  <c r="C54" i="2"/>
  <c r="C53" i="2"/>
  <c r="C52" i="2"/>
  <c r="C51" i="2"/>
  <c r="C50" i="2"/>
  <c r="C49" i="2"/>
  <c r="C48" i="2"/>
  <c r="C47" i="2"/>
  <c r="C46" i="2"/>
  <c r="C45" i="2"/>
  <c r="C44" i="2"/>
  <c r="C43" i="2"/>
  <c r="C42" i="2"/>
  <c r="C41" i="2"/>
  <c r="C40" i="2"/>
  <c r="C39" i="2"/>
  <c r="C38" i="2"/>
  <c r="C37" i="2"/>
  <c r="C36" i="2"/>
  <c r="C35" i="2"/>
  <c r="C34" i="2"/>
  <c r="C33" i="2"/>
  <c r="C32" i="2"/>
  <c r="C31" i="2"/>
  <c r="C30" i="2"/>
  <c r="C29" i="2"/>
  <c r="C28" i="2"/>
  <c r="C27" i="2"/>
  <c r="C26" i="2"/>
  <c r="C25" i="2"/>
  <c r="C24" i="2"/>
  <c r="C23" i="2"/>
  <c r="C22" i="2"/>
  <c r="C21" i="2"/>
  <c r="C20" i="2"/>
  <c r="C19" i="2"/>
  <c r="C18" i="2"/>
  <c r="C17" i="2"/>
  <c r="C16" i="2"/>
  <c r="C15" i="2"/>
  <c r="C14" i="2"/>
  <c r="C13" i="2"/>
  <c r="C12" i="2"/>
  <c r="C11" i="2"/>
  <c r="C10" i="2"/>
  <c r="C9" i="2"/>
  <c r="C8" i="2"/>
  <c r="C7" i="2"/>
  <c r="C6" i="2"/>
  <c r="C5" i="2"/>
  <c r="B26" i="1"/>
  <c r="B27" i="1" l="1"/>
  <c r="B28" i="1" l="1"/>
  <c r="B29" i="1" l="1"/>
  <c r="B30" i="1" l="1"/>
  <c r="B31" i="1" l="1"/>
  <c r="B32" i="1" l="1"/>
  <c r="B33" i="1" l="1"/>
  <c r="B34" i="1" l="1"/>
  <c r="B164" i="1"/>
  <c r="B448" i="1"/>
  <c r="B268" i="1"/>
  <c r="G38" i="1"/>
  <c r="D144" i="1"/>
  <c r="B399" i="1"/>
  <c r="B282" i="1"/>
  <c r="B113" i="1"/>
  <c r="F88" i="1"/>
  <c r="F268" i="1"/>
  <c r="B209"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Gin</author>
  </authors>
  <commentList>
    <comment ref="B195" authorId="0" shapeId="0" xr:uid="{00000000-0006-0000-0000-000001000000}">
      <text>
        <r>
          <rPr>
            <b/>
            <sz val="9"/>
            <color indexed="81"/>
            <rFont val="Tahoma"/>
            <family val="2"/>
          </rPr>
          <t>Gin:</t>
        </r>
        <r>
          <rPr>
            <sz val="9"/>
            <color indexed="81"/>
            <rFont val="Tahoma"/>
            <family val="2"/>
          </rPr>
          <t xml:space="preserve">
Notice that we are repeating the last point of the range Y in order to have continuity on fanchart graph.
You can try to do the same without this point and see the results.</t>
        </r>
      </text>
    </comment>
    <comment ref="B329" authorId="0" shapeId="0" xr:uid="{00000000-0006-0000-0000-000002000000}">
      <text>
        <r>
          <rPr>
            <b/>
            <sz val="9"/>
            <color indexed="81"/>
            <rFont val="Tahoma"/>
            <family val="2"/>
          </rPr>
          <t>Gin:</t>
        </r>
        <r>
          <rPr>
            <sz val="9"/>
            <color indexed="81"/>
            <rFont val="Tahoma"/>
            <family val="2"/>
          </rPr>
          <t xml:space="preserve">
I suggest to write them this way for readibility. 
New line in formula bar is inserted by pressing alt+enter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Gin</author>
  </authors>
  <commentList>
    <comment ref="B3" authorId="0" shapeId="0" xr:uid="{00000000-0006-0000-0500-000001000000}">
      <text>
        <r>
          <rPr>
            <b/>
            <sz val="9"/>
            <color indexed="81"/>
            <rFont val="Tahoma"/>
            <family val="2"/>
          </rPr>
          <t>Gin:</t>
        </r>
        <r>
          <rPr>
            <sz val="9"/>
            <color indexed="81"/>
            <rFont val="Tahoma"/>
            <family val="2"/>
          </rPr>
          <t xml:space="preserve">
ipak prepravljeno da prepravlja svaki put jer je ovo jedino gde ima I smisla praviti funkciju</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4" refreshedVersion="5" background="1" saveData="1">
    <webPr sourceData="1" parsePre="1" consecutive="1" xl2000="1" url="http://paulbourke.net/miscellaneous/colourspace"/>
  </connection>
  <connection id="2" xr16:uid="{00000000-0015-0000-FFFF-FFFF01000000}" name="Connection2" type="4" refreshedVersion="5" background="1" saveData="1">
    <webPr sourceData="1" parsePre="1" consecutive="1" xl2000="1" url="http://www.endprod.com/colors/colors.htm" htmlFormat="all"/>
  </connection>
</connections>
</file>

<file path=xl/sharedStrings.xml><?xml version="1.0" encoding="utf-8"?>
<sst xmlns="http://schemas.openxmlformats.org/spreadsheetml/2006/main" count="2051" uniqueCount="1550">
  <si>
    <t>AddBblankChart function explanation</t>
  </si>
  <si>
    <t>AddBlankChart function plots the blank chart beneath the cell it was called from.</t>
  </si>
  <si>
    <t>Function explanation:</t>
  </si>
  <si>
    <t>AddBlankChart(Recalculating,width,height,ChartBorder)</t>
  </si>
  <si>
    <t>Recalculating [boolean=TRUE] - Should chart be raculculated when function cell is called again, if false it means that you can use function only once, after that it has no effect on chart object it created.</t>
  </si>
  <si>
    <r>
      <rPr>
        <b/>
        <sz val="11"/>
        <color theme="1"/>
        <rFont val="Times New Roman"/>
        <family val="1"/>
      </rPr>
      <t>width [integer=400]</t>
    </r>
    <r>
      <rPr>
        <sz val="11"/>
        <color theme="1"/>
        <rFont val="Times New Roman"/>
        <family val="1"/>
      </rPr>
      <t xml:space="preserve"> - width of blank chart</t>
    </r>
  </si>
  <si>
    <r>
      <rPr>
        <b/>
        <sz val="11"/>
        <color theme="1"/>
        <rFont val="Times New Roman"/>
        <family val="1"/>
      </rPr>
      <t>height [integer=225]</t>
    </r>
    <r>
      <rPr>
        <sz val="11"/>
        <color theme="1"/>
        <rFont val="Times New Roman"/>
        <family val="1"/>
      </rPr>
      <t xml:space="preserve"> - height of blank chart</t>
    </r>
  </si>
  <si>
    <r>
      <rPr>
        <b/>
        <sz val="11"/>
        <color theme="1"/>
        <rFont val="Times New Roman"/>
        <family val="1"/>
      </rPr>
      <t>ChartBorder [Variant]</t>
    </r>
    <r>
      <rPr>
        <sz val="11"/>
        <color theme="1"/>
        <rFont val="Times New Roman"/>
        <family val="1"/>
      </rPr>
      <t xml:space="preserve"> - should blank chart have a border? If FALSE, no border will be shown around chart (default), otherwise border with color value that is provided will be shown i.e ChartBorder="red"</t>
    </r>
  </si>
  <si>
    <r>
      <t>Note:</t>
    </r>
    <r>
      <rPr>
        <sz val="11"/>
        <color theme="1"/>
        <rFont val="Times New Roman"/>
        <family val="1"/>
      </rPr>
      <t xml:space="preserve">Output of this function in cell is actual name of the blank chart created. Here, as you can see, that name is </t>
    </r>
    <r>
      <rPr>
        <b/>
        <sz val="11"/>
        <color theme="1"/>
        <rFont val="Times New Roman"/>
        <family val="1"/>
      </rPr>
      <t xml:space="preserve">Real Stats Chart |Ex1|$A$3. </t>
    </r>
    <r>
      <rPr>
        <sz val="11"/>
        <color theme="1"/>
        <rFont val="Times New Roman"/>
        <family val="1"/>
      </rPr>
      <t>Name is dependent of sheet and range from whom the function was called.</t>
    </r>
  </si>
  <si>
    <t>Data 1</t>
  </si>
  <si>
    <t>1st command:</t>
  </si>
  <si>
    <t>Named range:X</t>
  </si>
  <si>
    <t>Named range: Y</t>
  </si>
  <si>
    <t>2nd command:</t>
  </si>
  <si>
    <r>
      <t xml:space="preserve">So we are calling two functions here actually. Firstly we created blank chart with </t>
    </r>
    <r>
      <rPr>
        <b/>
        <sz val="11"/>
        <color theme="1"/>
        <rFont val="Times New Roman"/>
        <family val="1"/>
      </rPr>
      <t xml:space="preserve">AddBlankChart. </t>
    </r>
    <r>
      <rPr>
        <sz val="11"/>
        <color theme="1"/>
        <rFont val="Times New Roman"/>
        <family val="1"/>
      </rPr>
      <t xml:space="preserve">Second command is adding line to blank chart that was created  from the first command. The function is called </t>
    </r>
    <r>
      <rPr>
        <b/>
        <sz val="11"/>
        <color theme="1"/>
        <rFont val="Times New Roman"/>
        <family val="1"/>
      </rPr>
      <t xml:space="preserve">AddlineSeries </t>
    </r>
    <r>
      <rPr>
        <sz val="11"/>
        <color theme="1"/>
        <rFont val="Times New Roman"/>
        <family val="1"/>
      </rPr>
      <t xml:space="preserve">and it will be explained shortly in what follows. Important to note is that </t>
    </r>
    <r>
      <rPr>
        <b/>
        <sz val="11"/>
        <color theme="1"/>
        <rFont val="Times New Roman"/>
        <family val="1"/>
      </rPr>
      <t xml:space="preserve">AddLineSeries </t>
    </r>
    <r>
      <rPr>
        <sz val="11"/>
        <color theme="1"/>
        <rFont val="Times New Roman"/>
        <family val="1"/>
      </rPr>
      <t>is refering to blank chart creted earlier!!! by its name.</t>
    </r>
  </si>
  <si>
    <t>AddLineSeries function explanation</t>
  </si>
  <si>
    <t>Function usage:</t>
  </si>
  <si>
    <t>=AddlineSeries(X_Coordinates,Y_coordinates,ChartName,SeriesName,LineCol,LineTransparency,LineWeight,ShineCol,ShineTransparency,ShineRadius)</t>
  </si>
  <si>
    <t>Input Parameters</t>
  </si>
  <si>
    <t>Data Type</t>
  </si>
  <si>
    <t>Status</t>
  </si>
  <si>
    <t>Default</t>
  </si>
  <si>
    <t>Explanation</t>
  </si>
  <si>
    <t>X_Coordinates</t>
  </si>
  <si>
    <t>Cell Range</t>
  </si>
  <si>
    <t>Required</t>
  </si>
  <si>
    <t>n.a.</t>
  </si>
  <si>
    <t>A range of cells with x values for the chart</t>
  </si>
  <si>
    <t>Y_coordinates</t>
  </si>
  <si>
    <t>A range of cells with y values for the chart</t>
  </si>
  <si>
    <t>ChartName</t>
  </si>
  <si>
    <t>String</t>
  </si>
  <si>
    <t>Optional</t>
  </si>
  <si>
    <t>SeriesName</t>
  </si>
  <si>
    <t>Y_coordinates.Address &amp; "|" &amp; Application.Caller.Address</t>
  </si>
  <si>
    <t>LineCol</t>
  </si>
  <si>
    <t>Variant</t>
  </si>
  <si>
    <t>"black"</t>
  </si>
  <si>
    <t>Color of the line. If provided range it must be a single cell. If a cell is colored then that color is taken as an input. Othervise, if provided string than it must be one of the 190 colors names provided in sheet colors short. In addition it acepts VBA color representation as a 5 digits integer.</t>
  </si>
  <si>
    <t>LineTransparency</t>
  </si>
  <si>
    <t>Double</t>
  </si>
  <si>
    <t>Transparency of line. Real number from 0 to 1.</t>
  </si>
  <si>
    <t>LineWeight</t>
  </si>
  <si>
    <t>Linde width.</t>
  </si>
  <si>
    <t>ShineCol</t>
  </si>
  <si>
    <t>ShineTransparency</t>
  </si>
  <si>
    <t>na</t>
  </si>
  <si>
    <r>
      <t xml:space="preserve">Transparency of line shining. If </t>
    </r>
    <r>
      <rPr>
        <b/>
        <sz val="11"/>
        <color theme="1"/>
        <rFont val="Times New Roman"/>
        <family val="1"/>
      </rPr>
      <t>ShineCol</t>
    </r>
    <r>
      <rPr>
        <sz val="11"/>
        <color theme="1"/>
        <rFont val="Times New Roman"/>
        <family val="1"/>
      </rPr>
      <t xml:space="preserve"> is provided then default value is 0.6 if not provided by user otherwise.</t>
    </r>
  </si>
  <si>
    <t>ShineRadius</t>
  </si>
  <si>
    <t>Magnitude of shining around line. If ShineCol is provided then default value is 4 if not provided by user otherwise.</t>
  </si>
  <si>
    <t>Charts with lines examples</t>
  </si>
  <si>
    <t xml:space="preserve"> =AddlineSeries(x,y,B88)</t>
  </si>
  <si>
    <r>
      <t xml:space="preserve">Select the chart and notice in the name box bar left from formula editor that chart has the same name as output of function </t>
    </r>
    <r>
      <rPr>
        <b/>
        <sz val="11"/>
        <color theme="0" tint="-0.499984740745262"/>
        <rFont val="Times New Roman"/>
        <family val="1"/>
      </rPr>
      <t>AddBlankChart.</t>
    </r>
  </si>
  <si>
    <r>
      <t>Note:</t>
    </r>
    <r>
      <rPr>
        <sz val="11"/>
        <color theme="1"/>
        <rFont val="Times New Roman"/>
        <family val="1"/>
      </rPr>
      <t xml:space="preserve">Output of </t>
    </r>
    <r>
      <rPr>
        <b/>
        <sz val="11"/>
        <color theme="1"/>
        <rFont val="Times New Roman"/>
        <family val="1"/>
      </rPr>
      <t xml:space="preserve">AddBlankChart function </t>
    </r>
    <r>
      <rPr>
        <sz val="11"/>
        <color theme="1"/>
        <rFont val="Times New Roman"/>
        <family val="1"/>
      </rPr>
      <t>is the actual name of the chart created. It takes the form: Real Stats Chart</t>
    </r>
    <r>
      <rPr>
        <i/>
        <sz val="11"/>
        <color theme="1"/>
        <rFont val="Times New Roman"/>
        <family val="1"/>
      </rPr>
      <t xml:space="preserve">|sheet name|caller cell address. </t>
    </r>
    <r>
      <rPr>
        <sz val="11"/>
        <color theme="1"/>
        <rFont val="Times New Roman"/>
        <family val="1"/>
      </rPr>
      <t xml:space="preserve">When calling </t>
    </r>
    <r>
      <rPr>
        <b/>
        <sz val="11"/>
        <color theme="1"/>
        <rFont val="Times New Roman"/>
        <family val="1"/>
      </rPr>
      <t xml:space="preserve">AddLineSeries </t>
    </r>
    <r>
      <rPr>
        <sz val="11"/>
        <color theme="1"/>
        <rFont val="Times New Roman"/>
        <family val="1"/>
      </rPr>
      <t xml:space="preserve">function from different cell than </t>
    </r>
    <r>
      <rPr>
        <b/>
        <sz val="11"/>
        <color theme="1"/>
        <rFont val="Times New Roman"/>
        <family val="1"/>
      </rPr>
      <t xml:space="preserve">AddBlankChart </t>
    </r>
    <r>
      <rPr>
        <sz val="11"/>
        <color theme="1"/>
        <rFont val="Times New Roman"/>
        <family val="1"/>
      </rPr>
      <t xml:space="preserve">function you have to provide the name of chart as a third argument. Note however that this is not prefered way to combine these two function, check the next example for the preferd way. The flaw of this sort of combining is the Excel recalculation tree which does not allways calculate </t>
    </r>
    <r>
      <rPr>
        <b/>
        <sz val="11"/>
        <color theme="1"/>
        <rFont val="Times New Roman"/>
        <family val="1"/>
      </rPr>
      <t>AddBlankChart</t>
    </r>
    <r>
      <rPr>
        <sz val="11"/>
        <color theme="1"/>
        <rFont val="Times New Roman"/>
        <family val="1"/>
      </rPr>
      <t xml:space="preserve"> first and then </t>
    </r>
    <r>
      <rPr>
        <b/>
        <sz val="11"/>
        <color theme="1"/>
        <rFont val="Times New Roman"/>
        <family val="1"/>
      </rPr>
      <t>AddLineSeries</t>
    </r>
    <r>
      <rPr>
        <sz val="11"/>
        <color theme="1"/>
        <rFont val="Times New Roman"/>
        <family val="1"/>
      </rPr>
      <t xml:space="preserve"> which should be done in that order in order for them to work properly.</t>
    </r>
  </si>
  <si>
    <t>EX2: Simple default plot of line with function calls in one cell</t>
  </si>
  <si>
    <r>
      <rPr>
        <i/>
        <sz val="11"/>
        <color theme="1"/>
        <rFont val="Times New Roman"/>
        <family val="1"/>
      </rPr>
      <t>Note:</t>
    </r>
    <r>
      <rPr>
        <sz val="11"/>
        <color theme="1"/>
        <rFont val="Times New Roman"/>
        <family val="1"/>
      </rPr>
      <t xml:space="preserve">Here we did not have to provide chart name since the function </t>
    </r>
    <r>
      <rPr>
        <b/>
        <sz val="11"/>
        <color theme="1"/>
        <rFont val="Times New Roman"/>
        <family val="1"/>
      </rPr>
      <t>AddLineSeries</t>
    </r>
    <r>
      <rPr>
        <sz val="11"/>
        <color theme="1"/>
        <rFont val="Times New Roman"/>
        <family val="1"/>
      </rPr>
      <t xml:space="preserve"> can recreate it from the cell it was called from. Basically since we have a naming standard based on range address function </t>
    </r>
    <r>
      <rPr>
        <b/>
        <sz val="11"/>
        <color theme="1"/>
        <rFont val="Times New Roman"/>
        <family val="1"/>
      </rPr>
      <t>AddLineSeries</t>
    </r>
    <r>
      <rPr>
        <sz val="11"/>
        <color theme="1"/>
        <rFont val="Times New Roman"/>
        <family val="1"/>
      </rPr>
      <t xml:space="preserve"> uses that standard to recreate a name of blank chart internally based on the cell address it was called upon. In addition Since the output of both of these function is string we are placing "&amp;" sign between them.
</t>
    </r>
    <r>
      <rPr>
        <b/>
        <sz val="11"/>
        <color theme="1"/>
        <rFont val="Times New Roman"/>
        <family val="1"/>
      </rPr>
      <t>This is the prefered way of creating a chart!!</t>
    </r>
  </si>
  <si>
    <t>EX3: Simple default plot of 2 lines with function calls in one cell</t>
  </si>
  <si>
    <t>Data 2</t>
  </si>
  <si>
    <t>Named range:Y_2</t>
  </si>
  <si>
    <t>EX4: Simple default plot of 2 lines with function calls in one cell with styling</t>
  </si>
  <si>
    <t>Colors:</t>
  </si>
  <si>
    <t>permanent_violet</t>
  </si>
  <si>
    <r>
      <rPr>
        <i/>
        <sz val="11"/>
        <color theme="1"/>
        <rFont val="Times New Roman"/>
        <family val="1"/>
      </rPr>
      <t>Note:</t>
    </r>
    <r>
      <rPr>
        <sz val="11"/>
        <color theme="1"/>
        <rFont val="Times New Roman"/>
        <family val="1"/>
      </rPr>
      <t xml:space="preserve">Here we are seeing different ways of providing colors to the functions. </t>
    </r>
    <r>
      <rPr>
        <b/>
        <sz val="11"/>
        <color theme="1"/>
        <rFont val="Times New Roman"/>
        <family val="1"/>
      </rPr>
      <t xml:space="preserve">AddBlankChart </t>
    </r>
    <r>
      <rPr>
        <sz val="11"/>
        <color theme="1"/>
        <rFont val="Times New Roman"/>
        <family val="1"/>
      </rPr>
      <t>is taking line color</t>
    </r>
    <r>
      <rPr>
        <b/>
        <sz val="11"/>
        <color theme="1"/>
        <rFont val="Times New Roman"/>
        <family val="1"/>
      </rPr>
      <t xml:space="preserve"> </t>
    </r>
    <r>
      <rPr>
        <sz val="11"/>
        <color theme="1"/>
        <rFont val="Times New Roman"/>
        <family val="1"/>
      </rPr>
      <t xml:space="preserve">from cell I165. The color is provided here as a 5 digit Vba color representation sistem. Another way we can input colors is by simply </t>
    </r>
  </si>
  <si>
    <r>
      <t xml:space="preserve">providing the cell with colored interior as an parameter. The function will then extract the color from cell. Finally we can input a color by word. The list of colors available with their names is provided in the </t>
    </r>
    <r>
      <rPr>
        <b/>
        <sz val="11"/>
        <color theme="1"/>
        <rFont val="Times New Roman"/>
        <family val="1"/>
      </rPr>
      <t>"colors short"</t>
    </r>
    <r>
      <rPr>
        <sz val="11"/>
        <color theme="1"/>
        <rFont val="Times New Roman"/>
        <family val="1"/>
      </rPr>
      <t xml:space="preserve"> sheet. Function </t>
    </r>
    <r>
      <rPr>
        <b/>
        <sz val="11"/>
        <color theme="1"/>
        <rFont val="Times New Roman"/>
        <family val="1"/>
      </rPr>
      <t xml:space="preserve">AddLineSeries </t>
    </r>
    <r>
      <rPr>
        <sz val="11"/>
        <color theme="1"/>
        <rFont val="Times New Roman"/>
        <family val="1"/>
      </rPr>
      <t>is having blak (5th argument equals to "black" for both functions in question) lines and greenish (interior of provided cell I164) and red (value of provided cell I165) shinings. These are three different ways that one can provide colors.</t>
    </r>
  </si>
  <si>
    <t>Charts with confidence intervals</t>
  </si>
  <si>
    <t>Data 3</t>
  </si>
  <si>
    <t>Confidence</t>
  </si>
  <si>
    <t>AddConfidence function</t>
  </si>
  <si>
    <t>=AddConfidence(X_Coordinates,ConfidenceIntervalRange,ChartName,ShapeName,Col1,Col2,TransparencyStart,TransparencyEnd,PlotLinesCol)</t>
  </si>
  <si>
    <t>A range of cells with x values for the chart.</t>
  </si>
  <si>
    <t>ConfidenceIntervalRange</t>
  </si>
  <si>
    <t>A range of cells with confidence intervals values for the chart. Must have even number of columns.</t>
  </si>
  <si>
    <t>ShapeName</t>
  </si>
  <si>
    <t>ConfidenceIntervalRange &amp; "|" &amp; Application.Caller.Address &amp; order number of shape</t>
  </si>
  <si>
    <t>Col1</t>
  </si>
  <si>
    <t>turquoise_blue</t>
  </si>
  <si>
    <t>Color of the starting (middle)shape. If provided range it must be a single cell. If a cell is colored then that color is taken as an input. Othervise, if provided string than it must be one of the 190 colors names provided in sheet colors short. In addition it acepts VBA color representation as a 5 digits integer.</t>
  </si>
  <si>
    <t>Col2</t>
  </si>
  <si>
    <t>geranium_lake</t>
  </si>
  <si>
    <t>Color of the ending (tail) shape. If provided range it must be a single cell. If a cell is colored then that color is taken as an input. Othervise, if provided string than it must be one of the 190 colors names provided in sheet colors short. In addition it acepts VBA color representation as a 5 digits integer.</t>
  </si>
  <si>
    <t>TransparencyStart</t>
  </si>
  <si>
    <t>Transparency of starting shape.</t>
  </si>
  <si>
    <t>TransparencyEnd</t>
  </si>
  <si>
    <t>Transparency of ending shape.</t>
  </si>
  <si>
    <t>PlotLinesCol</t>
  </si>
  <si>
    <t>Fanchart examples</t>
  </si>
  <si>
    <t>EX5: Simple default with confidence bounds</t>
  </si>
  <si>
    <t>EX6: Monochrome (non transparent) blue confidence bounds with black lines</t>
  </si>
  <si>
    <t>EX7: Two black lines with green and blue shinings with confidence bounds starting from second line.</t>
  </si>
  <si>
    <t>For the last plot transparency of confidence bounds ranges from 0 (middle) to 0.7 (tails). We used orange as one color (middle) and dark color for tail intervals. Gradient of colors from orange to transparent dark is obvious.</t>
  </si>
  <si>
    <t>EX8: Uncertainty in fitted model combined with unceirtanty in forecast</t>
  </si>
  <si>
    <t>Examples with shaded part of series</t>
  </si>
  <si>
    <t>Finally if we want to emphasize on some part of our time series data for instance period when the financial crisis happened, or forcasting period we could add our graph a shaded rectangle.</t>
  </si>
  <si>
    <t>Of course we can combine fanchart with shaded rectangle.</t>
  </si>
  <si>
    <t>AddSquare function</t>
  </si>
  <si>
    <t>=AddSquare(Initial_X,Ending_X,ChartName,Transparency,col)</t>
  </si>
  <si>
    <t>Initial_x</t>
  </si>
  <si>
    <t>Starting point of shaded area.</t>
  </si>
  <si>
    <t>Ending_X</t>
  </si>
  <si>
    <t>Ending point of shaded area.</t>
  </si>
  <si>
    <t>Transparency</t>
  </si>
  <si>
    <t>Transparency of squared shape.</t>
  </si>
  <si>
    <t>col</t>
  </si>
  <si>
    <r>
      <t xml:space="preserve">Border of shade, see PlotLinesCol argument of </t>
    </r>
    <r>
      <rPr>
        <b/>
        <sz val="11"/>
        <color theme="1"/>
        <rFont val="Times New Roman"/>
        <family val="1"/>
      </rPr>
      <t xml:space="preserve">AddConfidence </t>
    </r>
    <r>
      <rPr>
        <sz val="11"/>
        <color theme="1"/>
        <rFont val="Times New Roman"/>
        <family val="1"/>
      </rPr>
      <t>function.</t>
    </r>
  </si>
  <si>
    <t>Downsides of worksheet formula plots</t>
  </si>
  <si>
    <t>No undo!</t>
  </si>
  <si>
    <t>Shapes do not scale well when risizing chart. Consequently, AddConfidence and AddSquare are distorted in aspect racio when user resizes chart object frame;</t>
  </si>
  <si>
    <t>When not in one cell these functions don’t work well as explained previously;</t>
  </si>
  <si>
    <t>There are som annoying behaviour of inheritance of styling among lines in excel - there is no way arround this;</t>
  </si>
  <si>
    <t>If you insert a column or a row that affects addres of cell from which these function are called upon you will have two same charts and you'll need to manually delete the first one. Same happens if you change the name of sheet.</t>
  </si>
  <si>
    <t>Series one</t>
  </si>
  <si>
    <t>Series two</t>
  </si>
  <si>
    <t>Date</t>
  </si>
  <si>
    <t>S&amp;P Close</t>
  </si>
  <si>
    <r>
      <t>R</t>
    </r>
    <r>
      <rPr>
        <b/>
        <vertAlign val="subscript"/>
        <sz val="10"/>
        <color theme="0"/>
        <rFont val="Arial"/>
        <family val="2"/>
      </rPr>
      <t>t</t>
    </r>
  </si>
  <si>
    <t>Original Series</t>
  </si>
  <si>
    <t>Fitted series</t>
  </si>
  <si>
    <t>Forecasted confidence</t>
  </si>
  <si>
    <t xml:space="preserve">The first set below was originally compiled by Steve Hollasch and is organised as follows: the first column is the descriptive name of the colour; the next three columns are the RGB coordinates in the 0 to 255 range as if the components were being stored in one unsigned byte; the last three columns are the RGB colour coordinates in the range of 0 to 1 inclusive. </t>
  </si>
  <si>
    <t>Color group</t>
  </si>
  <si>
    <t>Color name</t>
  </si>
  <si>
    <t>R</t>
  </si>
  <si>
    <t>G</t>
  </si>
  <si>
    <t>B</t>
  </si>
  <si>
    <t>Whites</t>
  </si>
  <si>
    <t>antique_white</t>
  </si>
  <si>
    <t>azure</t>
  </si>
  <si>
    <t>bisque</t>
  </si>
  <si>
    <t>blanched_almond</t>
  </si>
  <si>
    <t>cornsilk</t>
  </si>
  <si>
    <t>eggshell</t>
  </si>
  <si>
    <t>floral_white</t>
  </si>
  <si>
    <t>gainsboro</t>
  </si>
  <si>
    <t>ghost_white</t>
  </si>
  <si>
    <t>honeydew</t>
  </si>
  <si>
    <t>ivory</t>
  </si>
  <si>
    <t>lavender</t>
  </si>
  <si>
    <t>lavender_blush</t>
  </si>
  <si>
    <t>lemon_chiffon</t>
  </si>
  <si>
    <t>linen</t>
  </si>
  <si>
    <t>mint_cream</t>
  </si>
  <si>
    <t>misty_rose</t>
  </si>
  <si>
    <t>moccasin</t>
  </si>
  <si>
    <t>navajo_white</t>
  </si>
  <si>
    <t>old_lace</t>
  </si>
  <si>
    <t>papaya_whip</t>
  </si>
  <si>
    <t>peach_puff</t>
  </si>
  <si>
    <t>seashell</t>
  </si>
  <si>
    <t>snow</t>
  </si>
  <si>
    <t>thistle</t>
  </si>
  <si>
    <t>titanium_white</t>
  </si>
  <si>
    <t>wheat</t>
  </si>
  <si>
    <t>white</t>
  </si>
  <si>
    <t>white_smoke</t>
  </si>
  <si>
    <t>zinc_white</t>
  </si>
  <si>
    <t>Greys</t>
  </si>
  <si>
    <t>cold_grey</t>
  </si>
  <si>
    <t>dim_grey</t>
  </si>
  <si>
    <t>grey</t>
  </si>
  <si>
    <t>light_grey</t>
  </si>
  <si>
    <t>slate_grey</t>
  </si>
  <si>
    <t>slate_grey_dark</t>
  </si>
  <si>
    <t>slate_grey_light</t>
  </si>
  <si>
    <t>warm_grey</t>
  </si>
  <si>
    <t>Blacks</t>
  </si>
  <si>
    <t>black</t>
  </si>
  <si>
    <t>ivory_black</t>
  </si>
  <si>
    <t>lamp_black</t>
  </si>
  <si>
    <t>Reds</t>
  </si>
  <si>
    <t>alizarin_crimson</t>
  </si>
  <si>
    <t>brick</t>
  </si>
  <si>
    <t>cadmium_red_deep</t>
  </si>
  <si>
    <t>coral</t>
  </si>
  <si>
    <t>coral_light</t>
  </si>
  <si>
    <t>deep_pink</t>
  </si>
  <si>
    <t>english_red</t>
  </si>
  <si>
    <t>firebrick</t>
  </si>
  <si>
    <t>hot_pink</t>
  </si>
  <si>
    <t>indian_red</t>
  </si>
  <si>
    <t>light_salmon</t>
  </si>
  <si>
    <t>madder_lake_deep</t>
  </si>
  <si>
    <t>maroon</t>
  </si>
  <si>
    <t>pink</t>
  </si>
  <si>
    <t>pink_light</t>
  </si>
  <si>
    <t>raspberry</t>
  </si>
  <si>
    <t>red</t>
  </si>
  <si>
    <t>rose_madder</t>
  </si>
  <si>
    <t>salmon</t>
  </si>
  <si>
    <t>tomato</t>
  </si>
  <si>
    <t>venetian_red</t>
  </si>
  <si>
    <t>Browns</t>
  </si>
  <si>
    <t>beige</t>
  </si>
  <si>
    <t>brown</t>
  </si>
  <si>
    <t>brown_madder</t>
  </si>
  <si>
    <t>brown_ochre</t>
  </si>
  <si>
    <t>burlywood</t>
  </si>
  <si>
    <t>burnt_sienna</t>
  </si>
  <si>
    <t>burnt_umber</t>
  </si>
  <si>
    <t>chocolate</t>
  </si>
  <si>
    <t>deep_ochre</t>
  </si>
  <si>
    <t>flesh</t>
  </si>
  <si>
    <t>flesh_ochre</t>
  </si>
  <si>
    <t>gold_ochre</t>
  </si>
  <si>
    <t>greenish_umber</t>
  </si>
  <si>
    <t>khaki</t>
  </si>
  <si>
    <t>khaki_dark</t>
  </si>
  <si>
    <t>light_beige</t>
  </si>
  <si>
    <t>peru</t>
  </si>
  <si>
    <t>rosy_brown</t>
  </si>
  <si>
    <t>raw_sienna</t>
  </si>
  <si>
    <t>raw_umber</t>
  </si>
  <si>
    <t>sepia</t>
  </si>
  <si>
    <t>sienna</t>
  </si>
  <si>
    <t>saddle_brown</t>
  </si>
  <si>
    <t>sandy_brown</t>
  </si>
  <si>
    <t>tan</t>
  </si>
  <si>
    <t>van_dyke_brown</t>
  </si>
  <si>
    <t>Oranges</t>
  </si>
  <si>
    <t>cadmium_orange</t>
  </si>
  <si>
    <t>cadmium_red_light</t>
  </si>
  <si>
    <t>carrot</t>
  </si>
  <si>
    <t>dark_orange</t>
  </si>
  <si>
    <t>mars_orange</t>
  </si>
  <si>
    <t>mars_yellow</t>
  </si>
  <si>
    <t>orange</t>
  </si>
  <si>
    <t>orange_red</t>
  </si>
  <si>
    <t>yellow_ochre</t>
  </si>
  <si>
    <t>Yellows</t>
  </si>
  <si>
    <t>aureoline_yellow</t>
  </si>
  <si>
    <t>banana</t>
  </si>
  <si>
    <t>cadmium_lemon</t>
  </si>
  <si>
    <t>cadmium_yellow</t>
  </si>
  <si>
    <t>gold</t>
  </si>
  <si>
    <t>goldenrod</t>
  </si>
  <si>
    <t>goldenrod_dark</t>
  </si>
  <si>
    <t>goldenrod_light</t>
  </si>
  <si>
    <t>goldenrod_pale</t>
  </si>
  <si>
    <t>light_goldenrod</t>
  </si>
  <si>
    <t>melon</t>
  </si>
  <si>
    <t>naplesyellowdeep</t>
  </si>
  <si>
    <t>yellow</t>
  </si>
  <si>
    <t>yellow_light</t>
  </si>
  <si>
    <t>Greens</t>
  </si>
  <si>
    <t>chartreuse</t>
  </si>
  <si>
    <t>chromeoxidegreen</t>
  </si>
  <si>
    <t>cinnabar_green</t>
  </si>
  <si>
    <t>cobalt_green</t>
  </si>
  <si>
    <t>emerald_green</t>
  </si>
  <si>
    <t>forest_green</t>
  </si>
  <si>
    <t>green</t>
  </si>
  <si>
    <t>green_dark</t>
  </si>
  <si>
    <t>green_pale</t>
  </si>
  <si>
    <t>green_yellow</t>
  </si>
  <si>
    <t>lawn_green</t>
  </si>
  <si>
    <t>lime_green</t>
  </si>
  <si>
    <t>mint</t>
  </si>
  <si>
    <t>olive</t>
  </si>
  <si>
    <t>olive_drab</t>
  </si>
  <si>
    <t>olive_green_dark</t>
  </si>
  <si>
    <t>permanent_green</t>
  </si>
  <si>
    <t>sap_green</t>
  </si>
  <si>
    <t>sea_green</t>
  </si>
  <si>
    <t>sea_green_dark</t>
  </si>
  <si>
    <t>sea_green_medium</t>
  </si>
  <si>
    <t>sea_green_light</t>
  </si>
  <si>
    <t>spring_green</t>
  </si>
  <si>
    <t>spring_greenmedium</t>
  </si>
  <si>
    <t>terre_verte</t>
  </si>
  <si>
    <t>viridian_light</t>
  </si>
  <si>
    <t>yellow_green</t>
  </si>
  <si>
    <t>Cyans</t>
  </si>
  <si>
    <t>aquamarine</t>
  </si>
  <si>
    <t>aquamarinemedium</t>
  </si>
  <si>
    <t>cyan</t>
  </si>
  <si>
    <t>cyan_white</t>
  </si>
  <si>
    <t>turquoise</t>
  </si>
  <si>
    <t>turquoise_dark</t>
  </si>
  <si>
    <t>turquoise_medium</t>
  </si>
  <si>
    <t>turquoise_pale</t>
  </si>
  <si>
    <t>Blues</t>
  </si>
  <si>
    <t>alice_blue</t>
  </si>
  <si>
    <t>blue</t>
  </si>
  <si>
    <t>blue_light</t>
  </si>
  <si>
    <t>blue_medium</t>
  </si>
  <si>
    <t>cadet</t>
  </si>
  <si>
    <t>cobalt</t>
  </si>
  <si>
    <t>cornflower</t>
  </si>
  <si>
    <t>cerulean</t>
  </si>
  <si>
    <t>dodger_blue</t>
  </si>
  <si>
    <t>indigo</t>
  </si>
  <si>
    <t>manganese_blue</t>
  </si>
  <si>
    <t>midnight_blue</t>
  </si>
  <si>
    <t>navy</t>
  </si>
  <si>
    <t>peacock</t>
  </si>
  <si>
    <t>powder_blue</t>
  </si>
  <si>
    <t>royal_blue</t>
  </si>
  <si>
    <t>slate_blue</t>
  </si>
  <si>
    <t>slate_blue_dark</t>
  </si>
  <si>
    <t>slate_blue_light</t>
  </si>
  <si>
    <t>slate_blue_medium</t>
  </si>
  <si>
    <t>sky_blue</t>
  </si>
  <si>
    <t>sky_blue_deep</t>
  </si>
  <si>
    <t>sky_blue_light</t>
  </si>
  <si>
    <t>steel_blue</t>
  </si>
  <si>
    <t>steel_blue_light</t>
  </si>
  <si>
    <t>ultramarine</t>
  </si>
  <si>
    <t>Magentas</t>
  </si>
  <si>
    <t>blue_violet</t>
  </si>
  <si>
    <t>cobalt_violetdeep</t>
  </si>
  <si>
    <t>magenta</t>
  </si>
  <si>
    <t>orchid</t>
  </si>
  <si>
    <t>orchid_dark</t>
  </si>
  <si>
    <t>orchid_medium</t>
  </si>
  <si>
    <t>plum</t>
  </si>
  <si>
    <t>purple</t>
  </si>
  <si>
    <t>purple_medium</t>
  </si>
  <si>
    <t>ultramarine_violet</t>
  </si>
  <si>
    <t>violet</t>
  </si>
  <si>
    <t>violet_dark</t>
  </si>
  <si>
    <t>violet_red</t>
  </si>
  <si>
    <t>violet_redmedium</t>
  </si>
  <si>
    <t>violet_red_pale</t>
  </si>
  <si>
    <t>Group name</t>
  </si>
  <si>
    <t>Name</t>
  </si>
  <si>
    <t>Order</t>
  </si>
  <si>
    <t>ToDo list</t>
  </si>
  <si>
    <t>treba da confidence prepozna da na postojecem chartu vec postoji conf bounds I da izadje iz funkcije</t>
  </si>
  <si>
    <t>proveriti ovo I za fitted</t>
  </si>
  <si>
    <t>dodati forcasted series funkciju</t>
  </si>
  <si>
    <t>dodati fitted confidence fumkciju</t>
  </si>
  <si>
    <t>dodati da se boja uzima I iz celije za konfidence</t>
  </si>
  <si>
    <t>srediti datum osu tako sto ces snimiti iz prvog grafika koju je osu chart prepoznao</t>
  </si>
  <si>
    <t>Novi graf sa arima bootstrapom u buducnosti</t>
  </si>
  <si>
    <t>stavi no fill u chart area</t>
  </si>
  <si>
    <t>staviti pravougaonik</t>
  </si>
  <si>
    <t>Izkomentarisati kod</t>
  </si>
  <si>
    <t>Prosiriti linije sa opcijama</t>
  </si>
  <si>
    <t>N</t>
  </si>
  <si>
    <t>Srediti pocetak</t>
  </si>
  <si>
    <t>Srediti fitted bounds</t>
  </si>
  <si>
    <t>Staviti opciju apdejtovanja funkcije kada zavrsis sa ovim gore</t>
  </si>
  <si>
    <t>Vidi sta se desava sa fitted confidence zasto uzima sam rejndz</t>
  </si>
  <si>
    <t>Ispravi kraj konfidenca</t>
  </si>
  <si>
    <t>boot od poslednje tacke/ srediti ostatak I razmisliti o parametrima kako sami da se proracunavaju serija po liniji mislim</t>
  </si>
  <si>
    <t>dodati da se boja uzima I iz celije za fitted-lako</t>
  </si>
  <si>
    <t>Dodati sve ovo I za glavnu-lako</t>
  </si>
  <si>
    <t>Proveriti confidence zasto ne pocinje od poslednje kada tako postavis nego malo bezi…</t>
  </si>
  <si>
    <t>istestirati sve funkcije u jednu celiju, namestiti da vuku iz prve funkcije naziv</t>
  </si>
  <si>
    <t>prepraviti rectangle u dve funkcije od koje je jedna genericka a druga vraper za ovu potrebu</t>
  </si>
  <si>
    <t>Srediti fitted bounds kao I forecasted, u sustini iskopirati kod</t>
  </si>
  <si>
    <t>Dovrsiti boot confidence</t>
  </si>
  <si>
    <t>razmisliti o imenima jos jednom</t>
  </si>
  <si>
    <t>resiti bag sa pomeranjem axisa y vrednosti kod confidence boundsa posle arimaboundsa. Ili ga freezuj ili pronadji neki chart event</t>
  </si>
  <si>
    <t>Addconfidence izbrisi pocetne tacke, nepotrebne su sada, neka ih ubaci end user</t>
  </si>
  <si>
    <t>Grupisi confidence lako</t>
  </si>
  <si>
    <t>Resiti confidence neapdejt</t>
  </si>
  <si>
    <t>Proveriri zasto value daje</t>
  </si>
  <si>
    <t>EX10: Simple default plot of points with function calls in one cell</t>
  </si>
  <si>
    <t>AddPointsSeries function explanation</t>
  </si>
  <si>
    <t xml:space="preserve"> =AddPointsSeries(X_Coordinates,Y_Coordinates,ChartName,SeriesName,PointStyle,PointSize,PointColor,PointTransparency,PointLineColor,PointLineWeight,PointLineTransparency,GlowColor,GlowTransparency,GlowRadius)</t>
  </si>
  <si>
    <t>PointStyle</t>
  </si>
  <si>
    <t>PointSize</t>
  </si>
  <si>
    <t>PointColor</t>
  </si>
  <si>
    <t>PointTransparency</t>
  </si>
  <si>
    <t>PointLineColor</t>
  </si>
  <si>
    <t>PointLineWeight</t>
  </si>
  <si>
    <t>PointLineTransparency</t>
  </si>
  <si>
    <t>GlowColor</t>
  </si>
  <si>
    <t>GlowTransparency</t>
  </si>
  <si>
    <t>GlowRadius</t>
  </si>
  <si>
    <t>Name of the chart on which we want to plot the series. This input can be omitted when calling this function from the same cell as AddBlankChart function  (see examples section).</t>
  </si>
  <si>
    <t>Name of the series you are adding to the chart. If omitted it will be created automatically depending on Y_coordinates range and the caller cell range.</t>
  </si>
  <si>
    <t>Color of the shine of line. If omitted but ShineTransparency or ShineRadius are provided then it takes color "red" as defoult. If omitted and ShineTransparency and ShineRadius are omitted then there is no Shining around line.</t>
  </si>
  <si>
    <t>Name of the each confidence shape will start with this string and end with a number ranging from 1 to number of confidence intervals*2. If omitted it will be created automatically depending on Y_coordinates range and the caller cell range.</t>
  </si>
  <si>
    <t>Lines between confidence intervals. If omitted no lines are shown, otherwise lines with color provided to PlotLinesCol argument are ploted. At the moment line width can not be changed</t>
  </si>
  <si>
    <t>Type of marker to be used. An integer between 1 and 8</t>
  </si>
  <si>
    <t>Integer</t>
  </si>
  <si>
    <t>Point size.</t>
  </si>
  <si>
    <t>Transparency of the point.</t>
  </si>
  <si>
    <t>Color of line that borders point (marker).</t>
  </si>
  <si>
    <t>Weight of border around marker.</t>
  </si>
  <si>
    <t>Transparency of border around marker. The value ranges from 0 to 1.</t>
  </si>
  <si>
    <t>Color of glow around points.</t>
  </si>
  <si>
    <t>Transparency of glow around the points.</t>
  </si>
  <si>
    <t>Magnitude of shining.</t>
  </si>
  <si>
    <t>Color of the point. Same as LineColor in AddLinePlot.</t>
  </si>
  <si>
    <t>EX11: Simple default plot of 2 point series with function calls in one cell</t>
  </si>
  <si>
    <t>Color Name</t>
  </si>
  <si>
    <t>Hex</t>
  </si>
  <si>
    <t>MSAccess</t>
  </si>
  <si>
    <t>Sample</t>
  </si>
  <si>
    <t>Source:</t>
  </si>
  <si>
    <t>http://endprod.com/colors/</t>
  </si>
  <si>
    <t>accuprobe</t>
  </si>
  <si>
    <t>#A70050</t>
  </si>
  <si>
    <t>alice blue</t>
  </si>
  <si>
    <t>#F0F8FF</t>
  </si>
  <si>
    <t>antique white</t>
  </si>
  <si>
    <t>#FAEBD7</t>
  </si>
  <si>
    <t>antique white 1</t>
  </si>
  <si>
    <t>#FFEFDB</t>
  </si>
  <si>
    <t>antique white 2</t>
  </si>
  <si>
    <t>#EEDFCC</t>
  </si>
  <si>
    <t>antique white 3</t>
  </si>
  <si>
    <t>#CDC0B0</t>
  </si>
  <si>
    <t>antique white 4</t>
  </si>
  <si>
    <t>#8B8378</t>
  </si>
  <si>
    <t>aqua</t>
  </si>
  <si>
    <t>#00FFFF</t>
  </si>
  <si>
    <t>aquamarine 1</t>
  </si>
  <si>
    <t>#7FFFD4</t>
  </si>
  <si>
    <t>aquamarine 2</t>
  </si>
  <si>
    <t>#76EEC6</t>
  </si>
  <si>
    <t>aquamarine 3</t>
  </si>
  <si>
    <t>#66CDAA</t>
  </si>
  <si>
    <t>aquamarine 4</t>
  </si>
  <si>
    <t>#458B74</t>
  </si>
  <si>
    <t>azure 1</t>
  </si>
  <si>
    <t>#F0FFFF</t>
  </si>
  <si>
    <t>azure 2</t>
  </si>
  <si>
    <t>#E0EEEE</t>
  </si>
  <si>
    <t>azure 3</t>
  </si>
  <si>
    <t>#C1CDCD</t>
  </si>
  <si>
    <t>azure 4</t>
  </si>
  <si>
    <t>#838B8B</t>
  </si>
  <si>
    <t>#E3CF57</t>
  </si>
  <si>
    <t>#F5F5DC</t>
  </si>
  <si>
    <t>beige 1</t>
  </si>
  <si>
    <t>bisque 1</t>
  </si>
  <si>
    <t>#FFE4C4</t>
  </si>
  <si>
    <t>bisque 2</t>
  </si>
  <si>
    <t>#EED5B7</t>
  </si>
  <si>
    <t>bisque 3</t>
  </si>
  <si>
    <t>#CDB79E</t>
  </si>
  <si>
    <t>bisque 4</t>
  </si>
  <si>
    <t>#8B7D6B</t>
  </si>
  <si>
    <t>#000000</t>
  </si>
  <si>
    <t>blanched almond</t>
  </si>
  <si>
    <t>#FFEBCD</t>
  </si>
  <si>
    <t>blue 2</t>
  </si>
  <si>
    <t>#0000EE</t>
  </si>
  <si>
    <t>blue 3</t>
  </si>
  <si>
    <t>#0000CD</t>
  </si>
  <si>
    <t>blue 4</t>
  </si>
  <si>
    <t>#00008B</t>
  </si>
  <si>
    <t>blue violet</t>
  </si>
  <si>
    <t>#8A2BE2</t>
  </si>
  <si>
    <t>#0000FF</t>
  </si>
  <si>
    <t>#9C661F</t>
  </si>
  <si>
    <t>#A52A2A</t>
  </si>
  <si>
    <t>brown 1</t>
  </si>
  <si>
    <t>#FF4040</t>
  </si>
  <si>
    <t>brown 2</t>
  </si>
  <si>
    <t>#EE3B3B</t>
  </si>
  <si>
    <t>brown madder</t>
  </si>
  <si>
    <t>brown 3</t>
  </si>
  <si>
    <t>#CD3333</t>
  </si>
  <si>
    <t>alizarin crimson</t>
  </si>
  <si>
    <t>brown 4</t>
  </si>
  <si>
    <t>#8B2323</t>
  </si>
  <si>
    <t>brown ochre</t>
  </si>
  <si>
    <t>burly wood</t>
  </si>
  <si>
    <t>#DEB887</t>
  </si>
  <si>
    <t>burly wood 1</t>
  </si>
  <si>
    <t>#FFD39B</t>
  </si>
  <si>
    <t>burly wood 2</t>
  </si>
  <si>
    <t>#EEC591</t>
  </si>
  <si>
    <t>burly wood 3</t>
  </si>
  <si>
    <t>#CDAA7D</t>
  </si>
  <si>
    <t>burly wood 4</t>
  </si>
  <si>
    <t>#8B7355</t>
  </si>
  <si>
    <t>burnt sienna</t>
  </si>
  <si>
    <t>#8A360F</t>
  </si>
  <si>
    <t>burnt umber</t>
  </si>
  <si>
    <t>#8A3324</t>
  </si>
  <si>
    <t>cadet blue 1</t>
  </si>
  <si>
    <t>#5F9EA0</t>
  </si>
  <si>
    <t>cadet blue 2</t>
  </si>
  <si>
    <t>#98F5FF</t>
  </si>
  <si>
    <t>cadet blue 3</t>
  </si>
  <si>
    <t>#8EE5EE</t>
  </si>
  <si>
    <t>cadet blue 4</t>
  </si>
  <si>
    <t>#7AC5CD</t>
  </si>
  <si>
    <t>cadmium orange</t>
  </si>
  <si>
    <t>#FF6103</t>
  </si>
  <si>
    <t>cadmium red</t>
  </si>
  <si>
    <t>#E3170D</t>
  </si>
  <si>
    <t>cadmium red deep</t>
  </si>
  <si>
    <t>cadmium red light</t>
  </si>
  <si>
    <t>cadmium yellow</t>
  </si>
  <si>
    <t>#FF9912</t>
  </si>
  <si>
    <t>#ED9121</t>
  </si>
  <si>
    <t>chartreuse 1</t>
  </si>
  <si>
    <t>#7FFF00</t>
  </si>
  <si>
    <t>chartreuse 2</t>
  </si>
  <si>
    <t>#76EE00</t>
  </si>
  <si>
    <t>chartreuse 3</t>
  </si>
  <si>
    <t>#66CD00</t>
  </si>
  <si>
    <t>chartreuse 4</t>
  </si>
  <si>
    <t>#458B00</t>
  </si>
  <si>
    <t>#D2691E</t>
  </si>
  <si>
    <t>chocolate 1</t>
  </si>
  <si>
    <t>#FF7F24</t>
  </si>
  <si>
    <t>chocolate 2</t>
  </si>
  <si>
    <t>#EE7621</t>
  </si>
  <si>
    <t>chocolate 3</t>
  </si>
  <si>
    <t>#CD661D</t>
  </si>
  <si>
    <t>chocolate 4</t>
  </si>
  <si>
    <t>#8B4513</t>
  </si>
  <si>
    <t>chrome oxide green</t>
  </si>
  <si>
    <t>cinnabar green</t>
  </si>
  <si>
    <t>#3D59AB</t>
  </si>
  <si>
    <t>cobalt green</t>
  </si>
  <si>
    <t>#3D9140</t>
  </si>
  <si>
    <t>cold grey</t>
  </si>
  <si>
    <t>#808A87</t>
  </si>
  <si>
    <t>#FF7F50</t>
  </si>
  <si>
    <t>coral 1</t>
  </si>
  <si>
    <t>#FF7256</t>
  </si>
  <si>
    <t>coral 2</t>
  </si>
  <si>
    <t>#EE6A50</t>
  </si>
  <si>
    <t>coral 3</t>
  </si>
  <si>
    <t>#CD5B45</t>
  </si>
  <si>
    <t>coral 4</t>
  </si>
  <si>
    <t>#8B3E2F</t>
  </si>
  <si>
    <t>deep ochre</t>
  </si>
  <si>
    <t>cornflower blue</t>
  </si>
  <si>
    <t>#6495ED</t>
  </si>
  <si>
    <t>cornsilk 1</t>
  </si>
  <si>
    <t>#FFF8DC</t>
  </si>
  <si>
    <t>cornsilk 2</t>
  </si>
  <si>
    <t>#EEE8CD</t>
  </si>
  <si>
    <t>cornsilk 3</t>
  </si>
  <si>
    <t>#CDC8B1</t>
  </si>
  <si>
    <t>cornsilk 4</t>
  </si>
  <si>
    <t>#8B8878</t>
  </si>
  <si>
    <t>crimson</t>
  </si>
  <si>
    <t>#DC143C</t>
  </si>
  <si>
    <t>cyan 1</t>
  </si>
  <si>
    <t>cyan 2</t>
  </si>
  <si>
    <t>#00EEEE</t>
  </si>
  <si>
    <t>cyan 3</t>
  </si>
  <si>
    <t>#00CDCD</t>
  </si>
  <si>
    <t>cyan 4</t>
  </si>
  <si>
    <t>#008B8B</t>
  </si>
  <si>
    <t>dandy brown</t>
  </si>
  <si>
    <t>#F4A460</t>
  </si>
  <si>
    <t>dark goldenrod</t>
  </si>
  <si>
    <t>#B8860B</t>
  </si>
  <si>
    <t>dark goldenrod 1</t>
  </si>
  <si>
    <t>#FFB90F</t>
  </si>
  <si>
    <t>dark goldenrod 2</t>
  </si>
  <si>
    <t>#EEAD0E</t>
  </si>
  <si>
    <t>dark goldenrod 3</t>
  </si>
  <si>
    <t>#CD950C</t>
  </si>
  <si>
    <t>dark goldenrod 4</t>
  </si>
  <si>
    <t>#8B6508</t>
  </si>
  <si>
    <t>dark gray</t>
  </si>
  <si>
    <t>#A9A9A9</t>
  </si>
  <si>
    <t>dark green</t>
  </si>
  <si>
    <t>#006400</t>
  </si>
  <si>
    <t>dark khaki</t>
  </si>
  <si>
    <t>#BDB76B</t>
  </si>
  <si>
    <t>dark olive green</t>
  </si>
  <si>
    <t>#556B2F</t>
  </si>
  <si>
    <t>dark olive green 1</t>
  </si>
  <si>
    <t>#CAFF70</t>
  </si>
  <si>
    <t>dark olive green 2</t>
  </si>
  <si>
    <t>#BCEE68</t>
  </si>
  <si>
    <t>dark olive green 3</t>
  </si>
  <si>
    <t>#A2CD5A</t>
  </si>
  <si>
    <t>dark olive green 4</t>
  </si>
  <si>
    <t>#6E8B3D</t>
  </si>
  <si>
    <t>dark orange</t>
  </si>
  <si>
    <t>#FF8C00</t>
  </si>
  <si>
    <t>dark orange 1</t>
  </si>
  <si>
    <t>#FF7F00</t>
  </si>
  <si>
    <t>dark orange 2</t>
  </si>
  <si>
    <t>#EE7600</t>
  </si>
  <si>
    <t>dark orange 3</t>
  </si>
  <si>
    <t>#CD6600</t>
  </si>
  <si>
    <t>dark orange 4</t>
  </si>
  <si>
    <t>#8B4500</t>
  </si>
  <si>
    <t>dark orchid</t>
  </si>
  <si>
    <t>#9932CC</t>
  </si>
  <si>
    <t>dark orchid 1</t>
  </si>
  <si>
    <t>#BF3EFF</t>
  </si>
  <si>
    <t>dark orchid 2</t>
  </si>
  <si>
    <t>#B23AEE</t>
  </si>
  <si>
    <t>dark orchid 3</t>
  </si>
  <si>
    <t>#9A32CD</t>
  </si>
  <si>
    <t>dark orchid 4</t>
  </si>
  <si>
    <t>#68228B</t>
  </si>
  <si>
    <t>dark salmon</t>
  </si>
  <si>
    <t>#E9967A</t>
  </si>
  <si>
    <t>dark sea green</t>
  </si>
  <si>
    <t>#8FBC8F</t>
  </si>
  <si>
    <t>dark sea green 1</t>
  </si>
  <si>
    <t>#C1FFC1</t>
  </si>
  <si>
    <t>dark sea green 2</t>
  </si>
  <si>
    <t>#B4EEB4</t>
  </si>
  <si>
    <t>dark sea green 3</t>
  </si>
  <si>
    <t>#9BCD9B</t>
  </si>
  <si>
    <t>dark sea green 4</t>
  </si>
  <si>
    <t>#698B69</t>
  </si>
  <si>
    <t>dark slate blue</t>
  </si>
  <si>
    <t>#483D8B</t>
  </si>
  <si>
    <t>dark slate gray</t>
  </si>
  <si>
    <t>#2F4F4F</t>
  </si>
  <si>
    <t>dark slate gray 1</t>
  </si>
  <si>
    <t>#97FFFF</t>
  </si>
  <si>
    <t>dark slate gray 2</t>
  </si>
  <si>
    <t>#8DEEEE</t>
  </si>
  <si>
    <t>dark slate gray 3</t>
  </si>
  <si>
    <t>#79CDCD</t>
  </si>
  <si>
    <t>dark slate gray 4</t>
  </si>
  <si>
    <t>#528B8B</t>
  </si>
  <si>
    <t>dark turquoise</t>
  </si>
  <si>
    <t>#00CED1</t>
  </si>
  <si>
    <t>dark violet</t>
  </si>
  <si>
    <t>#9400D3</t>
  </si>
  <si>
    <t>deep pink 1</t>
  </si>
  <si>
    <t>#FF1493</t>
  </si>
  <si>
    <t>deep pink 2</t>
  </si>
  <si>
    <t>#EE1289</t>
  </si>
  <si>
    <t>deep pink 3</t>
  </si>
  <si>
    <t>#CD1076</t>
  </si>
  <si>
    <t>deep pink 4</t>
  </si>
  <si>
    <t>#8B0A50</t>
  </si>
  <si>
    <t>deep sky blue 1</t>
  </si>
  <si>
    <t>#00BFFF</t>
  </si>
  <si>
    <t>deep sky blue 2</t>
  </si>
  <si>
    <t>#00B2EE</t>
  </si>
  <si>
    <t>deep sky blue 3</t>
  </si>
  <si>
    <t>#009ACD</t>
  </si>
  <si>
    <t>deep sky blue 4</t>
  </si>
  <si>
    <t>#00688B</t>
  </si>
  <si>
    <t>dodger blue 1</t>
  </si>
  <si>
    <t>#1E90FF</t>
  </si>
  <si>
    <t>dodger blue 2</t>
  </si>
  <si>
    <t>#1C86EE</t>
  </si>
  <si>
    <t>dodger blue 3</t>
  </si>
  <si>
    <t>#1874CD</t>
  </si>
  <si>
    <t>dodger blue 4</t>
  </si>
  <si>
    <t>#104E8B</t>
  </si>
  <si>
    <t>#FCE6C9</t>
  </si>
  <si>
    <t>emerald green</t>
  </si>
  <si>
    <t>#00C957</t>
  </si>
  <si>
    <t>#B22222</t>
  </si>
  <si>
    <t>firebrick 1</t>
  </si>
  <si>
    <t>#FF3030</t>
  </si>
  <si>
    <t>firebrick 2</t>
  </si>
  <si>
    <t>#EE2C2C</t>
  </si>
  <si>
    <t>firebrick 3</t>
  </si>
  <si>
    <t>#CD2626</t>
  </si>
  <si>
    <t>firebrick 4</t>
  </si>
  <si>
    <t>#8B1A1A</t>
  </si>
  <si>
    <t>#FF7D40</t>
  </si>
  <si>
    <t>flesh ochre</t>
  </si>
  <si>
    <t>english red</t>
  </si>
  <si>
    <t>floral white</t>
  </si>
  <si>
    <t>#FFFAF0</t>
  </si>
  <si>
    <t>forest green</t>
  </si>
  <si>
    <t>#228B22</t>
  </si>
  <si>
    <t>#FF00FF</t>
  </si>
  <si>
    <t>#DCDCDC</t>
  </si>
  <si>
    <t>geranium lake</t>
  </si>
  <si>
    <t>ghost white</t>
  </si>
  <si>
    <t>#F8F8FF</t>
  </si>
  <si>
    <t>gold 1</t>
  </si>
  <si>
    <t>#FFD700</t>
  </si>
  <si>
    <t>gold 2</t>
  </si>
  <si>
    <t>#EEC900</t>
  </si>
  <si>
    <t>gold 3</t>
  </si>
  <si>
    <t>#CDAD00</t>
  </si>
  <si>
    <t>gold 4</t>
  </si>
  <si>
    <t>#8B7500</t>
  </si>
  <si>
    <t>gold ochre</t>
  </si>
  <si>
    <t>#DAA520</t>
  </si>
  <si>
    <t>goldenrod 1</t>
  </si>
  <si>
    <t>#FFC125</t>
  </si>
  <si>
    <t>goldenrod 2</t>
  </si>
  <si>
    <t>#EEB422</t>
  </si>
  <si>
    <t>goldenrod 3</t>
  </si>
  <si>
    <t>#CD9B1D</t>
  </si>
  <si>
    <t>goldenrod 4</t>
  </si>
  <si>
    <t>#8B6914</t>
  </si>
  <si>
    <t>gray</t>
  </si>
  <si>
    <t>#BEBEBE</t>
  </si>
  <si>
    <t>gray 1</t>
  </si>
  <si>
    <t>#030303</t>
  </si>
  <si>
    <t>gray 10</t>
  </si>
  <si>
    <t>#1A1A1A</t>
  </si>
  <si>
    <t>gray 11</t>
  </si>
  <si>
    <t>#1C1C1C</t>
  </si>
  <si>
    <t>gray 12</t>
  </si>
  <si>
    <t>#1F1F1F</t>
  </si>
  <si>
    <t>gray 13</t>
  </si>
  <si>
    <t>#212121</t>
  </si>
  <si>
    <t>gray 14</t>
  </si>
  <si>
    <t>#242424</t>
  </si>
  <si>
    <t>gray 15</t>
  </si>
  <si>
    <t>#262626</t>
  </si>
  <si>
    <t>gray 16</t>
  </si>
  <si>
    <t>#292929</t>
  </si>
  <si>
    <t>gray 17</t>
  </si>
  <si>
    <t>#2B2B2B</t>
  </si>
  <si>
    <t>gray 18</t>
  </si>
  <si>
    <t>#2E2E2E</t>
  </si>
  <si>
    <t>gray 19</t>
  </si>
  <si>
    <t>#303030</t>
  </si>
  <si>
    <t>gray 2</t>
  </si>
  <si>
    <t>#050505</t>
  </si>
  <si>
    <t>gray 20</t>
  </si>
  <si>
    <t>#333333</t>
  </si>
  <si>
    <t>gray 21</t>
  </si>
  <si>
    <t>#363636</t>
  </si>
  <si>
    <t>gray 22</t>
  </si>
  <si>
    <t>#383838</t>
  </si>
  <si>
    <t>gray 23</t>
  </si>
  <si>
    <t>#3B3B3B</t>
  </si>
  <si>
    <t>gray 24</t>
  </si>
  <si>
    <t>#3D3D3D</t>
  </si>
  <si>
    <t>gray 25</t>
  </si>
  <si>
    <t>#404040</t>
  </si>
  <si>
    <t>gray 26</t>
  </si>
  <si>
    <t>#424242</t>
  </si>
  <si>
    <t>gray 27</t>
  </si>
  <si>
    <t>#454545</t>
  </si>
  <si>
    <t>gray 28</t>
  </si>
  <si>
    <t>#474747</t>
  </si>
  <si>
    <t>gray 29</t>
  </si>
  <si>
    <t>#4A4A4A</t>
  </si>
  <si>
    <t>gray 3</t>
  </si>
  <si>
    <t>#080808</t>
  </si>
  <si>
    <t>gray 30</t>
  </si>
  <si>
    <t>#4D4D4D</t>
  </si>
  <si>
    <t>gray 31</t>
  </si>
  <si>
    <t>#4F4F4F</t>
  </si>
  <si>
    <t>gray 32</t>
  </si>
  <si>
    <t>#525252</t>
  </si>
  <si>
    <t>gray 33</t>
  </si>
  <si>
    <t>#545454</t>
  </si>
  <si>
    <t>gray 34</t>
  </si>
  <si>
    <t>#575757</t>
  </si>
  <si>
    <t>gray 35</t>
  </si>
  <si>
    <t>#595959</t>
  </si>
  <si>
    <t>gray 36</t>
  </si>
  <si>
    <t>#5C5C5C</t>
  </si>
  <si>
    <t>gray 37</t>
  </si>
  <si>
    <t>#5E5E5E</t>
  </si>
  <si>
    <t>gray 38</t>
  </si>
  <si>
    <t>#616161</t>
  </si>
  <si>
    <t>gray 39</t>
  </si>
  <si>
    <t>#636363</t>
  </si>
  <si>
    <t>gray 4</t>
  </si>
  <si>
    <t>#0A0A0A</t>
  </si>
  <si>
    <t>gray 40</t>
  </si>
  <si>
    <t>#666666</t>
  </si>
  <si>
    <t>gray 41</t>
  </si>
  <si>
    <t>#696969</t>
  </si>
  <si>
    <t>gray 42</t>
  </si>
  <si>
    <t>#6B6B6B</t>
  </si>
  <si>
    <t>gray 43</t>
  </si>
  <si>
    <t>#6E6E6E</t>
  </si>
  <si>
    <t>gray 44</t>
  </si>
  <si>
    <t>#707070</t>
  </si>
  <si>
    <t>gray 45</t>
  </si>
  <si>
    <t>#737373</t>
  </si>
  <si>
    <t>gray 46</t>
  </si>
  <si>
    <t>#757575</t>
  </si>
  <si>
    <t>gray 47</t>
  </si>
  <si>
    <t>#787878</t>
  </si>
  <si>
    <t>gray 48</t>
  </si>
  <si>
    <t>#7A7A7A</t>
  </si>
  <si>
    <t>gray 49</t>
  </si>
  <si>
    <t>#7D7D7D</t>
  </si>
  <si>
    <t>gray 5</t>
  </si>
  <si>
    <t>#0D0D0D</t>
  </si>
  <si>
    <t>gray 50</t>
  </si>
  <si>
    <t>#7F7F7F</t>
  </si>
  <si>
    <t>gray 51</t>
  </si>
  <si>
    <t>#828282</t>
  </si>
  <si>
    <t>gray 52</t>
  </si>
  <si>
    <t>#858585</t>
  </si>
  <si>
    <t>gray 53</t>
  </si>
  <si>
    <t>#878787</t>
  </si>
  <si>
    <t>gray 54</t>
  </si>
  <si>
    <t>#8A8A8A</t>
  </si>
  <si>
    <t>gray 55</t>
  </si>
  <si>
    <t>#8C8C8C</t>
  </si>
  <si>
    <t>gray 56</t>
  </si>
  <si>
    <t>#8F8F8F</t>
  </si>
  <si>
    <t>gray 57</t>
  </si>
  <si>
    <t>#919191</t>
  </si>
  <si>
    <t>gray 58</t>
  </si>
  <si>
    <t>#949494</t>
  </si>
  <si>
    <t>gray 59</t>
  </si>
  <si>
    <t>#969696</t>
  </si>
  <si>
    <t>gray 6</t>
  </si>
  <si>
    <t>#0F0F0F</t>
  </si>
  <si>
    <t>gray 60</t>
  </si>
  <si>
    <t>#999999</t>
  </si>
  <si>
    <t>gray 61</t>
  </si>
  <si>
    <t>#9C9C9C</t>
  </si>
  <si>
    <t>gray 62</t>
  </si>
  <si>
    <t>#9E9E9E</t>
  </si>
  <si>
    <t>gray 63</t>
  </si>
  <si>
    <t>#A1A1A1</t>
  </si>
  <si>
    <t>gray 64</t>
  </si>
  <si>
    <t>#A3A3A3</t>
  </si>
  <si>
    <t>gray 65</t>
  </si>
  <si>
    <t>#A6A6A6</t>
  </si>
  <si>
    <t>gray 66</t>
  </si>
  <si>
    <t>#A8A8A8</t>
  </si>
  <si>
    <t>gray 67</t>
  </si>
  <si>
    <t>#ABABAB</t>
  </si>
  <si>
    <t>gray 68</t>
  </si>
  <si>
    <t>#ADADAD</t>
  </si>
  <si>
    <t>gray 69</t>
  </si>
  <si>
    <t>#B0B0B0</t>
  </si>
  <si>
    <t>gray 7</t>
  </si>
  <si>
    <t>#121212</t>
  </si>
  <si>
    <t>gray 70</t>
  </si>
  <si>
    <t>#B3B3B3</t>
  </si>
  <si>
    <t>gray 71</t>
  </si>
  <si>
    <t>#B5B5B5</t>
  </si>
  <si>
    <t>gray 72</t>
  </si>
  <si>
    <t>#B8B8B8</t>
  </si>
  <si>
    <t>gray 73</t>
  </si>
  <si>
    <t>#BABABA</t>
  </si>
  <si>
    <t>gray 74</t>
  </si>
  <si>
    <t>#BDBDBD</t>
  </si>
  <si>
    <t>gray 75</t>
  </si>
  <si>
    <t>#BFBFBF</t>
  </si>
  <si>
    <t>gray 76</t>
  </si>
  <si>
    <t>#C2C2C2</t>
  </si>
  <si>
    <t>gray 77</t>
  </si>
  <si>
    <t>#C4C4C4</t>
  </si>
  <si>
    <t>gray 78</t>
  </si>
  <si>
    <t>#C7C7C7</t>
  </si>
  <si>
    <t>gray 79</t>
  </si>
  <si>
    <t>#C9C9C9</t>
  </si>
  <si>
    <t>gray 8</t>
  </si>
  <si>
    <t>#141414</t>
  </si>
  <si>
    <t>gray 80</t>
  </si>
  <si>
    <t>#CCCCCC</t>
  </si>
  <si>
    <t>gray 81</t>
  </si>
  <si>
    <t>#CFCFCF</t>
  </si>
  <si>
    <t>gray 82</t>
  </si>
  <si>
    <t>#D1D1D1</t>
  </si>
  <si>
    <t>gray 83</t>
  </si>
  <si>
    <t>#D4D4D4</t>
  </si>
  <si>
    <t>gray 84</t>
  </si>
  <si>
    <t>#D6D6D6</t>
  </si>
  <si>
    <t>gray 85</t>
  </si>
  <si>
    <t>#D9D9D9</t>
  </si>
  <si>
    <t>gray 86</t>
  </si>
  <si>
    <t>#DBDBDB</t>
  </si>
  <si>
    <t>gray 87</t>
  </si>
  <si>
    <t>#DEDEDE</t>
  </si>
  <si>
    <t>gray 88</t>
  </si>
  <si>
    <t>#E0E0E0</t>
  </si>
  <si>
    <t>gray 89</t>
  </si>
  <si>
    <t>#E3E3E3</t>
  </si>
  <si>
    <t>gray 9</t>
  </si>
  <si>
    <t>#171717</t>
  </si>
  <si>
    <t>gray 90</t>
  </si>
  <si>
    <t>#E5E5E5</t>
  </si>
  <si>
    <t>gray 91</t>
  </si>
  <si>
    <t>#E8E8E8</t>
  </si>
  <si>
    <t>gray 92</t>
  </si>
  <si>
    <t>#EBEBEB</t>
  </si>
  <si>
    <t>gray 93</t>
  </si>
  <si>
    <t>#EDEDED</t>
  </si>
  <si>
    <t>gray 94</t>
  </si>
  <si>
    <t>#F0F0F0</t>
  </si>
  <si>
    <t>gray 95</t>
  </si>
  <si>
    <t>#F2F2F2</t>
  </si>
  <si>
    <t>gray 96</t>
  </si>
  <si>
    <t>#F5F5F5</t>
  </si>
  <si>
    <t>gray 97</t>
  </si>
  <si>
    <t>#F7F7F7</t>
  </si>
  <si>
    <t>gray 98</t>
  </si>
  <si>
    <t>#FAFAFA</t>
  </si>
  <si>
    <t>gray 99</t>
  </si>
  <si>
    <t>#FCFCFC</t>
  </si>
  <si>
    <t>green 1</t>
  </si>
  <si>
    <t>#00FF00</t>
  </si>
  <si>
    <t>green 2</t>
  </si>
  <si>
    <t>#00EE00</t>
  </si>
  <si>
    <t>green 3</t>
  </si>
  <si>
    <t>#00CD00</t>
  </si>
  <si>
    <t>green 4</t>
  </si>
  <si>
    <t>#008B00</t>
  </si>
  <si>
    <t>green yellow</t>
  </si>
  <si>
    <t>#ADFF2F</t>
  </si>
  <si>
    <t>#008000</t>
  </si>
  <si>
    <t>greenish umber</t>
  </si>
  <si>
    <t>#C0C0C0</t>
  </si>
  <si>
    <t>honeydew 1</t>
  </si>
  <si>
    <t>#F0FFF0</t>
  </si>
  <si>
    <t>honeydew 2</t>
  </si>
  <si>
    <t>#E0EEE0</t>
  </si>
  <si>
    <t>honeydew 3</t>
  </si>
  <si>
    <t>#C1CDC1</t>
  </si>
  <si>
    <t>honeydew 4</t>
  </si>
  <si>
    <t>#838B83</t>
  </si>
  <si>
    <t>hot pink</t>
  </si>
  <si>
    <t>#FF69B4</t>
  </si>
  <si>
    <t>hot pink 1</t>
  </si>
  <si>
    <t>#FF6EB4</t>
  </si>
  <si>
    <t>hot pink 2</t>
  </si>
  <si>
    <t>#EE6AA7</t>
  </si>
  <si>
    <t>hot pink 3</t>
  </si>
  <si>
    <t>#CD6090</t>
  </si>
  <si>
    <t>hot pink 4</t>
  </si>
  <si>
    <t>#8B3A62</t>
  </si>
  <si>
    <t>indian red</t>
  </si>
  <si>
    <t>#B0171F</t>
  </si>
  <si>
    <t>indian red 1</t>
  </si>
  <si>
    <t>#FF6A6A</t>
  </si>
  <si>
    <t>indian red 2</t>
  </si>
  <si>
    <t>#EE6363</t>
  </si>
  <si>
    <t>indian red 3</t>
  </si>
  <si>
    <t>#CD5555</t>
  </si>
  <si>
    <t>indian red 4</t>
  </si>
  <si>
    <t>#CD5C5C</t>
  </si>
  <si>
    <t>indian red 5</t>
  </si>
  <si>
    <t>#8B3A3A</t>
  </si>
  <si>
    <t>indigo 1</t>
  </si>
  <si>
    <t>#4B0082</t>
  </si>
  <si>
    <t>indigo 2</t>
  </si>
  <si>
    <t>#218868</t>
  </si>
  <si>
    <t>ivory 1</t>
  </si>
  <si>
    <t>#FFFFF0</t>
  </si>
  <si>
    <t>ivory 2</t>
  </si>
  <si>
    <t>#EEEEE0</t>
  </si>
  <si>
    <t>ivory 3</t>
  </si>
  <si>
    <t>#CDCDC1</t>
  </si>
  <si>
    <t>ivory 4</t>
  </si>
  <si>
    <t>#8B8B83</t>
  </si>
  <si>
    <t>ivory black</t>
  </si>
  <si>
    <t>#292421</t>
  </si>
  <si>
    <t>#F0E68C</t>
  </si>
  <si>
    <t>khaki 1</t>
  </si>
  <si>
    <t>#FFF68F</t>
  </si>
  <si>
    <t>khaki 2</t>
  </si>
  <si>
    <t>#EEE685</t>
  </si>
  <si>
    <t>khaki 3</t>
  </si>
  <si>
    <t>#CDC673</t>
  </si>
  <si>
    <t>khaki 4</t>
  </si>
  <si>
    <t>#8B864E</t>
  </si>
  <si>
    <t>lamp black</t>
  </si>
  <si>
    <t>#E6E6FA</t>
  </si>
  <si>
    <t>lavender blush 1</t>
  </si>
  <si>
    <t>#FFF0F5</t>
  </si>
  <si>
    <t>lavender blush 2</t>
  </si>
  <si>
    <t>#EEE0E5</t>
  </si>
  <si>
    <t>lavender blush 3</t>
  </si>
  <si>
    <t>#CDC1C5</t>
  </si>
  <si>
    <t>lavender blush 4</t>
  </si>
  <si>
    <t>#8B8386</t>
  </si>
  <si>
    <t>lawn green</t>
  </si>
  <si>
    <t>#7CFC00</t>
  </si>
  <si>
    <t>lemon chiffon 1</t>
  </si>
  <si>
    <t>#FFFACD</t>
  </si>
  <si>
    <t>lemon chiffon 2</t>
  </si>
  <si>
    <t>#EEE9BF</t>
  </si>
  <si>
    <t>lemon chiffon 3</t>
  </si>
  <si>
    <t>#CDC9A5</t>
  </si>
  <si>
    <t>lemon chiffon 4</t>
  </si>
  <si>
    <t>#8B8970</t>
  </si>
  <si>
    <t>ligh tgoldenrod 2</t>
  </si>
  <si>
    <t>#EEDC82</t>
  </si>
  <si>
    <t>light blue</t>
  </si>
  <si>
    <t>#ADD8E6</t>
  </si>
  <si>
    <t>light blue 1</t>
  </si>
  <si>
    <t>#BFEFFF</t>
  </si>
  <si>
    <t>light blue 2</t>
  </si>
  <si>
    <t>#B2DFEE</t>
  </si>
  <si>
    <t>light blue 3</t>
  </si>
  <si>
    <t>#9AC0CD</t>
  </si>
  <si>
    <t>light blue 4</t>
  </si>
  <si>
    <t>#68838B</t>
  </si>
  <si>
    <t>light coral</t>
  </si>
  <si>
    <t>#F08080</t>
  </si>
  <si>
    <t>light cyan 1</t>
  </si>
  <si>
    <t>#E0FFFF</t>
  </si>
  <si>
    <t>light cyan 2</t>
  </si>
  <si>
    <t>#D1EEEE</t>
  </si>
  <si>
    <t>light cyan 3</t>
  </si>
  <si>
    <t>#B4CDCD</t>
  </si>
  <si>
    <t>light cyan 4</t>
  </si>
  <si>
    <t>#7A8B8B</t>
  </si>
  <si>
    <t>light goldenrod</t>
  </si>
  <si>
    <t>light goldenrod 1</t>
  </si>
  <si>
    <t>#FFEC8B</t>
  </si>
  <si>
    <t>light goldenrod 3</t>
  </si>
  <si>
    <t>#CDBE70</t>
  </si>
  <si>
    <t>light goldenrod 4</t>
  </si>
  <si>
    <t>#8B814C</t>
  </si>
  <si>
    <t>light goldenrod yellow</t>
  </si>
  <si>
    <t>#FAFAD2</t>
  </si>
  <si>
    <t>light gray</t>
  </si>
  <si>
    <t>#D3D3D3</t>
  </si>
  <si>
    <t>light pink</t>
  </si>
  <si>
    <t>#FFB6C1</t>
  </si>
  <si>
    <t>light pink 1</t>
  </si>
  <si>
    <t>#FFAEB9</t>
  </si>
  <si>
    <t>light pink 2</t>
  </si>
  <si>
    <t>#EEA2AD</t>
  </si>
  <si>
    <t>light pink 3</t>
  </si>
  <si>
    <t>#CD8C95</t>
  </si>
  <si>
    <t>light pink 4</t>
  </si>
  <si>
    <t>#8B5F65</t>
  </si>
  <si>
    <t>light salmon 1</t>
  </si>
  <si>
    <t>#FFA07A</t>
  </si>
  <si>
    <t>light salmon 2</t>
  </si>
  <si>
    <t>#EE9572</t>
  </si>
  <si>
    <t>light salmon 3</t>
  </si>
  <si>
    <t>#CD8162</t>
  </si>
  <si>
    <t>light salmon 4</t>
  </si>
  <si>
    <t>#8B5742</t>
  </si>
  <si>
    <t>light sea green</t>
  </si>
  <si>
    <t>#20B2AA</t>
  </si>
  <si>
    <t>light sky blue</t>
  </si>
  <si>
    <t>#87CEFA</t>
  </si>
  <si>
    <t>light sky blue 1</t>
  </si>
  <si>
    <t>#B0E2FF</t>
  </si>
  <si>
    <t>light sky blue 2</t>
  </si>
  <si>
    <t>#A4D3EE</t>
  </si>
  <si>
    <t>light sky blue 3</t>
  </si>
  <si>
    <t>#8DB6CD</t>
  </si>
  <si>
    <t>light sky blue 4</t>
  </si>
  <si>
    <t>#607B8B</t>
  </si>
  <si>
    <t>light slate blue</t>
  </si>
  <si>
    <t>#8470FF</t>
  </si>
  <si>
    <t>light slate gray</t>
  </si>
  <si>
    <t>#778899</t>
  </si>
  <si>
    <t>light steel blue</t>
  </si>
  <si>
    <t>#B0C4DE</t>
  </si>
  <si>
    <t>light steel blue 1</t>
  </si>
  <si>
    <t>#CAE1FF</t>
  </si>
  <si>
    <t>light steel blue 2</t>
  </si>
  <si>
    <t>#BCD2EE</t>
  </si>
  <si>
    <t>light steel blue 3</t>
  </si>
  <si>
    <t>#A2B5CD</t>
  </si>
  <si>
    <t>light steel blue 4</t>
  </si>
  <si>
    <t>#6E7B8B</t>
  </si>
  <si>
    <t>light yellow 1</t>
  </si>
  <si>
    <t>#FFFFE0</t>
  </si>
  <si>
    <t>light yellow 2</t>
  </si>
  <si>
    <t>#EEEED1</t>
  </si>
  <si>
    <t>light yellow 3</t>
  </si>
  <si>
    <t>#CDCDB4</t>
  </si>
  <si>
    <t>light yellow 4</t>
  </si>
  <si>
    <t>#8B8B7A</t>
  </si>
  <si>
    <t>lime green</t>
  </si>
  <si>
    <t>#32CD32</t>
  </si>
  <si>
    <t>#FAF0E6</t>
  </si>
  <si>
    <t>magenta 1</t>
  </si>
  <si>
    <t>magenta 2</t>
  </si>
  <si>
    <t>#EE00EE</t>
  </si>
  <si>
    <t>magenta 3</t>
  </si>
  <si>
    <t>#CD00CD</t>
  </si>
  <si>
    <t>magenta 4</t>
  </si>
  <si>
    <t>#8B008B</t>
  </si>
  <si>
    <t>manganese blue</t>
  </si>
  <si>
    <t>#03A89E</t>
  </si>
  <si>
    <t>maroon 1</t>
  </si>
  <si>
    <t>#FF34B3</t>
  </si>
  <si>
    <t>maroon 2</t>
  </si>
  <si>
    <t>#EE30A7</t>
  </si>
  <si>
    <t>maroon 3</t>
  </si>
  <si>
    <t>#CD2990</t>
  </si>
  <si>
    <t>maroon 4</t>
  </si>
  <si>
    <t>#8B1C62</t>
  </si>
  <si>
    <t>#800000</t>
  </si>
  <si>
    <t>mars orange</t>
  </si>
  <si>
    <t>mars yellow</t>
  </si>
  <si>
    <t>medium orchid</t>
  </si>
  <si>
    <t>#BA55D3</t>
  </si>
  <si>
    <t>medium orchid 1</t>
  </si>
  <si>
    <t>#E066FF</t>
  </si>
  <si>
    <t>medium orchid 2</t>
  </si>
  <si>
    <t>#D15FEE</t>
  </si>
  <si>
    <t>medium orchid 3</t>
  </si>
  <si>
    <t>#B452CD</t>
  </si>
  <si>
    <t>medium orchid 4</t>
  </si>
  <si>
    <t>#7A378B</t>
  </si>
  <si>
    <t>medium purple</t>
  </si>
  <si>
    <t>#9370DB</t>
  </si>
  <si>
    <t>medium purple 1</t>
  </si>
  <si>
    <t>#AB82FF</t>
  </si>
  <si>
    <t>medium purple 2</t>
  </si>
  <si>
    <t>#9F79EE</t>
  </si>
  <si>
    <t>medium purple 3</t>
  </si>
  <si>
    <t>#8968CD</t>
  </si>
  <si>
    <t>medium purple 4</t>
  </si>
  <si>
    <t>#5D478B</t>
  </si>
  <si>
    <t>medium sea green</t>
  </si>
  <si>
    <t>#3CB371</t>
  </si>
  <si>
    <t>medium slate blue</t>
  </si>
  <si>
    <t>#7B68EE</t>
  </si>
  <si>
    <t>medium spring green</t>
  </si>
  <si>
    <t>#00FA9A</t>
  </si>
  <si>
    <t>medium turquoise</t>
  </si>
  <si>
    <t>#48D1CC</t>
  </si>
  <si>
    <t>medium violet red</t>
  </si>
  <si>
    <t>#C71585</t>
  </si>
  <si>
    <t>#E3A869</t>
  </si>
  <si>
    <t>midnight blue</t>
  </si>
  <si>
    <t>#191970</t>
  </si>
  <si>
    <t>#BDFCC9</t>
  </si>
  <si>
    <t>mint cream</t>
  </si>
  <si>
    <t>#F5FFFA</t>
  </si>
  <si>
    <t>misty rose 1</t>
  </si>
  <si>
    <t>#FFE4E1</t>
  </si>
  <si>
    <t>misty rose 2</t>
  </si>
  <si>
    <t>#EED5D2</t>
  </si>
  <si>
    <t>misty rose 3</t>
  </si>
  <si>
    <t>#CDB7B5</t>
  </si>
  <si>
    <t>misty rose 4</t>
  </si>
  <si>
    <t>#8B7D7B</t>
  </si>
  <si>
    <t>#FFE4B5</t>
  </si>
  <si>
    <t>naples yellow deep</t>
  </si>
  <si>
    <t>navajo white 1</t>
  </si>
  <si>
    <t>#FFDEAD</t>
  </si>
  <si>
    <t>navajo white 2</t>
  </si>
  <si>
    <t>#EECFA1</t>
  </si>
  <si>
    <t>navajo white 3</t>
  </si>
  <si>
    <t>#CDB38B</t>
  </si>
  <si>
    <t>navajo white 4</t>
  </si>
  <si>
    <t>#8B795E</t>
  </si>
  <si>
    <t>#000080</t>
  </si>
  <si>
    <t>old lace</t>
  </si>
  <si>
    <t>#FDF5E6</t>
  </si>
  <si>
    <t>olive drab</t>
  </si>
  <si>
    <t>#6B8E23</t>
  </si>
  <si>
    <t>olive drab 1</t>
  </si>
  <si>
    <t>#C0FF3E</t>
  </si>
  <si>
    <t>olive drab 2</t>
  </si>
  <si>
    <t>#B3EE3A</t>
  </si>
  <si>
    <t>olive drab 3</t>
  </si>
  <si>
    <t>#9ACD32</t>
  </si>
  <si>
    <t>olive drab 4</t>
  </si>
  <si>
    <t>#698B22</t>
  </si>
  <si>
    <t>#808000</t>
  </si>
  <si>
    <t>olivedrab</t>
  </si>
  <si>
    <t>#FF8000</t>
  </si>
  <si>
    <t>orange 1</t>
  </si>
  <si>
    <t>#FFA500</t>
  </si>
  <si>
    <t>orange 2</t>
  </si>
  <si>
    <t>#EE9A00</t>
  </si>
  <si>
    <t>orange 3</t>
  </si>
  <si>
    <t>#CD8500</t>
  </si>
  <si>
    <t>orange 4</t>
  </si>
  <si>
    <t>#8B5A00</t>
  </si>
  <si>
    <t>orange red 1</t>
  </si>
  <si>
    <t>#FF4500</t>
  </si>
  <si>
    <t>orange red 2</t>
  </si>
  <si>
    <t>#EE4000</t>
  </si>
  <si>
    <t>orange red 3</t>
  </si>
  <si>
    <t>#CD3700</t>
  </si>
  <si>
    <t>orange red 4</t>
  </si>
  <si>
    <t>#8B2500</t>
  </si>
  <si>
    <t>#DA70D6</t>
  </si>
  <si>
    <t>orchid 1</t>
  </si>
  <si>
    <t>#FF83FA</t>
  </si>
  <si>
    <t>orchid 2</t>
  </si>
  <si>
    <t>#EE7AE9</t>
  </si>
  <si>
    <t>orchid 3</t>
  </si>
  <si>
    <t>#CD69C9</t>
  </si>
  <si>
    <t>orchid 4</t>
  </si>
  <si>
    <t>#8B4789</t>
  </si>
  <si>
    <t>pale golden rod</t>
  </si>
  <si>
    <t>#EEE8AA</t>
  </si>
  <si>
    <t>pale green 1</t>
  </si>
  <si>
    <t>#9AFF9A</t>
  </si>
  <si>
    <t>pale green 2</t>
  </si>
  <si>
    <t>#90EE90</t>
  </si>
  <si>
    <t>pale green 3</t>
  </si>
  <si>
    <t>#7CCD7C</t>
  </si>
  <si>
    <t>pale green 4</t>
  </si>
  <si>
    <t>#548B54</t>
  </si>
  <si>
    <t>pale turquoise 1</t>
  </si>
  <si>
    <t>#BBFFFF</t>
  </si>
  <si>
    <t>pale turquoise 2</t>
  </si>
  <si>
    <t>#AEEEEE</t>
  </si>
  <si>
    <t>pale turquoise 3</t>
  </si>
  <si>
    <t>#96CDCD</t>
  </si>
  <si>
    <t>pale turquoise 4</t>
  </si>
  <si>
    <t>#668B8B</t>
  </si>
  <si>
    <t>pale violet red</t>
  </si>
  <si>
    <t>#DB7093</t>
  </si>
  <si>
    <t>pale violet red 1</t>
  </si>
  <si>
    <t>#FF82AB</t>
  </si>
  <si>
    <t>pale violet red 2</t>
  </si>
  <si>
    <t>#EE799F</t>
  </si>
  <si>
    <t>pale violet red 3</t>
  </si>
  <si>
    <t>#CD6889</t>
  </si>
  <si>
    <t>pale violet red 4</t>
  </si>
  <si>
    <t>#8B475D</t>
  </si>
  <si>
    <t>palegreen</t>
  </si>
  <si>
    <t>#98FB98</t>
  </si>
  <si>
    <t>papaya whip</t>
  </si>
  <si>
    <t>#FFEFD5</t>
  </si>
  <si>
    <t>peach puff 1</t>
  </si>
  <si>
    <t>#FFDAB9</t>
  </si>
  <si>
    <t>peachpuff 2</t>
  </si>
  <si>
    <t>#EECBAD</t>
  </si>
  <si>
    <t>peachpuff 3</t>
  </si>
  <si>
    <t>#CDAF95</t>
  </si>
  <si>
    <t>peachpuff 4</t>
  </si>
  <si>
    <t>#8B7765</t>
  </si>
  <si>
    <t>#33A1C9</t>
  </si>
  <si>
    <t>#FFC0CB</t>
  </si>
  <si>
    <t>pink 1</t>
  </si>
  <si>
    <t>#FFB5C5</t>
  </si>
  <si>
    <t>pink 2</t>
  </si>
  <si>
    <t>#EEA9B8</t>
  </si>
  <si>
    <t>pink 3</t>
  </si>
  <si>
    <t>#CD919E</t>
  </si>
  <si>
    <t>pink 4</t>
  </si>
  <si>
    <t>#8B636C</t>
  </si>
  <si>
    <t>#DDA0DD</t>
  </si>
  <si>
    <t>plum 1</t>
  </si>
  <si>
    <t>#FFBBFF</t>
  </si>
  <si>
    <t>plum 2</t>
  </si>
  <si>
    <t>#EEAEEE</t>
  </si>
  <si>
    <t>plum 3</t>
  </si>
  <si>
    <t>#CD96CD</t>
  </si>
  <si>
    <t>plum 4</t>
  </si>
  <si>
    <t>#8B668B</t>
  </si>
  <si>
    <t>powder blue</t>
  </si>
  <si>
    <t>#B0E0E6</t>
  </si>
  <si>
    <t>purple 1</t>
  </si>
  <si>
    <t>#9B30FF</t>
  </si>
  <si>
    <t>purple 2</t>
  </si>
  <si>
    <t>#912CEE</t>
  </si>
  <si>
    <t>purple 3</t>
  </si>
  <si>
    <t>#7D26CD</t>
  </si>
  <si>
    <t>purple 4</t>
  </si>
  <si>
    <t>#551A8B</t>
  </si>
  <si>
    <t>#800080</t>
  </si>
  <si>
    <t>#872657</t>
  </si>
  <si>
    <t>raw sienna</t>
  </si>
  <si>
    <t>#C76114</t>
  </si>
  <si>
    <t>raw umber</t>
  </si>
  <si>
    <t>#734A12</t>
  </si>
  <si>
    <t>red 2</t>
  </si>
  <si>
    <t>#EE0000</t>
  </si>
  <si>
    <t>red 3</t>
  </si>
  <si>
    <t>#CD0000</t>
  </si>
  <si>
    <t>red 4</t>
  </si>
  <si>
    <t>#8B0000</t>
  </si>
  <si>
    <t>#FF0000</t>
  </si>
  <si>
    <t>madder rose</t>
  </si>
  <si>
    <t>madder lake deep</t>
  </si>
  <si>
    <t>rosy brown</t>
  </si>
  <si>
    <t>#BC8F8F</t>
  </si>
  <si>
    <t>rosy brown 1</t>
  </si>
  <si>
    <t>#FFC1C1</t>
  </si>
  <si>
    <t>rosy brown 2</t>
  </si>
  <si>
    <t>#EEB4B4</t>
  </si>
  <si>
    <t>rosy brown 3</t>
  </si>
  <si>
    <t>#CD9B9B</t>
  </si>
  <si>
    <t>rosy brown 4</t>
  </si>
  <si>
    <t>#8B6969</t>
  </si>
  <si>
    <t>rosybrown</t>
  </si>
  <si>
    <t>royal blue</t>
  </si>
  <si>
    <t>#4069E1</t>
  </si>
  <si>
    <t>royal blue 1</t>
  </si>
  <si>
    <t>#4876FF</t>
  </si>
  <si>
    <t>royal blue 2</t>
  </si>
  <si>
    <t>#436EEE</t>
  </si>
  <si>
    <t>royal blue 3</t>
  </si>
  <si>
    <t>#3A5FCD</t>
  </si>
  <si>
    <t>royal blue 4</t>
  </si>
  <si>
    <t>#27408B</t>
  </si>
  <si>
    <t>saddle brown</t>
  </si>
  <si>
    <t>#FA8072</t>
  </si>
  <si>
    <t>salmon 1</t>
  </si>
  <si>
    <t>#FF8C69</t>
  </si>
  <si>
    <t>salmon 2</t>
  </si>
  <si>
    <t>#EE8262</t>
  </si>
  <si>
    <t>salmon 3</t>
  </si>
  <si>
    <t>#CD7054</t>
  </si>
  <si>
    <t>salmon 4</t>
  </si>
  <si>
    <t>#8B4C39</t>
  </si>
  <si>
    <t>sandy brown</t>
  </si>
  <si>
    <t>sap green</t>
  </si>
  <si>
    <t>#308014</t>
  </si>
  <si>
    <t>sea green</t>
  </si>
  <si>
    <t>#2E8B57</t>
  </si>
  <si>
    <t>sea green 1</t>
  </si>
  <si>
    <t>#54FF9F</t>
  </si>
  <si>
    <t>sea green 2</t>
  </si>
  <si>
    <t>#4EEE94</t>
  </si>
  <si>
    <t>sea green 3</t>
  </si>
  <si>
    <t>#43CD80</t>
  </si>
  <si>
    <t>sea green 4</t>
  </si>
  <si>
    <t>seashell 1</t>
  </si>
  <si>
    <t>#FFF5EE</t>
  </si>
  <si>
    <t>seashell 2</t>
  </si>
  <si>
    <t>#EEE5DE</t>
  </si>
  <si>
    <t>seashell 3</t>
  </si>
  <si>
    <t>#CDC5BF</t>
  </si>
  <si>
    <t>seashell 4</t>
  </si>
  <si>
    <t>#8B8682</t>
  </si>
  <si>
    <t>#5E2612</t>
  </si>
  <si>
    <t>sgi beet</t>
  </si>
  <si>
    <t>#8E388E</t>
  </si>
  <si>
    <t>sgi bright gray</t>
  </si>
  <si>
    <t>#C5C1AA</t>
  </si>
  <si>
    <t>sgi chartreuse</t>
  </si>
  <si>
    <t>#71C671</t>
  </si>
  <si>
    <t>sgi dark gray</t>
  </si>
  <si>
    <t>#555555</t>
  </si>
  <si>
    <t>sgi gray 12</t>
  </si>
  <si>
    <t>#1E1E1E</t>
  </si>
  <si>
    <t>sgi gray 16</t>
  </si>
  <si>
    <t>#282828</t>
  </si>
  <si>
    <t>sgi gray 32</t>
  </si>
  <si>
    <t>#515151</t>
  </si>
  <si>
    <t>sgi gray 36</t>
  </si>
  <si>
    <t>#5B5B5B</t>
  </si>
  <si>
    <t>sgi gray 52</t>
  </si>
  <si>
    <t>#848484</t>
  </si>
  <si>
    <t>sgi gray 56</t>
  </si>
  <si>
    <t>#8E8E8E</t>
  </si>
  <si>
    <t>sgi gray 72</t>
  </si>
  <si>
    <t>#B7B7B7</t>
  </si>
  <si>
    <t>sgi gray 76</t>
  </si>
  <si>
    <t>#C1C1C1</t>
  </si>
  <si>
    <t>sgi gray 92</t>
  </si>
  <si>
    <t>#EAEAEA</t>
  </si>
  <si>
    <t>sgi gray 96</t>
  </si>
  <si>
    <t>#F4F4F4</t>
  </si>
  <si>
    <t>sgi light blue</t>
  </si>
  <si>
    <t>#7D9EC0</t>
  </si>
  <si>
    <t>sgi light gray</t>
  </si>
  <si>
    <t>#AAAAAA</t>
  </si>
  <si>
    <t>sgi olive drab</t>
  </si>
  <si>
    <t>#8E8E38</t>
  </si>
  <si>
    <t>sgi salmon</t>
  </si>
  <si>
    <t>#C67171</t>
  </si>
  <si>
    <t>sgi slate blue</t>
  </si>
  <si>
    <t>#7171C6</t>
  </si>
  <si>
    <t>sgi teal</t>
  </si>
  <si>
    <t>#388E8E</t>
  </si>
  <si>
    <t>#A0522D</t>
  </si>
  <si>
    <t>sienna 1</t>
  </si>
  <si>
    <t>#FF8247</t>
  </si>
  <si>
    <t>sienna 2</t>
  </si>
  <si>
    <t>#EE7942</t>
  </si>
  <si>
    <t>sienna 3</t>
  </si>
  <si>
    <t>#CD6839</t>
  </si>
  <si>
    <t>sienna 4</t>
  </si>
  <si>
    <t>#8B4726</t>
  </si>
  <si>
    <t>sky blue</t>
  </si>
  <si>
    <t>#87CEEB</t>
  </si>
  <si>
    <t>sky blue 1</t>
  </si>
  <si>
    <t>#87CEFF</t>
  </si>
  <si>
    <t>sky blue 2</t>
  </si>
  <si>
    <t>#7EC0EE</t>
  </si>
  <si>
    <t>sky blue 3</t>
  </si>
  <si>
    <t>#6CA6CD</t>
  </si>
  <si>
    <t>sky blue 4</t>
  </si>
  <si>
    <t>#4A708B</t>
  </si>
  <si>
    <t>slate blue</t>
  </si>
  <si>
    <t>#6A5ACD</t>
  </si>
  <si>
    <t>slate blue 1</t>
  </si>
  <si>
    <t>#836FFF</t>
  </si>
  <si>
    <t>slate blue 2</t>
  </si>
  <si>
    <t>#7A67EE</t>
  </si>
  <si>
    <t>slate blue 3</t>
  </si>
  <si>
    <t>#6959CD</t>
  </si>
  <si>
    <t>slate blue 4</t>
  </si>
  <si>
    <t>#473C8B</t>
  </si>
  <si>
    <t>slate gray</t>
  </si>
  <si>
    <t>#708090</t>
  </si>
  <si>
    <t>slate gray 1</t>
  </si>
  <si>
    <t>#C6E2FF</t>
  </si>
  <si>
    <t>slate gray 2</t>
  </si>
  <si>
    <t>#B9D3EE</t>
  </si>
  <si>
    <t>slate gray 3</t>
  </si>
  <si>
    <t>#9FB6CD</t>
  </si>
  <si>
    <t>slate gray 4</t>
  </si>
  <si>
    <t>#6C7B8B</t>
  </si>
  <si>
    <t>slateblue</t>
  </si>
  <si>
    <t>snow 1</t>
  </si>
  <si>
    <t>#FFFAFA</t>
  </si>
  <si>
    <t>snow 2</t>
  </si>
  <si>
    <t>#EEE9E9</t>
  </si>
  <si>
    <t>snow 3</t>
  </si>
  <si>
    <t>#CDC9C9</t>
  </si>
  <si>
    <t>snow 4</t>
  </si>
  <si>
    <t>#8B8989</t>
  </si>
  <si>
    <t>spring green</t>
  </si>
  <si>
    <t>#00FF7F</t>
  </si>
  <si>
    <t>spring green 1</t>
  </si>
  <si>
    <t>#00EE76</t>
  </si>
  <si>
    <t>spring green 2</t>
  </si>
  <si>
    <t>#00CD66</t>
  </si>
  <si>
    <t>spring green 3</t>
  </si>
  <si>
    <t>#008B45</t>
  </si>
  <si>
    <t>steel blue</t>
  </si>
  <si>
    <t>#4682B4</t>
  </si>
  <si>
    <t>steel blue 1</t>
  </si>
  <si>
    <t>#63B8FF</t>
  </si>
  <si>
    <t>steel blue 2</t>
  </si>
  <si>
    <t>#5CACEE</t>
  </si>
  <si>
    <t>steel blue 3</t>
  </si>
  <si>
    <t>#4F94CD</t>
  </si>
  <si>
    <t>steel blue 4</t>
  </si>
  <si>
    <t>#36648B</t>
  </si>
  <si>
    <t>steelblue</t>
  </si>
  <si>
    <t>#D2B48C</t>
  </si>
  <si>
    <t>tan 1</t>
  </si>
  <si>
    <t>#FFA54F</t>
  </si>
  <si>
    <t>tan 2</t>
  </si>
  <si>
    <t>#EE9A49</t>
  </si>
  <si>
    <t>tan 3</t>
  </si>
  <si>
    <t>#CD853F</t>
  </si>
  <si>
    <t>tan 4</t>
  </si>
  <si>
    <t>#8B5A2B</t>
  </si>
  <si>
    <t>#008080</t>
  </si>
  <si>
    <t>terre verte</t>
  </si>
  <si>
    <t>#385E0F</t>
  </si>
  <si>
    <t>#D8BFD8</t>
  </si>
  <si>
    <t>thistle 1</t>
  </si>
  <si>
    <t>#FFE1FF</t>
  </si>
  <si>
    <t>thistle 2</t>
  </si>
  <si>
    <t>#EED2EE</t>
  </si>
  <si>
    <t>thistle 3</t>
  </si>
  <si>
    <t>#CDB5CD</t>
  </si>
  <si>
    <t>thistle 4</t>
  </si>
  <si>
    <t>#8B7B8B</t>
  </si>
  <si>
    <t>tomato 1</t>
  </si>
  <si>
    <t>#FF6347</t>
  </si>
  <si>
    <t>tomato 2</t>
  </si>
  <si>
    <t>#EE5C42</t>
  </si>
  <si>
    <t>tomato 3</t>
  </si>
  <si>
    <t>#CD4F39</t>
  </si>
  <si>
    <t>tomato 4</t>
  </si>
  <si>
    <t>#8B3626</t>
  </si>
  <si>
    <t>tuquoise blue</t>
  </si>
  <si>
    <t>#00C78C</t>
  </si>
  <si>
    <t>#40E0D0</t>
  </si>
  <si>
    <t>turquoise 1</t>
  </si>
  <si>
    <t>#00F5FF</t>
  </si>
  <si>
    <t>turquoise 2</t>
  </si>
  <si>
    <t>#00E5EE</t>
  </si>
  <si>
    <t>turquoise 3</t>
  </si>
  <si>
    <t>#00C5CD</t>
  </si>
  <si>
    <t>turquoise 4</t>
  </si>
  <si>
    <t>#00868B</t>
  </si>
  <si>
    <t>turquoise pale</t>
  </si>
  <si>
    <t>#002A8F</t>
  </si>
  <si>
    <t>ultramarine violet</t>
  </si>
  <si>
    <t>van dyke brown</t>
  </si>
  <si>
    <t>venetian red</t>
  </si>
  <si>
    <t>#EE82EE</t>
  </si>
  <si>
    <t>violet 1</t>
  </si>
  <si>
    <t>cobalt violet deep</t>
  </si>
  <si>
    <t>violet red</t>
  </si>
  <si>
    <t>#D02090</t>
  </si>
  <si>
    <t>violet red 1</t>
  </si>
  <si>
    <t>#FF3E96</t>
  </si>
  <si>
    <t>violet red 2</t>
  </si>
  <si>
    <t>#EE3A8C</t>
  </si>
  <si>
    <t>violet red 3</t>
  </si>
  <si>
    <t>#CD3278</t>
  </si>
  <si>
    <t>violet red 4</t>
  </si>
  <si>
    <t>#8B2252</t>
  </si>
  <si>
    <t>permanent violet</t>
  </si>
  <si>
    <t>viridian light</t>
  </si>
  <si>
    <t>warm grey</t>
  </si>
  <si>
    <t>#808069</t>
  </si>
  <si>
    <t>#F5DEB3</t>
  </si>
  <si>
    <t>wheat 1</t>
  </si>
  <si>
    <t>#FFE7BA</t>
  </si>
  <si>
    <t>wheat 2</t>
  </si>
  <si>
    <t>#EED8AE</t>
  </si>
  <si>
    <t>wheat 3</t>
  </si>
  <si>
    <t>#CDBA96</t>
  </si>
  <si>
    <t>wheat 4</t>
  </si>
  <si>
    <t>#8B7E66</t>
  </si>
  <si>
    <t>white smoke</t>
  </si>
  <si>
    <t>#FFFFFF</t>
  </si>
  <si>
    <t>titanium white</t>
  </si>
  <si>
    <t>zinc white</t>
  </si>
  <si>
    <t>yellow 1</t>
  </si>
  <si>
    <t>#FFFF00</t>
  </si>
  <si>
    <t>yellow 2</t>
  </si>
  <si>
    <t>#EEEE00</t>
  </si>
  <si>
    <t>cadmium lemon</t>
  </si>
  <si>
    <t>yellow 3</t>
  </si>
  <si>
    <t>#CDCD00</t>
  </si>
  <si>
    <t>yellow 4</t>
  </si>
  <si>
    <t>#8B8B00</t>
  </si>
  <si>
    <t>yellow ochre</t>
  </si>
  <si>
    <t>aureoline yellow</t>
  </si>
  <si>
    <t>fuchsia</t>
  </si>
  <si>
    <t>lime</t>
  </si>
  <si>
    <t>navy blue</t>
  </si>
  <si>
    <t>olive 1</t>
  </si>
  <si>
    <t>purple x</t>
  </si>
  <si>
    <t>red 1</t>
  </si>
  <si>
    <t>silver</t>
  </si>
  <si>
    <t>teal</t>
  </si>
  <si>
    <t>EX9: Uncertainty in forecast combined with shaded rectangle</t>
  </si>
  <si>
    <t>=AddBlankChart(FALSE,100,100,"red")</t>
  </si>
  <si>
    <t>=AddBlankChart(FALSE) &amp; AddlineSeries(x,y)</t>
  </si>
  <si>
    <t>=AddBlankChart(FALSE) &amp; AddlineSeries(x,y) &amp; AddlineSeries(x,y_1)</t>
  </si>
  <si>
    <t>=AddBlankChart(FALSE,,,I165) &amp; AddlineSeries(x,y,,,"black",0,1,I164,0.3) &amp; AddlineSeries(x,y_1,,,"black",0,1,I163)</t>
  </si>
  <si>
    <t>=AddBlankChart(FALSE,,,)  &amp; AddlineSeries(x,y,,,"black",0,1,I164,0.3) &amp; AddConfidence(A191:A201,B191:I201)</t>
  </si>
  <si>
    <t>=AddBlankChart(FALSE,250,150,)  &amp; AddlineSeries(x,y) &amp; AddConfidence(Confidence_X,Confidence_Bounds)</t>
  </si>
  <si>
    <t>=AddBlankChart(FALSE,250,150,)  &amp; AddlineSeries(x,y) &amp; AddConfidence(Confidence_X,Confidence_Bounds,,,"dodger_blue","dodger_blue",0,0.9,"black")</t>
  </si>
  <si>
    <t>=AddBlankChart(FALSE,550,350,)  &amp; AddlineSeries(x,y,,,"black",0,1,Cols!B2,0.3) &amp; AddlineSeries(x,y_1,,,"black",0,1,Cols!B4) &amp;  AddConfidence(Confidence_X,Confidence_Bounds,,,Cols!B8,Cols!B6,,,"yellow")</t>
  </si>
  <si>
    <t>=AddBlankChart(FALSE,550,250,)  &amp; AddlineSeries(K273:K391,Y273:Y391,,,"white",,2,) &amp;  AddConfidence(confidence_bix_X,Confidence_data,,,Cols!B4,Cols!B8,0.4,0.9,"white")</t>
  </si>
  <si>
    <t>=AddBlankChart(FALSE,550,200) &amp; 
AddlineSeries(DATA!A4:A2517,DATA!B4:B2517) &amp; 
AddSquare(DATA!A1937,DATA!A2350,,0.7,Cols!B3)</t>
  </si>
  <si>
    <t>=AddBlankChart(FALSE) &amp; AddPointsSeries(x,y) &amp; AddPointsSeries(x,y_1)</t>
  </si>
  <si>
    <t>=AddBlankChart(TRUE,542,200) &amp; 
AddlineSeries(DATA!H60:H122,DATA!V4:V122,,,'Cols to choose for tutorial'!B6,,,,,0) &amp;
AddConfidence(DATA!H123:H137,DATA!I123:T137,,,'Cols to choose for tutorial'!B7,'Cols to choose for tutorial'!B9,0,0.1) &amp; AddSquare(DATA!H123,DATA!H137,,0.8,'Cols to choose for tutorial'!B7)</t>
  </si>
  <si>
    <t xml:space="preserve"> =AddBlankChart(FALSE)</t>
  </si>
  <si>
    <t>EX1: Simple default plot of a line</t>
  </si>
  <si>
    <r>
      <t xml:space="preserve">the </t>
    </r>
    <r>
      <rPr>
        <b/>
        <sz val="11"/>
        <color theme="1"/>
        <rFont val="Times New Roman"/>
        <family val="1"/>
      </rPr>
      <t>AddBlankChart</t>
    </r>
    <r>
      <rPr>
        <sz val="11"/>
        <color theme="1"/>
        <rFont val="Times New Roman"/>
        <family val="1"/>
      </rPr>
      <t xml:space="preserve"> function with options width and height he wants. Notice that one can choose two colors and then function will fill in the confidence regions with equal step transition between those two colors in RGB color space representation. Alternatively we could use one and the same color and gradually change transparency or mix the both of these processes. AddConfidence function is described on next page.
    Needless to say that the same reasoning like with </t>
    </r>
    <r>
      <rPr>
        <b/>
        <sz val="11"/>
        <color theme="1"/>
        <rFont val="Times New Roman"/>
        <family val="1"/>
      </rPr>
      <t xml:space="preserve">AddLineSeries </t>
    </r>
    <r>
      <rPr>
        <sz val="11"/>
        <color theme="1"/>
        <rFont val="Times New Roman"/>
        <family val="1"/>
      </rPr>
      <t xml:space="preserve">function applies here also. Namely, function can be used in a separate cell from </t>
    </r>
    <r>
      <rPr>
        <b/>
        <sz val="11"/>
        <color theme="1"/>
        <rFont val="Times New Roman"/>
        <family val="1"/>
      </rPr>
      <t xml:space="preserve">AddBlankChart </t>
    </r>
    <r>
      <rPr>
        <sz val="11"/>
        <color theme="1"/>
        <rFont val="Times New Roman"/>
        <family val="1"/>
      </rPr>
      <t xml:space="preserve">function but argument </t>
    </r>
    <r>
      <rPr>
        <b/>
        <sz val="11"/>
        <color theme="1"/>
        <rFont val="Times New Roman"/>
        <family val="1"/>
      </rPr>
      <t xml:space="preserve">ChartName </t>
    </r>
    <r>
      <rPr>
        <sz val="11"/>
        <color theme="1"/>
        <rFont val="Times New Roman"/>
        <family val="1"/>
      </rPr>
      <t xml:space="preserve">needs to be provided. Otherwise, the prefered method, that was shown above, is to add it in the same cell as </t>
    </r>
    <r>
      <rPr>
        <b/>
        <sz val="11"/>
        <color theme="1"/>
        <rFont val="Times New Roman"/>
        <family val="1"/>
      </rPr>
      <t xml:space="preserve">AddBlankChart </t>
    </r>
    <r>
      <rPr>
        <sz val="11"/>
        <color theme="1"/>
        <rFont val="Times New Roman"/>
        <family val="1"/>
      </rPr>
      <t>function and connect those two with "&amp;" sign.</t>
    </r>
  </si>
  <si>
    <t>Videti da napravis nacin da se apdejtuje rejndz I grafik a da se ne pravi nova serija usled novog naziva</t>
  </si>
  <si>
    <r>
      <rPr>
        <i/>
        <sz val="11"/>
        <color theme="1"/>
        <rFont val="Times New Roman"/>
        <family val="1"/>
      </rPr>
      <t>Note:Confidence region charts</t>
    </r>
    <r>
      <rPr>
        <sz val="11"/>
        <color theme="1"/>
        <rFont val="Times New Roman"/>
        <family val="1"/>
      </rPr>
      <t xml:space="preserve"> or </t>
    </r>
    <r>
      <rPr>
        <i/>
        <sz val="11"/>
        <color theme="1"/>
        <rFont val="Times New Roman"/>
        <family val="1"/>
      </rPr>
      <t>fancharts</t>
    </r>
    <r>
      <rPr>
        <sz val="11"/>
        <color theme="1"/>
        <rFont val="Times New Roman"/>
        <family val="1"/>
      </rPr>
      <t xml:space="preserve"> are plotted with </t>
    </r>
    <r>
      <rPr>
        <b/>
        <sz val="11"/>
        <color theme="1"/>
        <rFont val="Times New Roman"/>
        <family val="1"/>
      </rPr>
      <t>AddConfidence</t>
    </r>
    <r>
      <rPr>
        <sz val="11"/>
        <color theme="1"/>
        <rFont val="Times New Roman"/>
        <family val="1"/>
      </rPr>
      <t xml:space="preserve"> function. This function will be explained shortly after this section. One thing to keep in mind is that confidence regions are actually shapes which </t>
    </r>
    <r>
      <rPr>
        <b/>
        <sz val="11"/>
        <color theme="1"/>
        <rFont val="Times New Roman"/>
        <family val="1"/>
      </rPr>
      <t xml:space="preserve">do not(!!!) </t>
    </r>
    <r>
      <rPr>
        <sz val="11"/>
        <color theme="1"/>
        <rFont val="Times New Roman"/>
        <family val="1"/>
      </rPr>
      <t xml:space="preserve">scale in the same proportion as chart when one resizes chart. In other words if one wants to change the dimensions of chart he needs to re-evaluate </t>
    </r>
  </si>
  <si>
    <t>Qqplot</t>
  </si>
  <si>
    <t>ACF plot</t>
  </si>
  <si>
    <t>PACF plot</t>
  </si>
  <si>
    <t>Kernel density plot</t>
  </si>
  <si>
    <t>Adding a line to blank chart</t>
  </si>
  <si>
    <t>Dodati vektorizaciju argumenata</t>
  </si>
  <si>
    <t>Kako se dupliraju videti---&gt;kada je celija value onda ga ne nalazi I pravi novi. Vidi zasto se value u celiji desava.</t>
  </si>
  <si>
    <t>AddPointsFilling function explanation</t>
  </si>
  <si>
    <t>=AddPointFilling(SeriesName,ChartName,WhatToFill,LineColor,LineWeight,LineTransparency)</t>
  </si>
  <si>
    <t>Mandatory</t>
  </si>
  <si>
    <t>Name of the series you are adding lines to.</t>
  </si>
  <si>
    <t>WhatToFill</t>
  </si>
  <si>
    <t>"x_axis"</t>
  </si>
  <si>
    <t>Name the axis to which the lines from points you want to point. Eather of "X", "Y" or "x_axis", "y_axis".</t>
  </si>
  <si>
    <t>LineColor</t>
  </si>
  <si>
    <t>To do</t>
  </si>
  <si>
    <t>EX12: Simple default plot of 2 point series with function calls in one cell with point filling</t>
  </si>
  <si>
    <t>=AddBlankChart(TRUE)&amp;AddPointFilling(AddPointsSeries(x,y_1,,,5,,"white"),,"X")&amp;AddPointFilling(AddPointsSeries(x,y,,,2,8,"tomato",,"black",1),,"Y")</t>
  </si>
  <si>
    <t>To do QQ plot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</si>
</sst>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sz val="18"/>
      <color theme="1"/>
      <name val="Wingdings"/>
      <charset val="2"/>
    </font>
    <font>
      <sz val="18"/>
      <color theme="1"/>
      <name val="Calibri"/>
      <family val="2"/>
      <scheme val="minor"/>
    </font>
    <font>
      <b/>
      <sz val="11"/>
      <color theme="1"/>
      <name val="Times New Roman"/>
      <family val="1"/>
    </font>
    <font>
      <sz val="11"/>
      <color theme="1"/>
      <name val="Times New Roman"/>
      <family val="1"/>
    </font>
    <font>
      <sz val="18"/>
      <color theme="1"/>
      <name val="Times New Roman"/>
      <family val="1"/>
    </font>
    <font>
      <sz val="9"/>
      <color indexed="81"/>
      <name val="Tahoma"/>
      <family val="2"/>
    </font>
    <font>
      <b/>
      <sz val="9"/>
      <color indexed="81"/>
      <name val="Tahoma"/>
      <family val="2"/>
    </font>
    <font>
      <sz val="11"/>
      <color theme="0"/>
      <name val="Times New Roman"/>
      <family val="1"/>
    </font>
    <font>
      <i/>
      <sz val="11"/>
      <color theme="1"/>
      <name val="Times New Roman"/>
      <family val="1"/>
    </font>
    <font>
      <b/>
      <sz val="11"/>
      <name val="Times New Roman"/>
      <family val="1"/>
    </font>
    <font>
      <sz val="11"/>
      <color theme="0" tint="-0.499984740745262"/>
      <name val="Times New Roman"/>
      <family val="1"/>
    </font>
    <font>
      <b/>
      <sz val="11"/>
      <color theme="0" tint="-0.499984740745262"/>
      <name val="Times New Roman"/>
      <family val="1"/>
    </font>
    <font>
      <b/>
      <sz val="11"/>
      <color theme="0"/>
      <name val="Times New Roman"/>
      <family val="1"/>
    </font>
    <font>
      <sz val="10"/>
      <color theme="1"/>
      <name val="Arial"/>
      <family val="2"/>
    </font>
    <font>
      <b/>
      <sz val="10"/>
      <color theme="0"/>
      <name val="Arial"/>
      <family val="2"/>
    </font>
    <font>
      <b/>
      <vertAlign val="subscript"/>
      <sz val="10"/>
      <color theme="0"/>
      <name val="Arial"/>
      <family val="2"/>
    </font>
    <font>
      <b/>
      <sz val="11"/>
      <color theme="1"/>
      <name val="Arial"/>
      <family val="2"/>
    </font>
    <font>
      <u/>
      <sz val="11"/>
      <color theme="10"/>
      <name val="Calibri"/>
      <family val="2"/>
      <scheme val="minor"/>
    </font>
    <font>
      <u/>
      <sz val="11"/>
      <color theme="0"/>
      <name val="Calibri"/>
      <family val="2"/>
      <scheme val="minor"/>
    </font>
    <font>
      <b/>
      <sz val="11"/>
      <color theme="4" tint="-0.249977111117893"/>
      <name val="Calibri"/>
      <family val="2"/>
      <scheme val="minor"/>
    </font>
    <font>
      <sz val="11"/>
      <color theme="0" tint="-0.34998626667073579"/>
      <name val="Times New Roman"/>
      <family val="1"/>
    </font>
    <font>
      <b/>
      <i/>
      <sz val="11"/>
      <color theme="0"/>
      <name val="Times New Roman"/>
      <family val="1"/>
    </font>
    <font>
      <b/>
      <i/>
      <sz val="14"/>
      <color rgb="FF008080"/>
      <name val="Times New Roman"/>
      <family val="1"/>
    </font>
  </fonts>
  <fills count="611">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FF0000"/>
        <bgColor indexed="64"/>
      </patternFill>
    </fill>
    <fill>
      <patternFill patternType="solid">
        <fgColor rgb="FFFAEBD7"/>
        <bgColor indexed="64"/>
      </patternFill>
    </fill>
    <fill>
      <patternFill patternType="solid">
        <fgColor rgb="FFF0FFFF"/>
        <bgColor indexed="64"/>
      </patternFill>
    </fill>
    <fill>
      <patternFill patternType="solid">
        <fgColor rgb="FFFFE4C4"/>
        <bgColor indexed="64"/>
      </patternFill>
    </fill>
    <fill>
      <patternFill patternType="solid">
        <fgColor rgb="FFFFEBCD"/>
        <bgColor indexed="64"/>
      </patternFill>
    </fill>
    <fill>
      <patternFill patternType="solid">
        <fgColor rgb="FFFFF8DC"/>
        <bgColor indexed="64"/>
      </patternFill>
    </fill>
    <fill>
      <patternFill patternType="solid">
        <fgColor rgb="FFFCE6C9"/>
        <bgColor indexed="64"/>
      </patternFill>
    </fill>
    <fill>
      <patternFill patternType="solid">
        <fgColor rgb="FFFFFAF0"/>
        <bgColor indexed="64"/>
      </patternFill>
    </fill>
    <fill>
      <patternFill patternType="solid">
        <fgColor rgb="FFDCDCDC"/>
        <bgColor indexed="64"/>
      </patternFill>
    </fill>
    <fill>
      <patternFill patternType="solid">
        <fgColor rgb="FFF8F8FF"/>
        <bgColor indexed="64"/>
      </patternFill>
    </fill>
    <fill>
      <patternFill patternType="solid">
        <fgColor rgb="FFF0FFF0"/>
        <bgColor indexed="64"/>
      </patternFill>
    </fill>
    <fill>
      <patternFill patternType="solid">
        <fgColor rgb="FFFFFFF0"/>
        <bgColor indexed="64"/>
      </patternFill>
    </fill>
    <fill>
      <patternFill patternType="solid">
        <fgColor rgb="FFE6E6FA"/>
        <bgColor indexed="64"/>
      </patternFill>
    </fill>
    <fill>
      <patternFill patternType="solid">
        <fgColor rgb="FFFFF0F5"/>
        <bgColor indexed="64"/>
      </patternFill>
    </fill>
    <fill>
      <patternFill patternType="solid">
        <fgColor rgb="FFFFFACD"/>
        <bgColor indexed="64"/>
      </patternFill>
    </fill>
    <fill>
      <patternFill patternType="solid">
        <fgColor rgb="FFFAF0E6"/>
        <bgColor indexed="64"/>
      </patternFill>
    </fill>
    <fill>
      <patternFill patternType="solid">
        <fgColor rgb="FFF5FFFA"/>
        <bgColor indexed="64"/>
      </patternFill>
    </fill>
    <fill>
      <patternFill patternType="solid">
        <fgColor rgb="FFFFE4E1"/>
        <bgColor indexed="64"/>
      </patternFill>
    </fill>
    <fill>
      <patternFill patternType="solid">
        <fgColor rgb="FFFFE4B5"/>
        <bgColor indexed="64"/>
      </patternFill>
    </fill>
    <fill>
      <patternFill patternType="solid">
        <fgColor rgb="FFFFDEAD"/>
        <bgColor indexed="64"/>
      </patternFill>
    </fill>
    <fill>
      <patternFill patternType="solid">
        <fgColor rgb="FFFDF5E6"/>
        <bgColor indexed="64"/>
      </patternFill>
    </fill>
    <fill>
      <patternFill patternType="solid">
        <fgColor rgb="FFFFEFD5"/>
        <bgColor indexed="64"/>
      </patternFill>
    </fill>
    <fill>
      <patternFill patternType="solid">
        <fgColor rgb="FFFFDAB9"/>
        <bgColor indexed="64"/>
      </patternFill>
    </fill>
    <fill>
      <patternFill patternType="solid">
        <fgColor rgb="FFFFF5EE"/>
        <bgColor indexed="64"/>
      </patternFill>
    </fill>
    <fill>
      <patternFill patternType="solid">
        <fgColor rgb="FFFFFAFA"/>
        <bgColor indexed="64"/>
      </patternFill>
    </fill>
    <fill>
      <patternFill patternType="solid">
        <fgColor rgb="FFD8BFD8"/>
        <bgColor indexed="64"/>
      </patternFill>
    </fill>
    <fill>
      <patternFill patternType="solid">
        <fgColor rgb="FFFCFFF0"/>
        <bgColor indexed="64"/>
      </patternFill>
    </fill>
    <fill>
      <patternFill patternType="solid">
        <fgColor rgb="FFF5DEB3"/>
        <bgColor indexed="64"/>
      </patternFill>
    </fill>
    <fill>
      <patternFill patternType="solid">
        <fgColor rgb="FFFFFFFF"/>
        <bgColor indexed="64"/>
      </patternFill>
    </fill>
    <fill>
      <patternFill patternType="solid">
        <fgColor rgb="FFF5F5F5"/>
        <bgColor indexed="64"/>
      </patternFill>
    </fill>
    <fill>
      <patternFill patternType="solid">
        <fgColor rgb="FFFDF8FF"/>
        <bgColor indexed="64"/>
      </patternFill>
    </fill>
    <fill>
      <patternFill patternType="solid">
        <fgColor rgb="FF808A87"/>
        <bgColor indexed="64"/>
      </patternFill>
    </fill>
    <fill>
      <patternFill patternType="solid">
        <fgColor rgb="FF696969"/>
        <bgColor indexed="64"/>
      </patternFill>
    </fill>
    <fill>
      <patternFill patternType="solid">
        <fgColor rgb="FFC0C0C0"/>
        <bgColor indexed="64"/>
      </patternFill>
    </fill>
    <fill>
      <patternFill patternType="solid">
        <fgColor rgb="FFD3D3D3"/>
        <bgColor indexed="64"/>
      </patternFill>
    </fill>
    <fill>
      <patternFill patternType="solid">
        <fgColor rgb="FF708090"/>
        <bgColor indexed="64"/>
      </patternFill>
    </fill>
    <fill>
      <patternFill patternType="solid">
        <fgColor rgb="FF2F4F4F"/>
        <bgColor indexed="64"/>
      </patternFill>
    </fill>
    <fill>
      <patternFill patternType="solid">
        <fgColor rgb="FF778899"/>
        <bgColor indexed="64"/>
      </patternFill>
    </fill>
    <fill>
      <patternFill patternType="solid">
        <fgColor rgb="FF808069"/>
        <bgColor indexed="64"/>
      </patternFill>
    </fill>
    <fill>
      <patternFill patternType="solid">
        <fgColor rgb="FF000000"/>
        <bgColor indexed="64"/>
      </patternFill>
    </fill>
    <fill>
      <patternFill patternType="solid">
        <fgColor rgb="FF292421"/>
        <bgColor indexed="64"/>
      </patternFill>
    </fill>
    <fill>
      <patternFill patternType="solid">
        <fgColor rgb="FF2E473B"/>
        <bgColor indexed="64"/>
      </patternFill>
    </fill>
    <fill>
      <patternFill patternType="solid">
        <fgColor rgb="FFE32636"/>
        <bgColor indexed="64"/>
      </patternFill>
    </fill>
    <fill>
      <patternFill patternType="solid">
        <fgColor rgb="FF9C661F"/>
        <bgColor indexed="64"/>
      </patternFill>
    </fill>
    <fill>
      <patternFill patternType="solid">
        <fgColor rgb="FFE3170D"/>
        <bgColor indexed="64"/>
      </patternFill>
    </fill>
    <fill>
      <patternFill patternType="solid">
        <fgColor rgb="FFFF7F50"/>
        <bgColor indexed="64"/>
      </patternFill>
    </fill>
    <fill>
      <patternFill patternType="solid">
        <fgColor rgb="FFF08080"/>
        <bgColor indexed="64"/>
      </patternFill>
    </fill>
    <fill>
      <patternFill patternType="solid">
        <fgColor rgb="FFFF1493"/>
        <bgColor indexed="64"/>
      </patternFill>
    </fill>
    <fill>
      <patternFill patternType="solid">
        <fgColor rgb="FFD43D1A"/>
        <bgColor indexed="64"/>
      </patternFill>
    </fill>
    <fill>
      <patternFill patternType="solid">
        <fgColor rgb="FFB22222"/>
        <bgColor indexed="64"/>
      </patternFill>
    </fill>
    <fill>
      <patternFill patternType="solid">
        <fgColor rgb="FFE31230"/>
        <bgColor indexed="64"/>
      </patternFill>
    </fill>
    <fill>
      <patternFill patternType="solid">
        <fgColor rgb="FFFF69B4"/>
        <bgColor indexed="64"/>
      </patternFill>
    </fill>
    <fill>
      <patternFill patternType="solid">
        <fgColor rgb="FFB0171F"/>
        <bgColor indexed="64"/>
      </patternFill>
    </fill>
    <fill>
      <patternFill patternType="solid">
        <fgColor rgb="FFFFA07A"/>
        <bgColor indexed="64"/>
      </patternFill>
    </fill>
    <fill>
      <patternFill patternType="solid">
        <fgColor rgb="FFE32E30"/>
        <bgColor indexed="64"/>
      </patternFill>
    </fill>
    <fill>
      <patternFill patternType="solid">
        <fgColor rgb="FFB03060"/>
        <bgColor indexed="64"/>
      </patternFill>
    </fill>
    <fill>
      <patternFill patternType="solid">
        <fgColor rgb="FFFFC0CB"/>
        <bgColor indexed="64"/>
      </patternFill>
    </fill>
    <fill>
      <patternFill patternType="solid">
        <fgColor rgb="FFFFB6C1"/>
        <bgColor indexed="64"/>
      </patternFill>
    </fill>
    <fill>
      <patternFill patternType="solid">
        <fgColor rgb="FF872657"/>
        <bgColor indexed="64"/>
      </patternFill>
    </fill>
    <fill>
      <patternFill patternType="solid">
        <fgColor rgb="FFE33638"/>
        <bgColor indexed="64"/>
      </patternFill>
    </fill>
    <fill>
      <patternFill patternType="solid">
        <fgColor rgb="FFFA8072"/>
        <bgColor indexed="64"/>
      </patternFill>
    </fill>
    <fill>
      <patternFill patternType="solid">
        <fgColor rgb="FFFF6347"/>
        <bgColor indexed="64"/>
      </patternFill>
    </fill>
    <fill>
      <patternFill patternType="solid">
        <fgColor rgb="FFD41A1F"/>
        <bgColor indexed="64"/>
      </patternFill>
    </fill>
    <fill>
      <patternFill patternType="solid">
        <fgColor rgb="FFA39480"/>
        <bgColor indexed="64"/>
      </patternFill>
    </fill>
    <fill>
      <patternFill patternType="solid">
        <fgColor rgb="FF802A2A"/>
        <bgColor indexed="64"/>
      </patternFill>
    </fill>
    <fill>
      <patternFill patternType="solid">
        <fgColor rgb="FFDB2929"/>
        <bgColor indexed="64"/>
      </patternFill>
    </fill>
    <fill>
      <patternFill patternType="solid">
        <fgColor rgb="FF87421F"/>
        <bgColor indexed="64"/>
      </patternFill>
    </fill>
    <fill>
      <patternFill patternType="solid">
        <fgColor rgb="FFDEB887"/>
        <bgColor indexed="64"/>
      </patternFill>
    </fill>
    <fill>
      <patternFill patternType="solid">
        <fgColor rgb="FF8A360F"/>
        <bgColor indexed="64"/>
      </patternFill>
    </fill>
    <fill>
      <patternFill patternType="solid">
        <fgColor rgb="FF8A3324"/>
        <bgColor indexed="64"/>
      </patternFill>
    </fill>
    <fill>
      <patternFill patternType="solid">
        <fgColor rgb="FFD2691E"/>
        <bgColor indexed="64"/>
      </patternFill>
    </fill>
    <fill>
      <patternFill patternType="solid">
        <fgColor rgb="FF733D1A"/>
        <bgColor indexed="64"/>
      </patternFill>
    </fill>
    <fill>
      <patternFill patternType="solid">
        <fgColor rgb="FFFF7D40"/>
        <bgColor indexed="64"/>
      </patternFill>
    </fill>
    <fill>
      <patternFill patternType="solid">
        <fgColor rgb="FFFF5721"/>
        <bgColor indexed="64"/>
      </patternFill>
    </fill>
    <fill>
      <patternFill patternType="solid">
        <fgColor rgb="FFC77826"/>
        <bgColor indexed="64"/>
      </patternFill>
    </fill>
    <fill>
      <patternFill patternType="solid">
        <fgColor rgb="FFFF3D0D"/>
        <bgColor indexed="64"/>
      </patternFill>
    </fill>
    <fill>
      <patternFill patternType="solid">
        <fgColor rgb="FFF0E68C"/>
        <bgColor indexed="64"/>
      </patternFill>
    </fill>
    <fill>
      <patternFill patternType="solid">
        <fgColor rgb="FFBDB76B"/>
        <bgColor indexed="64"/>
      </patternFill>
    </fill>
    <fill>
      <patternFill patternType="solid">
        <fgColor rgb="FFF5F5DC"/>
        <bgColor indexed="64"/>
      </patternFill>
    </fill>
    <fill>
      <patternFill patternType="solid">
        <fgColor rgb="FFCD853F"/>
        <bgColor indexed="64"/>
      </patternFill>
    </fill>
    <fill>
      <patternFill patternType="solid">
        <fgColor rgb="FFBC8F8F"/>
        <bgColor indexed="64"/>
      </patternFill>
    </fill>
    <fill>
      <patternFill patternType="solid">
        <fgColor rgb="FFC76114"/>
        <bgColor indexed="64"/>
      </patternFill>
    </fill>
    <fill>
      <patternFill patternType="solid">
        <fgColor rgb="FF734A12"/>
        <bgColor indexed="64"/>
      </patternFill>
    </fill>
    <fill>
      <patternFill patternType="solid">
        <fgColor rgb="FF5E2612"/>
        <bgColor indexed="64"/>
      </patternFill>
    </fill>
    <fill>
      <patternFill patternType="solid">
        <fgColor rgb="FFA0522D"/>
        <bgColor indexed="64"/>
      </patternFill>
    </fill>
    <fill>
      <patternFill patternType="solid">
        <fgColor rgb="FF8B4513"/>
        <bgColor indexed="64"/>
      </patternFill>
    </fill>
    <fill>
      <patternFill patternType="solid">
        <fgColor rgb="FFF4A460"/>
        <bgColor indexed="64"/>
      </patternFill>
    </fill>
    <fill>
      <patternFill patternType="solid">
        <fgColor rgb="FFD2B48C"/>
        <bgColor indexed="64"/>
      </patternFill>
    </fill>
    <fill>
      <patternFill patternType="solid">
        <fgColor rgb="FF5E2605"/>
        <bgColor indexed="64"/>
      </patternFill>
    </fill>
    <fill>
      <patternFill patternType="solid">
        <fgColor rgb="FFFF6103"/>
        <bgColor indexed="64"/>
      </patternFill>
    </fill>
    <fill>
      <patternFill patternType="solid">
        <fgColor rgb="FFFF030D"/>
        <bgColor indexed="64"/>
      </patternFill>
    </fill>
    <fill>
      <patternFill patternType="solid">
        <fgColor rgb="FFED9121"/>
        <bgColor indexed="64"/>
      </patternFill>
    </fill>
    <fill>
      <patternFill patternType="solid">
        <fgColor rgb="FFFF8C00"/>
        <bgColor indexed="64"/>
      </patternFill>
    </fill>
    <fill>
      <patternFill patternType="solid">
        <fgColor rgb="FF964514"/>
        <bgColor indexed="64"/>
      </patternFill>
    </fill>
    <fill>
      <patternFill patternType="solid">
        <fgColor rgb="FFE3701A"/>
        <bgColor indexed="64"/>
      </patternFill>
    </fill>
    <fill>
      <patternFill patternType="solid">
        <fgColor rgb="FFFF8000"/>
        <bgColor indexed="64"/>
      </patternFill>
    </fill>
    <fill>
      <patternFill patternType="solid">
        <fgColor rgb="FFFF4500"/>
        <bgColor indexed="64"/>
      </patternFill>
    </fill>
    <fill>
      <patternFill patternType="solid">
        <fgColor rgb="FFE38217"/>
        <bgColor indexed="64"/>
      </patternFill>
    </fill>
    <fill>
      <patternFill patternType="solid">
        <fgColor rgb="FFFFA824"/>
        <bgColor indexed="64"/>
      </patternFill>
    </fill>
    <fill>
      <patternFill patternType="solid">
        <fgColor rgb="FFE3CF57"/>
        <bgColor indexed="64"/>
      </patternFill>
    </fill>
    <fill>
      <patternFill patternType="solid">
        <fgColor rgb="FFFFE303"/>
        <bgColor indexed="64"/>
      </patternFill>
    </fill>
    <fill>
      <patternFill patternType="solid">
        <fgColor rgb="FFFF9912"/>
        <bgColor indexed="64"/>
      </patternFill>
    </fill>
    <fill>
      <patternFill patternType="solid">
        <fgColor rgb="FFFFD700"/>
        <bgColor indexed="64"/>
      </patternFill>
    </fill>
    <fill>
      <patternFill patternType="solid">
        <fgColor rgb="FFDAA520"/>
        <bgColor indexed="64"/>
      </patternFill>
    </fill>
    <fill>
      <patternFill patternType="solid">
        <fgColor rgb="FFB8860B"/>
        <bgColor indexed="64"/>
      </patternFill>
    </fill>
    <fill>
      <patternFill patternType="solid">
        <fgColor rgb="FFFAFAD2"/>
        <bgColor indexed="64"/>
      </patternFill>
    </fill>
    <fill>
      <patternFill patternType="solid">
        <fgColor rgb="FFEEE8AA"/>
        <bgColor indexed="64"/>
      </patternFill>
    </fill>
    <fill>
      <patternFill patternType="solid">
        <fgColor rgb="FFEEDD82"/>
        <bgColor indexed="64"/>
      </patternFill>
    </fill>
    <fill>
      <patternFill patternType="solid">
        <fgColor rgb="FFE3A869"/>
        <bgColor indexed="64"/>
      </patternFill>
    </fill>
    <fill>
      <patternFill patternType="solid">
        <fgColor rgb="FFFFA812"/>
        <bgColor indexed="64"/>
      </patternFill>
    </fill>
    <fill>
      <patternFill patternType="solid">
        <fgColor rgb="FFFFFFE0"/>
        <bgColor indexed="64"/>
      </patternFill>
    </fill>
    <fill>
      <patternFill patternType="solid">
        <fgColor rgb="FF7FFF00"/>
        <bgColor indexed="64"/>
      </patternFill>
    </fill>
    <fill>
      <patternFill patternType="solid">
        <fgColor rgb="FF668014"/>
        <bgColor indexed="64"/>
      </patternFill>
    </fill>
    <fill>
      <patternFill patternType="solid">
        <fgColor rgb="FF61B329"/>
        <bgColor indexed="64"/>
      </patternFill>
    </fill>
    <fill>
      <patternFill patternType="solid">
        <fgColor rgb="FF3D9140"/>
        <bgColor indexed="64"/>
      </patternFill>
    </fill>
    <fill>
      <patternFill patternType="solid">
        <fgColor rgb="FF00C957"/>
        <bgColor indexed="64"/>
      </patternFill>
    </fill>
    <fill>
      <patternFill patternType="solid">
        <fgColor rgb="FF228B22"/>
        <bgColor indexed="64"/>
      </patternFill>
    </fill>
    <fill>
      <patternFill patternType="solid">
        <fgColor rgb="FF00FF00"/>
        <bgColor indexed="64"/>
      </patternFill>
    </fill>
    <fill>
      <patternFill patternType="solid">
        <fgColor rgb="FF006400"/>
        <bgColor indexed="64"/>
      </patternFill>
    </fill>
    <fill>
      <patternFill patternType="solid">
        <fgColor rgb="FF98FB98"/>
        <bgColor indexed="64"/>
      </patternFill>
    </fill>
    <fill>
      <patternFill patternType="solid">
        <fgColor rgb="FFADFF2F"/>
        <bgColor indexed="64"/>
      </patternFill>
    </fill>
    <fill>
      <patternFill patternType="solid">
        <fgColor rgb="FF7CFC00"/>
        <bgColor indexed="64"/>
      </patternFill>
    </fill>
    <fill>
      <patternFill patternType="solid">
        <fgColor rgb="FF32CD32"/>
        <bgColor indexed="64"/>
      </patternFill>
    </fill>
    <fill>
      <patternFill patternType="solid">
        <fgColor rgb="FFBDFCC9"/>
        <bgColor indexed="64"/>
      </patternFill>
    </fill>
    <fill>
      <patternFill patternType="solid">
        <fgColor rgb="FF3B5E2B"/>
        <bgColor indexed="64"/>
      </patternFill>
    </fill>
    <fill>
      <patternFill patternType="solid">
        <fgColor rgb="FF6B8E23"/>
        <bgColor indexed="64"/>
      </patternFill>
    </fill>
    <fill>
      <patternFill patternType="solid">
        <fgColor rgb="FF556B2F"/>
        <bgColor indexed="64"/>
      </patternFill>
    </fill>
    <fill>
      <patternFill patternType="solid">
        <fgColor rgb="FF0AC92B"/>
        <bgColor indexed="64"/>
      </patternFill>
    </fill>
    <fill>
      <patternFill patternType="solid">
        <fgColor rgb="FF308014"/>
        <bgColor indexed="64"/>
      </patternFill>
    </fill>
    <fill>
      <patternFill patternType="solid">
        <fgColor rgb="FF2E8B57"/>
        <bgColor indexed="64"/>
      </patternFill>
    </fill>
    <fill>
      <patternFill patternType="solid">
        <fgColor rgb="FF8FBC8F"/>
        <bgColor indexed="64"/>
      </patternFill>
    </fill>
    <fill>
      <patternFill patternType="solid">
        <fgColor rgb="FF3CB371"/>
        <bgColor indexed="64"/>
      </patternFill>
    </fill>
    <fill>
      <patternFill patternType="solid">
        <fgColor rgb="FF20B2AA"/>
        <bgColor indexed="64"/>
      </patternFill>
    </fill>
    <fill>
      <patternFill patternType="solid">
        <fgColor rgb="FF00FF7F"/>
        <bgColor indexed="64"/>
      </patternFill>
    </fill>
    <fill>
      <patternFill patternType="solid">
        <fgColor rgb="FF00FA9A"/>
        <bgColor indexed="64"/>
      </patternFill>
    </fill>
    <fill>
      <patternFill patternType="solid">
        <fgColor rgb="FF385E0F"/>
        <bgColor indexed="64"/>
      </patternFill>
    </fill>
    <fill>
      <patternFill patternType="solid">
        <fgColor rgb="FF6EFF70"/>
        <bgColor indexed="64"/>
      </patternFill>
    </fill>
    <fill>
      <patternFill patternType="solid">
        <fgColor rgb="FF9ACD32"/>
        <bgColor indexed="64"/>
      </patternFill>
    </fill>
    <fill>
      <patternFill patternType="solid">
        <fgColor rgb="FF7FFFD4"/>
        <bgColor indexed="64"/>
      </patternFill>
    </fill>
    <fill>
      <patternFill patternType="solid">
        <fgColor rgb="FF66CDAA"/>
        <bgColor indexed="64"/>
      </patternFill>
    </fill>
    <fill>
      <patternFill patternType="solid">
        <fgColor rgb="FF00FFFF"/>
        <bgColor indexed="64"/>
      </patternFill>
    </fill>
    <fill>
      <patternFill patternType="solid">
        <fgColor rgb="FFE0FFFF"/>
        <bgColor indexed="64"/>
      </patternFill>
    </fill>
    <fill>
      <patternFill patternType="solid">
        <fgColor rgb="FF40E0D0"/>
        <bgColor indexed="64"/>
      </patternFill>
    </fill>
    <fill>
      <patternFill patternType="solid">
        <fgColor rgb="FF00CED1"/>
        <bgColor indexed="64"/>
      </patternFill>
    </fill>
    <fill>
      <patternFill patternType="solid">
        <fgColor rgb="FF48D1CC"/>
        <bgColor indexed="64"/>
      </patternFill>
    </fill>
    <fill>
      <patternFill patternType="solid">
        <fgColor rgb="FFAFEEEE"/>
        <bgColor indexed="64"/>
      </patternFill>
    </fill>
    <fill>
      <patternFill patternType="solid">
        <fgColor rgb="FFF0F8FF"/>
        <bgColor indexed="64"/>
      </patternFill>
    </fill>
    <fill>
      <patternFill patternType="solid">
        <fgColor rgb="FF0000FF"/>
        <bgColor indexed="64"/>
      </patternFill>
    </fill>
    <fill>
      <patternFill patternType="solid">
        <fgColor rgb="FFADD8E6"/>
        <bgColor indexed="64"/>
      </patternFill>
    </fill>
    <fill>
      <patternFill patternType="solid">
        <fgColor rgb="FF0000CD"/>
        <bgColor indexed="64"/>
      </patternFill>
    </fill>
    <fill>
      <patternFill patternType="solid">
        <fgColor rgb="FF5F9EA0"/>
        <bgColor indexed="64"/>
      </patternFill>
    </fill>
    <fill>
      <patternFill patternType="solid">
        <fgColor rgb="FF3D59AB"/>
        <bgColor indexed="64"/>
      </patternFill>
    </fill>
    <fill>
      <patternFill patternType="solid">
        <fgColor rgb="FF6495ED"/>
        <bgColor indexed="64"/>
      </patternFill>
    </fill>
    <fill>
      <patternFill patternType="solid">
        <fgColor rgb="FF05B8CC"/>
        <bgColor indexed="64"/>
      </patternFill>
    </fill>
    <fill>
      <patternFill patternType="solid">
        <fgColor rgb="FF1E90FF"/>
        <bgColor indexed="64"/>
      </patternFill>
    </fill>
    <fill>
      <patternFill patternType="solid">
        <fgColor rgb="FF082E54"/>
        <bgColor indexed="64"/>
      </patternFill>
    </fill>
    <fill>
      <patternFill patternType="solid">
        <fgColor rgb="FF03A89E"/>
        <bgColor indexed="64"/>
      </patternFill>
    </fill>
    <fill>
      <patternFill patternType="solid">
        <fgColor rgb="FF191970"/>
        <bgColor indexed="64"/>
      </patternFill>
    </fill>
    <fill>
      <patternFill patternType="solid">
        <fgColor rgb="FF000080"/>
        <bgColor indexed="64"/>
      </patternFill>
    </fill>
    <fill>
      <patternFill patternType="solid">
        <fgColor rgb="FF33A1C9"/>
        <bgColor indexed="64"/>
      </patternFill>
    </fill>
    <fill>
      <patternFill patternType="solid">
        <fgColor rgb="FFB0E0E6"/>
        <bgColor indexed="64"/>
      </patternFill>
    </fill>
    <fill>
      <patternFill patternType="solid">
        <fgColor rgb="FF4169E1"/>
        <bgColor indexed="64"/>
      </patternFill>
    </fill>
    <fill>
      <patternFill patternType="solid">
        <fgColor rgb="FF6A5ACD"/>
        <bgColor indexed="64"/>
      </patternFill>
    </fill>
    <fill>
      <patternFill patternType="solid">
        <fgColor rgb="FF483D8B"/>
        <bgColor indexed="64"/>
      </patternFill>
    </fill>
    <fill>
      <patternFill patternType="solid">
        <fgColor rgb="FF8470FF"/>
        <bgColor indexed="64"/>
      </patternFill>
    </fill>
    <fill>
      <patternFill patternType="solid">
        <fgColor rgb="FF7B68EE"/>
        <bgColor indexed="64"/>
      </patternFill>
    </fill>
    <fill>
      <patternFill patternType="solid">
        <fgColor rgb="FF87CEEB"/>
        <bgColor indexed="64"/>
      </patternFill>
    </fill>
    <fill>
      <patternFill patternType="solid">
        <fgColor rgb="FF00BFFF"/>
        <bgColor indexed="64"/>
      </patternFill>
    </fill>
    <fill>
      <patternFill patternType="solid">
        <fgColor rgb="FF87CEFA"/>
        <bgColor indexed="64"/>
      </patternFill>
    </fill>
    <fill>
      <patternFill patternType="solid">
        <fgColor rgb="FF4682B4"/>
        <bgColor indexed="64"/>
      </patternFill>
    </fill>
    <fill>
      <patternFill patternType="solid">
        <fgColor rgb="FFB0C4DE"/>
        <bgColor indexed="64"/>
      </patternFill>
    </fill>
    <fill>
      <patternFill patternType="solid">
        <fgColor rgb="FF00C78C"/>
        <bgColor indexed="64"/>
      </patternFill>
    </fill>
    <fill>
      <patternFill patternType="solid">
        <fgColor rgb="FF120A8F"/>
        <bgColor indexed="64"/>
      </patternFill>
    </fill>
    <fill>
      <patternFill patternType="solid">
        <fgColor rgb="FF8A2BE2"/>
        <bgColor indexed="64"/>
      </patternFill>
    </fill>
    <fill>
      <patternFill patternType="solid">
        <fgColor rgb="FF91219E"/>
        <bgColor indexed="64"/>
      </patternFill>
    </fill>
    <fill>
      <patternFill patternType="solid">
        <fgColor rgb="FFFF00FF"/>
        <bgColor indexed="64"/>
      </patternFill>
    </fill>
    <fill>
      <patternFill patternType="solid">
        <fgColor rgb="FFDA70D6"/>
        <bgColor indexed="64"/>
      </patternFill>
    </fill>
    <fill>
      <patternFill patternType="solid">
        <fgColor rgb="FF9932CC"/>
        <bgColor indexed="64"/>
      </patternFill>
    </fill>
    <fill>
      <patternFill patternType="solid">
        <fgColor rgb="FFBA55D3"/>
        <bgColor indexed="64"/>
      </patternFill>
    </fill>
    <fill>
      <patternFill patternType="solid">
        <fgColor rgb="FFDB2645"/>
        <bgColor indexed="64"/>
      </patternFill>
    </fill>
    <fill>
      <patternFill patternType="solid">
        <fgColor rgb="FFDDA0DD"/>
        <bgColor indexed="64"/>
      </patternFill>
    </fill>
    <fill>
      <patternFill patternType="solid">
        <fgColor rgb="FFA020F0"/>
        <bgColor indexed="64"/>
      </patternFill>
    </fill>
    <fill>
      <patternFill patternType="solid">
        <fgColor rgb="FF9370DB"/>
        <bgColor indexed="64"/>
      </patternFill>
    </fill>
    <fill>
      <patternFill patternType="solid">
        <fgColor rgb="FF5C246E"/>
        <bgColor indexed="64"/>
      </patternFill>
    </fill>
    <fill>
      <patternFill patternType="solid">
        <fgColor rgb="FF8F5E99"/>
        <bgColor indexed="64"/>
      </patternFill>
    </fill>
    <fill>
      <patternFill patternType="solid">
        <fgColor rgb="FF9400D3"/>
        <bgColor indexed="64"/>
      </patternFill>
    </fill>
    <fill>
      <patternFill patternType="solid">
        <fgColor rgb="FFD02090"/>
        <bgColor indexed="64"/>
      </patternFill>
    </fill>
    <fill>
      <patternFill patternType="solid">
        <fgColor rgb="FFC71585"/>
        <bgColor indexed="64"/>
      </patternFill>
    </fill>
    <fill>
      <patternFill patternType="solid">
        <fgColor rgb="FFDB7093"/>
        <bgColor indexed="64"/>
      </patternFill>
    </fill>
    <fill>
      <patternFill patternType="solid">
        <fgColor theme="1"/>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3"/>
        <bgColor indexed="64"/>
      </patternFill>
    </fill>
    <fill>
      <patternFill patternType="solid">
        <fgColor rgb="FFFFD39B"/>
        <bgColor indexed="64"/>
      </patternFill>
    </fill>
    <fill>
      <patternFill patternType="solid">
        <fgColor rgb="FFA70050"/>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6EEC6"/>
        <bgColor indexed="64"/>
      </patternFill>
    </fill>
    <fill>
      <patternFill patternType="solid">
        <fgColor rgb="FF458B74"/>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EE"/>
        <bgColor indexed="64"/>
      </patternFill>
    </fill>
    <fill>
      <patternFill patternType="solid">
        <fgColor rgb="FF00008B"/>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00317D"/>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DC143C"/>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A9A9A9"/>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BEBEBE"/>
        <bgColor indexed="64"/>
      </patternFill>
    </fill>
    <fill>
      <patternFill patternType="solid">
        <fgColor rgb="FF030303"/>
        <bgColor indexed="64"/>
      </patternFill>
    </fill>
    <fill>
      <patternFill patternType="solid">
        <fgColor rgb="FF1A1A1A"/>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00800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CD5C5C"/>
        <bgColor indexed="64"/>
      </patternFill>
    </fill>
    <fill>
      <patternFill patternType="solid">
        <fgColor rgb="FF8B3A3A"/>
        <bgColor indexed="64"/>
      </patternFill>
    </fill>
    <fill>
      <patternFill patternType="solid">
        <fgColor rgb="FF4B0082"/>
        <bgColor indexed="64"/>
      </patternFill>
    </fill>
    <fill>
      <patternFill patternType="solid">
        <fgColor rgb="FF218868"/>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EEDC82"/>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FFEC8B"/>
        <bgColor indexed="64"/>
      </patternFill>
    </fill>
    <fill>
      <patternFill patternType="solid">
        <fgColor rgb="FFCDBE70"/>
        <bgColor indexed="64"/>
      </patternFill>
    </fill>
    <fill>
      <patternFill patternType="solid">
        <fgColor rgb="FF8B814C"/>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800000"/>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C0FF3E"/>
        <bgColor indexed="64"/>
      </patternFill>
    </fill>
    <fill>
      <patternFill patternType="solid">
        <fgColor rgb="FFB3EE3A"/>
        <bgColor indexed="64"/>
      </patternFill>
    </fill>
    <fill>
      <patternFill patternType="solid">
        <fgColor rgb="FF698B22"/>
        <bgColor indexed="64"/>
      </patternFill>
    </fill>
    <fill>
      <patternFill patternType="solid">
        <fgColor rgb="FF808000"/>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80008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0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8E388E"/>
        <bgColor indexed="64"/>
      </patternFill>
    </fill>
    <fill>
      <patternFill patternType="solid">
        <fgColor rgb="FFC5C1AA"/>
        <bgColor indexed="64"/>
      </patternFill>
    </fill>
    <fill>
      <patternFill patternType="solid">
        <fgColor rgb="FF71C671"/>
        <bgColor indexed="64"/>
      </patternFill>
    </fill>
    <fill>
      <patternFill patternType="solid">
        <fgColor rgb="FF555555"/>
        <bgColor indexed="64"/>
      </patternFill>
    </fill>
    <fill>
      <patternFill patternType="solid">
        <fgColor rgb="FF1E1E1E"/>
        <bgColor indexed="64"/>
      </patternFill>
    </fill>
    <fill>
      <patternFill patternType="solid">
        <fgColor rgb="FF282828"/>
        <bgColor indexed="64"/>
      </patternFill>
    </fill>
    <fill>
      <patternFill patternType="solid">
        <fgColor rgb="FF515151"/>
        <bgColor indexed="64"/>
      </patternFill>
    </fill>
    <fill>
      <patternFill patternType="solid">
        <fgColor rgb="FF5B5B5B"/>
        <bgColor indexed="64"/>
      </patternFill>
    </fill>
    <fill>
      <patternFill patternType="solid">
        <fgColor rgb="FF848484"/>
        <bgColor indexed="64"/>
      </patternFill>
    </fill>
    <fill>
      <patternFill patternType="solid">
        <fgColor rgb="FF8E8E8E"/>
        <bgColor indexed="64"/>
      </patternFill>
    </fill>
    <fill>
      <patternFill patternType="solid">
        <fgColor rgb="FFB7B7B7"/>
        <bgColor indexed="64"/>
      </patternFill>
    </fill>
    <fill>
      <patternFill patternType="solid">
        <fgColor rgb="FFC1C1C1"/>
        <bgColor indexed="64"/>
      </patternFill>
    </fill>
    <fill>
      <patternFill patternType="solid">
        <fgColor rgb="FFEAEAEA"/>
        <bgColor indexed="64"/>
      </patternFill>
    </fill>
    <fill>
      <patternFill patternType="solid">
        <fgColor rgb="FFF4F4F4"/>
        <bgColor indexed="64"/>
      </patternFill>
    </fill>
    <fill>
      <patternFill patternType="solid">
        <fgColor rgb="FF7D9EC0"/>
        <bgColor indexed="64"/>
      </patternFill>
    </fill>
    <fill>
      <patternFill patternType="solid">
        <fgColor rgb="FFAAAAAA"/>
        <bgColor indexed="64"/>
      </patternFill>
    </fill>
    <fill>
      <patternFill patternType="solid">
        <fgColor rgb="FF8E8E38"/>
        <bgColor indexed="64"/>
      </patternFill>
    </fill>
    <fill>
      <patternFill patternType="solid">
        <fgColor rgb="FFC67171"/>
        <bgColor indexed="64"/>
      </patternFill>
    </fill>
    <fill>
      <patternFill patternType="solid">
        <fgColor rgb="FF7171C6"/>
        <bgColor indexed="64"/>
      </patternFill>
    </fill>
    <fill>
      <patternFill patternType="solid">
        <fgColor rgb="FF388E8E"/>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008080"/>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002A8F"/>
        <bgColor indexed="64"/>
      </patternFill>
    </fill>
    <fill>
      <patternFill patternType="solid">
        <fgColor rgb="FFEE82EE"/>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darkGrid">
        <bgColor auto="1"/>
      </patternFill>
    </fill>
    <fill>
      <patternFill patternType="solid">
        <fgColor auto="1"/>
        <bgColor indexed="64"/>
      </patternFill>
    </fill>
    <fill>
      <patternFill patternType="darkGrid">
        <bgColor theme="0"/>
      </patternFill>
    </fill>
    <fill>
      <patternFill patternType="darkGray"/>
    </fill>
  </fills>
  <borders count="40">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
      <left style="medium">
        <color rgb="FF00B0F0"/>
      </left>
      <right/>
      <top style="medium">
        <color rgb="FF00B0F0"/>
      </top>
      <bottom style="medium">
        <color rgb="FF00B0F0"/>
      </bottom>
      <diagonal/>
    </border>
    <border>
      <left/>
      <right style="medium">
        <color rgb="FF00B0F0"/>
      </right>
      <top style="medium">
        <color rgb="FF00B0F0"/>
      </top>
      <bottom style="medium">
        <color rgb="FF00B0F0"/>
      </bottom>
      <diagonal/>
    </border>
    <border>
      <left style="thin">
        <color rgb="FFC80000"/>
      </left>
      <right style="thin">
        <color rgb="FFC80000"/>
      </right>
      <top style="medium">
        <color rgb="FF00B0F0"/>
      </top>
      <bottom style="thin">
        <color rgb="FFC80000"/>
      </bottom>
      <diagonal/>
    </border>
    <border>
      <left style="thin">
        <color rgb="FFC80000"/>
      </left>
      <right style="thin">
        <color rgb="FFC80000"/>
      </right>
      <top style="thin">
        <color rgb="FFC80000"/>
      </top>
      <bottom style="thin">
        <color rgb="FFC80000"/>
      </bottom>
      <diagonal/>
    </border>
    <border>
      <left style="thin">
        <color rgb="FFC80000"/>
      </left>
      <right style="hair">
        <color rgb="FFC80000"/>
      </right>
      <top style="medium">
        <color rgb="FF00B0F0"/>
      </top>
      <bottom style="hair">
        <color rgb="FFC80000"/>
      </bottom>
      <diagonal/>
    </border>
    <border>
      <left style="thin">
        <color rgb="FFC80000"/>
      </left>
      <right style="hair">
        <color rgb="FFC80000"/>
      </right>
      <top style="hair">
        <color rgb="FFC80000"/>
      </top>
      <bottom style="hair">
        <color rgb="FFC80000"/>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thin">
        <color rgb="FF820303"/>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medium">
        <color indexed="64"/>
      </bottom>
      <diagonal/>
    </border>
    <border>
      <left style="thin">
        <color rgb="FF000000"/>
      </left>
      <right style="thin">
        <color rgb="FF000000"/>
      </right>
      <top style="thin">
        <color rgb="FF000000"/>
      </top>
      <bottom style="thin">
        <color rgb="FF000000"/>
      </bottom>
      <diagonal/>
    </border>
    <border>
      <left style="medium">
        <color indexed="64"/>
      </left>
      <right style="medium">
        <color indexed="64"/>
      </right>
      <top style="medium">
        <color indexed="64"/>
      </top>
      <bottom style="medium">
        <color indexed="64"/>
      </bottom>
      <diagonal/>
    </border>
    <border>
      <left style="thin">
        <color theme="5" tint="-0.249977111117893"/>
      </left>
      <right/>
      <top style="thin">
        <color theme="5" tint="-0.249977111117893"/>
      </top>
      <bottom/>
      <diagonal/>
    </border>
    <border>
      <left/>
      <right/>
      <top style="thin">
        <color theme="5" tint="-0.249977111117893"/>
      </top>
      <bottom/>
      <diagonal/>
    </border>
    <border>
      <left/>
      <right style="thin">
        <color theme="5" tint="-0.249977111117893"/>
      </right>
      <top style="thin">
        <color theme="5" tint="-0.249977111117893"/>
      </top>
      <bottom/>
      <diagonal/>
    </border>
    <border>
      <left style="medium">
        <color theme="5" tint="-0.249977111117893"/>
      </left>
      <right style="thin">
        <color indexed="64"/>
      </right>
      <top style="medium">
        <color theme="5" tint="-0.249977111117893"/>
      </top>
      <bottom style="medium">
        <color theme="5" tint="-0.249977111117893"/>
      </bottom>
      <diagonal/>
    </border>
    <border>
      <left style="thin">
        <color indexed="64"/>
      </left>
      <right style="thin">
        <color indexed="64"/>
      </right>
      <top style="medium">
        <color theme="5" tint="-0.249977111117893"/>
      </top>
      <bottom style="medium">
        <color theme="5" tint="-0.249977111117893"/>
      </bottom>
      <diagonal/>
    </border>
    <border>
      <left style="thin">
        <color indexed="64"/>
      </left>
      <right style="medium">
        <color theme="5" tint="-0.249977111117893"/>
      </right>
      <top style="medium">
        <color theme="5" tint="-0.249977111117893"/>
      </top>
      <bottom style="medium">
        <color theme="5" tint="-0.249977111117893"/>
      </bottom>
      <diagonal/>
    </border>
    <border>
      <left style="thin">
        <color rgb="FF000000"/>
      </left>
      <right style="thin">
        <color rgb="FF000000"/>
      </right>
      <top/>
      <bottom style="thin">
        <color rgb="FF000000"/>
      </bottom>
      <diagonal/>
    </border>
    <border>
      <left style="medium">
        <color theme="5" tint="-0.24994659260841701"/>
      </left>
      <right style="thin">
        <color rgb="FF000000"/>
      </right>
      <top style="medium">
        <color theme="5" tint="-0.24994659260841701"/>
      </top>
      <bottom style="medium">
        <color theme="5" tint="-0.24994659260841701"/>
      </bottom>
      <diagonal/>
    </border>
    <border>
      <left style="thin">
        <color rgb="FF000000"/>
      </left>
      <right style="thin">
        <color rgb="FF000000"/>
      </right>
      <top style="medium">
        <color theme="5" tint="-0.24994659260841701"/>
      </top>
      <bottom style="medium">
        <color theme="5" tint="-0.24994659260841701"/>
      </bottom>
      <diagonal/>
    </border>
    <border>
      <left style="thin">
        <color rgb="FF000000"/>
      </left>
      <right style="medium">
        <color theme="5" tint="-0.24994659260841701"/>
      </right>
      <top style="medium">
        <color theme="5" tint="-0.24994659260841701"/>
      </top>
      <bottom style="medium">
        <color theme="5" tint="-0.24994659260841701"/>
      </bottom>
      <diagonal/>
    </border>
    <border>
      <left/>
      <right style="thin">
        <color rgb="FF820303"/>
      </right>
      <top/>
      <bottom style="thin">
        <color indexed="64"/>
      </bottom>
      <diagonal/>
    </border>
    <border>
      <left/>
      <right style="thin">
        <color rgb="FF820303"/>
      </right>
      <top/>
      <bottom/>
      <diagonal/>
    </border>
    <border>
      <left/>
      <right style="thin">
        <color theme="0"/>
      </right>
      <top style="thin">
        <color theme="0"/>
      </top>
      <bottom style="thin">
        <color theme="0"/>
      </bottom>
      <diagonal/>
    </border>
  </borders>
  <cellStyleXfs count="3">
    <xf numFmtId="0" fontId="0" fillId="0" borderId="0"/>
    <xf numFmtId="9" fontId="1" fillId="0" borderId="0" applyFont="0" applyFill="0" applyBorder="0" applyAlignment="0" applyProtection="0"/>
    <xf numFmtId="0" fontId="21" fillId="0" borderId="0" applyNumberFormat="0" applyFill="0" applyBorder="0" applyAlignment="0" applyProtection="0"/>
  </cellStyleXfs>
  <cellXfs count="1118">
    <xf numFmtId="0" fontId="0" fillId="0" borderId="0" xfId="0"/>
    <xf numFmtId="0" fontId="0" fillId="0" borderId="0" xfId="0"/>
    <xf numFmtId="0" fontId="0" fillId="0" borderId="0" xfId="0" applyBorder="1"/>
    <xf numFmtId="0" fontId="4" fillId="0" borderId="0" xfId="0" applyFont="1"/>
    <xf numFmtId="0" fontId="5" fillId="0" borderId="0" xfId="0" applyFont="1"/>
    <xf numFmtId="0" fontId="0" fillId="3" borderId="0" xfId="0" applyFill="1"/>
    <xf numFmtId="0" fontId="4" fillId="0" borderId="10" xfId="0" applyFont="1" applyBorder="1"/>
    <xf numFmtId="0" fontId="4" fillId="0" borderId="11" xfId="0" applyFont="1" applyBorder="1"/>
    <xf numFmtId="0" fontId="7" fillId="0" borderId="8" xfId="0" applyFont="1" applyBorder="1" applyAlignment="1">
      <alignment horizontal="left" indent="1"/>
    </xf>
    <xf numFmtId="0" fontId="7" fillId="0" borderId="9" xfId="0" applyFont="1" applyBorder="1" applyAlignment="1">
      <alignment horizontal="left" indent="1"/>
    </xf>
    <xf numFmtId="0" fontId="8" fillId="0" borderId="0" xfId="0" applyFont="1"/>
    <xf numFmtId="0" fontId="7" fillId="4" borderId="9" xfId="0" applyFont="1" applyFill="1" applyBorder="1" applyAlignment="1">
      <alignment horizontal="left" indent="1"/>
    </xf>
    <xf numFmtId="0" fontId="4" fillId="4" borderId="11" xfId="0" applyFont="1" applyFill="1" applyBorder="1"/>
    <xf numFmtId="0" fontId="0" fillId="0" borderId="0" xfId="0" applyFill="1"/>
    <xf numFmtId="0" fontId="7" fillId="5" borderId="5" xfId="0" applyFont="1" applyFill="1" applyBorder="1"/>
    <xf numFmtId="0" fontId="7" fillId="0" borderId="5" xfId="0" applyFont="1" applyBorder="1"/>
    <xf numFmtId="0" fontId="7" fillId="6" borderId="1" xfId="0" applyFont="1" applyFill="1" applyBorder="1"/>
    <xf numFmtId="0" fontId="7" fillId="0" borderId="1" xfId="0" applyFont="1" applyBorder="1"/>
    <xf numFmtId="0" fontId="7" fillId="7" borderId="1" xfId="0" applyFont="1" applyFill="1" applyBorder="1"/>
    <xf numFmtId="0" fontId="7" fillId="8" borderId="1" xfId="0" applyFont="1" applyFill="1" applyBorder="1"/>
    <xf numFmtId="0" fontId="7" fillId="9" borderId="1" xfId="0" applyFont="1" applyFill="1" applyBorder="1"/>
    <xf numFmtId="0" fontId="7" fillId="10" borderId="1" xfId="0" applyFont="1" applyFill="1" applyBorder="1"/>
    <xf numFmtId="0" fontId="7" fillId="11" borderId="1" xfId="0" applyFont="1" applyFill="1" applyBorder="1"/>
    <xf numFmtId="0" fontId="7" fillId="12" borderId="1" xfId="0" applyFont="1" applyFill="1" applyBorder="1"/>
    <xf numFmtId="0" fontId="7" fillId="13" borderId="1" xfId="0" applyFont="1" applyFill="1" applyBorder="1"/>
    <xf numFmtId="0" fontId="7" fillId="14" borderId="1" xfId="0" applyFont="1" applyFill="1" applyBorder="1"/>
    <xf numFmtId="0" fontId="7" fillId="15" borderId="1" xfId="0" applyFont="1" applyFill="1" applyBorder="1"/>
    <xf numFmtId="0" fontId="7" fillId="16" borderId="1" xfId="0" applyFont="1" applyFill="1" applyBorder="1"/>
    <xf numFmtId="0" fontId="7" fillId="17" borderId="1" xfId="0" applyFont="1" applyFill="1" applyBorder="1"/>
    <xf numFmtId="0" fontId="7" fillId="18" borderId="1" xfId="0" applyFont="1" applyFill="1" applyBorder="1"/>
    <xf numFmtId="0" fontId="7" fillId="19" borderId="1" xfId="0" applyFont="1" applyFill="1" applyBorder="1"/>
    <xf numFmtId="0" fontId="7" fillId="20" borderId="1" xfId="0" applyFont="1" applyFill="1" applyBorder="1"/>
    <xf numFmtId="0" fontId="7" fillId="21" borderId="1" xfId="0" applyFont="1" applyFill="1" applyBorder="1"/>
    <xf numFmtId="0" fontId="7" fillId="22" borderId="1" xfId="0" applyFont="1" applyFill="1" applyBorder="1"/>
    <xf numFmtId="0" fontId="7" fillId="23" borderId="1" xfId="0" applyFont="1" applyFill="1" applyBorder="1"/>
    <xf numFmtId="0" fontId="7" fillId="24" borderId="1" xfId="0" applyFont="1" applyFill="1" applyBorder="1"/>
    <xf numFmtId="0" fontId="7" fillId="25" borderId="1" xfId="0" applyFont="1" applyFill="1" applyBorder="1"/>
    <xf numFmtId="0" fontId="7" fillId="26" borderId="1" xfId="0" applyFont="1" applyFill="1" applyBorder="1"/>
    <xf numFmtId="0" fontId="7" fillId="27" borderId="1" xfId="0" applyFont="1" applyFill="1" applyBorder="1"/>
    <xf numFmtId="0" fontId="7" fillId="28" borderId="1" xfId="0" applyFont="1" applyFill="1" applyBorder="1"/>
    <xf numFmtId="0" fontId="7" fillId="29" borderId="1" xfId="0" applyFont="1" applyFill="1" applyBorder="1"/>
    <xf numFmtId="0" fontId="7" fillId="30" borderId="1" xfId="0" applyFont="1" applyFill="1" applyBorder="1"/>
    <xf numFmtId="0" fontId="7" fillId="31" borderId="1" xfId="0" applyFont="1" applyFill="1" applyBorder="1"/>
    <xf numFmtId="0" fontId="7" fillId="32" borderId="1" xfId="0" applyFont="1" applyFill="1" applyBorder="1"/>
    <xf numFmtId="0" fontId="7" fillId="33" borderId="1" xfId="0" applyFont="1" applyFill="1" applyBorder="1"/>
    <xf numFmtId="0" fontId="7" fillId="34" borderId="1" xfId="0" applyFont="1" applyFill="1" applyBorder="1"/>
    <xf numFmtId="0" fontId="7" fillId="35" borderId="1" xfId="0" applyFont="1" applyFill="1" applyBorder="1"/>
    <xf numFmtId="0" fontId="7" fillId="36" borderId="1" xfId="0" applyFont="1" applyFill="1" applyBorder="1"/>
    <xf numFmtId="0" fontId="7" fillId="37" borderId="1" xfId="0" applyFont="1" applyFill="1" applyBorder="1"/>
    <xf numFmtId="0" fontId="7" fillId="38" borderId="1" xfId="0" applyFont="1" applyFill="1" applyBorder="1"/>
    <xf numFmtId="0" fontId="7" fillId="39" borderId="1" xfId="0" applyFont="1" applyFill="1" applyBorder="1"/>
    <xf numFmtId="0" fontId="7" fillId="40" borderId="1" xfId="0" applyFont="1" applyFill="1" applyBorder="1"/>
    <xf numFmtId="0" fontId="7" fillId="41" borderId="1" xfId="0" applyFont="1" applyFill="1" applyBorder="1"/>
    <xf numFmtId="0" fontId="7" fillId="42" borderId="1" xfId="0" applyFont="1" applyFill="1" applyBorder="1"/>
    <xf numFmtId="0" fontId="11" fillId="43" borderId="1" xfId="0" applyFont="1" applyFill="1" applyBorder="1"/>
    <xf numFmtId="0" fontId="7" fillId="44" borderId="1" xfId="0" applyFont="1" applyFill="1" applyBorder="1"/>
    <xf numFmtId="0" fontId="7" fillId="45" borderId="1" xfId="0" applyFont="1" applyFill="1" applyBorder="1"/>
    <xf numFmtId="0" fontId="7" fillId="46" borderId="1" xfId="0" applyFont="1" applyFill="1" applyBorder="1"/>
    <xf numFmtId="0" fontId="7" fillId="47" borderId="1" xfId="0" applyFont="1" applyFill="1" applyBorder="1"/>
    <xf numFmtId="0" fontId="7" fillId="48" borderId="1" xfId="0" applyFont="1" applyFill="1" applyBorder="1"/>
    <xf numFmtId="0" fontId="7" fillId="49" borderId="1" xfId="0" applyFont="1" applyFill="1" applyBorder="1"/>
    <xf numFmtId="0" fontId="7" fillId="50" borderId="1" xfId="0" applyFont="1" applyFill="1" applyBorder="1"/>
    <xf numFmtId="0" fontId="7" fillId="51" borderId="1" xfId="0" applyFont="1" applyFill="1" applyBorder="1"/>
    <xf numFmtId="0" fontId="7" fillId="52" borderId="1" xfId="0" applyFont="1" applyFill="1" applyBorder="1"/>
    <xf numFmtId="0" fontId="7" fillId="53" borderId="1" xfId="0" applyFont="1" applyFill="1" applyBorder="1"/>
    <xf numFmtId="0" fontId="7" fillId="54" borderId="1" xfId="0" applyFont="1" applyFill="1" applyBorder="1"/>
    <xf numFmtId="0" fontId="7" fillId="55" borderId="1" xfId="0" applyFont="1" applyFill="1" applyBorder="1"/>
    <xf numFmtId="0" fontId="7" fillId="56" borderId="1" xfId="0" applyFont="1" applyFill="1" applyBorder="1"/>
    <xf numFmtId="0" fontId="7" fillId="57" borderId="1" xfId="0" applyFont="1" applyFill="1" applyBorder="1"/>
    <xf numFmtId="0" fontId="7" fillId="58" borderId="1" xfId="0" applyFont="1" applyFill="1" applyBorder="1"/>
    <xf numFmtId="0" fontId="7" fillId="59" borderId="1" xfId="0" applyFont="1" applyFill="1" applyBorder="1"/>
    <xf numFmtId="0" fontId="7" fillId="60" borderId="1" xfId="0" applyFont="1" applyFill="1" applyBorder="1"/>
    <xf numFmtId="0" fontId="7" fillId="61" borderId="1" xfId="0" applyFont="1" applyFill="1" applyBorder="1"/>
    <xf numFmtId="0" fontId="7" fillId="62" borderId="1" xfId="0" applyFont="1" applyFill="1" applyBorder="1"/>
    <xf numFmtId="0" fontId="7" fillId="4" borderId="1" xfId="0" applyFont="1" applyFill="1" applyBorder="1"/>
    <xf numFmtId="0" fontId="7" fillId="63" borderId="1" xfId="0" applyFont="1" applyFill="1" applyBorder="1"/>
    <xf numFmtId="0" fontId="7" fillId="64" borderId="1" xfId="0" applyFont="1" applyFill="1" applyBorder="1"/>
    <xf numFmtId="0" fontId="7" fillId="65" borderId="1" xfId="0" applyFont="1" applyFill="1" applyBorder="1"/>
    <xf numFmtId="0" fontId="7" fillId="66" borderId="1" xfId="0" applyFont="1" applyFill="1" applyBorder="1"/>
    <xf numFmtId="0" fontId="7" fillId="67" borderId="1" xfId="0" applyFont="1" applyFill="1" applyBorder="1"/>
    <xf numFmtId="0" fontId="7" fillId="68" borderId="1" xfId="0" applyFont="1" applyFill="1" applyBorder="1"/>
    <xf numFmtId="0" fontId="7" fillId="69" borderId="1" xfId="0" applyFont="1" applyFill="1" applyBorder="1"/>
    <xf numFmtId="0" fontId="7" fillId="70" borderId="1" xfId="0" applyFont="1" applyFill="1" applyBorder="1"/>
    <xf numFmtId="0" fontId="7" fillId="71" borderId="1" xfId="0" applyFont="1" applyFill="1" applyBorder="1"/>
    <xf numFmtId="0" fontId="7" fillId="72" borderId="1" xfId="0" applyFont="1" applyFill="1" applyBorder="1"/>
    <xf numFmtId="0" fontId="7" fillId="73" borderId="1" xfId="0" applyFont="1" applyFill="1" applyBorder="1"/>
    <xf numFmtId="0" fontId="7" fillId="74" borderId="1" xfId="0" applyFont="1" applyFill="1" applyBorder="1"/>
    <xf numFmtId="0" fontId="7" fillId="75" borderId="1" xfId="0" applyFont="1" applyFill="1" applyBorder="1"/>
    <xf numFmtId="0" fontId="7" fillId="76" borderId="1" xfId="0" applyFont="1" applyFill="1" applyBorder="1"/>
    <xf numFmtId="0" fontId="7" fillId="77" borderId="1" xfId="0" applyFont="1" applyFill="1" applyBorder="1"/>
    <xf numFmtId="0" fontId="7" fillId="78" borderId="1" xfId="0" applyFont="1" applyFill="1" applyBorder="1"/>
    <xf numFmtId="0" fontId="7" fillId="79" borderId="1" xfId="0" applyFont="1" applyFill="1" applyBorder="1"/>
    <xf numFmtId="0" fontId="7" fillId="80" borderId="1" xfId="0" applyFont="1" applyFill="1" applyBorder="1"/>
    <xf numFmtId="0" fontId="7" fillId="81" borderId="1" xfId="0" applyFont="1" applyFill="1" applyBorder="1"/>
    <xf numFmtId="0" fontId="7" fillId="82" borderId="1" xfId="0" applyFont="1" applyFill="1" applyBorder="1"/>
    <xf numFmtId="0" fontId="7" fillId="83" borderId="1" xfId="0" applyFont="1" applyFill="1" applyBorder="1"/>
    <xf numFmtId="0" fontId="7" fillId="84" borderId="1" xfId="0" applyFont="1" applyFill="1" applyBorder="1"/>
    <xf numFmtId="0" fontId="7" fillId="85" borderId="1" xfId="0" applyFont="1" applyFill="1" applyBorder="1"/>
    <xf numFmtId="0" fontId="7" fillId="86" borderId="1" xfId="0" applyFont="1" applyFill="1" applyBorder="1"/>
    <xf numFmtId="0" fontId="7" fillId="87" borderId="1" xfId="0" applyFont="1" applyFill="1" applyBorder="1"/>
    <xf numFmtId="0" fontId="7" fillId="88" borderId="1" xfId="0" applyFont="1" applyFill="1" applyBorder="1"/>
    <xf numFmtId="0" fontId="7" fillId="89" borderId="1" xfId="0" applyFont="1" applyFill="1" applyBorder="1"/>
    <xf numFmtId="0" fontId="7" fillId="90" borderId="1" xfId="0" applyFont="1" applyFill="1" applyBorder="1"/>
    <xf numFmtId="0" fontId="7" fillId="91" borderId="1" xfId="0" applyFont="1" applyFill="1" applyBorder="1"/>
    <xf numFmtId="0" fontId="7" fillId="92" borderId="1" xfId="0" applyFont="1" applyFill="1" applyBorder="1"/>
    <xf numFmtId="0" fontId="7" fillId="93" borderId="1" xfId="0" applyFont="1" applyFill="1" applyBorder="1"/>
    <xf numFmtId="0" fontId="7" fillId="94" borderId="1" xfId="0" applyFont="1" applyFill="1" applyBorder="1"/>
    <xf numFmtId="0" fontId="7" fillId="95" borderId="1" xfId="0" applyFont="1" applyFill="1" applyBorder="1"/>
    <xf numFmtId="0" fontId="7" fillId="96" borderId="1" xfId="0" applyFont="1" applyFill="1" applyBorder="1"/>
    <xf numFmtId="0" fontId="7" fillId="97" borderId="1" xfId="0" applyFont="1" applyFill="1" applyBorder="1"/>
    <xf numFmtId="0" fontId="7" fillId="98" borderId="1" xfId="0" applyFont="1" applyFill="1" applyBorder="1"/>
    <xf numFmtId="0" fontId="7" fillId="99" borderId="1" xfId="0" applyFont="1" applyFill="1" applyBorder="1"/>
    <xf numFmtId="0" fontId="7" fillId="100" borderId="1" xfId="0" applyFont="1" applyFill="1" applyBorder="1"/>
    <xf numFmtId="0" fontId="7" fillId="101" borderId="1" xfId="0" applyFont="1" applyFill="1" applyBorder="1"/>
    <xf numFmtId="0" fontId="7" fillId="102" borderId="1" xfId="0" applyFont="1" applyFill="1" applyBorder="1"/>
    <xf numFmtId="0" fontId="7" fillId="103" borderId="1" xfId="0" applyFont="1" applyFill="1" applyBorder="1"/>
    <xf numFmtId="0" fontId="7" fillId="104" borderId="1" xfId="0" applyFont="1" applyFill="1" applyBorder="1"/>
    <xf numFmtId="0" fontId="7" fillId="105" borderId="1" xfId="0" applyFont="1" applyFill="1" applyBorder="1"/>
    <xf numFmtId="0" fontId="7" fillId="106" borderId="1" xfId="0" applyFont="1" applyFill="1" applyBorder="1"/>
    <xf numFmtId="0" fontId="7" fillId="107" borderId="1" xfId="0" applyFont="1" applyFill="1" applyBorder="1"/>
    <xf numFmtId="0" fontId="7" fillId="108" borderId="1" xfId="0" applyFont="1" applyFill="1" applyBorder="1"/>
    <xf numFmtId="0" fontId="7" fillId="109" borderId="1" xfId="0" applyFont="1" applyFill="1" applyBorder="1"/>
    <xf numFmtId="0" fontId="7" fillId="110" borderId="1" xfId="0" applyFont="1" applyFill="1" applyBorder="1"/>
    <xf numFmtId="0" fontId="7" fillId="111" borderId="1" xfId="0" applyFont="1" applyFill="1" applyBorder="1"/>
    <xf numFmtId="0" fontId="7" fillId="112" borderId="1" xfId="0" applyFont="1" applyFill="1" applyBorder="1"/>
    <xf numFmtId="0" fontId="7" fillId="113" borderId="1" xfId="0" applyFont="1" applyFill="1" applyBorder="1"/>
    <xf numFmtId="0" fontId="7" fillId="2" borderId="1" xfId="0" applyFont="1" applyFill="1" applyBorder="1"/>
    <xf numFmtId="0" fontId="7" fillId="114" borderId="1" xfId="0" applyFont="1" applyFill="1" applyBorder="1"/>
    <xf numFmtId="0" fontId="7" fillId="115" borderId="1" xfId="0" applyFont="1" applyFill="1" applyBorder="1"/>
    <xf numFmtId="0" fontId="7" fillId="116" borderId="1" xfId="0" applyFont="1" applyFill="1" applyBorder="1"/>
    <xf numFmtId="0" fontId="7" fillId="117" borderId="1" xfId="0" applyFont="1" applyFill="1" applyBorder="1"/>
    <xf numFmtId="0" fontId="7" fillId="118" borderId="1" xfId="0" applyFont="1" applyFill="1" applyBorder="1"/>
    <xf numFmtId="0" fontId="7" fillId="119" borderId="1" xfId="0" applyFont="1" applyFill="1" applyBorder="1"/>
    <xf numFmtId="0" fontId="7" fillId="120" borderId="1" xfId="0" applyFont="1" applyFill="1" applyBorder="1"/>
    <xf numFmtId="0" fontId="7" fillId="121" borderId="1" xfId="0" applyFont="1" applyFill="1" applyBorder="1"/>
    <xf numFmtId="0" fontId="7" fillId="122" borderId="1" xfId="0" applyFont="1" applyFill="1" applyBorder="1"/>
    <xf numFmtId="0" fontId="7" fillId="123" borderId="1" xfId="0" applyFont="1" applyFill="1" applyBorder="1"/>
    <xf numFmtId="0" fontId="7" fillId="124" borderId="1" xfId="0" applyFont="1" applyFill="1" applyBorder="1"/>
    <xf numFmtId="0" fontId="7" fillId="125" borderId="1" xfId="0" applyFont="1" applyFill="1" applyBorder="1"/>
    <xf numFmtId="0" fontId="7" fillId="126" borderId="1" xfId="0" applyFont="1" applyFill="1" applyBorder="1"/>
    <xf numFmtId="0" fontId="7" fillId="127" borderId="1" xfId="0" applyFont="1" applyFill="1" applyBorder="1"/>
    <xf numFmtId="0" fontId="7" fillId="128" borderId="1" xfId="0" applyFont="1" applyFill="1" applyBorder="1"/>
    <xf numFmtId="0" fontId="7" fillId="129" borderId="1" xfId="0" applyFont="1" applyFill="1" applyBorder="1"/>
    <xf numFmtId="0" fontId="7" fillId="130" borderId="1" xfId="0" applyFont="1" applyFill="1" applyBorder="1"/>
    <xf numFmtId="0" fontId="7" fillId="131" borderId="1" xfId="0" applyFont="1" applyFill="1" applyBorder="1"/>
    <xf numFmtId="0" fontId="7" fillId="132" borderId="1" xfId="0" applyFont="1" applyFill="1" applyBorder="1"/>
    <xf numFmtId="0" fontId="7" fillId="133" borderId="1" xfId="0" applyFont="1" applyFill="1" applyBorder="1"/>
    <xf numFmtId="0" fontId="7" fillId="134" borderId="1" xfId="0" applyFont="1" applyFill="1" applyBorder="1"/>
    <xf numFmtId="0" fontId="7" fillId="135" borderId="1" xfId="0" applyFont="1" applyFill="1" applyBorder="1"/>
    <xf numFmtId="0" fontId="7" fillId="136" borderId="1" xfId="0" applyFont="1" applyFill="1" applyBorder="1"/>
    <xf numFmtId="0" fontId="7" fillId="137" borderId="1" xfId="0" applyFont="1" applyFill="1" applyBorder="1"/>
    <xf numFmtId="0" fontId="7" fillId="138" borderId="1" xfId="0" applyFont="1" applyFill="1" applyBorder="1"/>
    <xf numFmtId="0" fontId="7" fillId="139" borderId="1" xfId="0" applyFont="1" applyFill="1" applyBorder="1"/>
    <xf numFmtId="0" fontId="7" fillId="140" borderId="1" xfId="0" applyFont="1" applyFill="1" applyBorder="1"/>
    <xf numFmtId="0" fontId="7" fillId="141" borderId="1" xfId="0" applyFont="1" applyFill="1" applyBorder="1"/>
    <xf numFmtId="0" fontId="7" fillId="142" borderId="1" xfId="0" applyFont="1" applyFill="1" applyBorder="1"/>
    <xf numFmtId="0" fontId="7" fillId="143" borderId="1" xfId="0" applyFont="1" applyFill="1" applyBorder="1"/>
    <xf numFmtId="0" fontId="7" fillId="144" borderId="1" xfId="0" applyFont="1" applyFill="1" applyBorder="1"/>
    <xf numFmtId="0" fontId="7" fillId="145" borderId="1" xfId="0" applyFont="1" applyFill="1" applyBorder="1"/>
    <xf numFmtId="0" fontId="7" fillId="146" borderId="1" xfId="0" applyFont="1" applyFill="1" applyBorder="1"/>
    <xf numFmtId="0" fontId="7" fillId="147" borderId="1" xfId="0" applyFont="1" applyFill="1" applyBorder="1"/>
    <xf numFmtId="0" fontId="7" fillId="148" borderId="1" xfId="0" applyFont="1" applyFill="1" applyBorder="1"/>
    <xf numFmtId="0" fontId="7" fillId="149" borderId="1" xfId="0" applyFont="1" applyFill="1" applyBorder="1"/>
    <xf numFmtId="0" fontId="7" fillId="150" borderId="1" xfId="0" applyFont="1" applyFill="1" applyBorder="1"/>
    <xf numFmtId="0" fontId="7" fillId="151" borderId="1" xfId="0" applyFont="1" applyFill="1" applyBorder="1"/>
    <xf numFmtId="0" fontId="7" fillId="152" borderId="1" xfId="0" applyFont="1" applyFill="1" applyBorder="1"/>
    <xf numFmtId="0" fontId="7" fillId="153" borderId="1" xfId="0" applyFont="1" applyFill="1" applyBorder="1"/>
    <xf numFmtId="0" fontId="7" fillId="154" borderId="1" xfId="0" applyFont="1" applyFill="1" applyBorder="1"/>
    <xf numFmtId="0" fontId="7" fillId="155" borderId="1" xfId="0" applyFont="1" applyFill="1" applyBorder="1"/>
    <xf numFmtId="0" fontId="7" fillId="156" borderId="1" xfId="0" applyFont="1" applyFill="1" applyBorder="1"/>
    <xf numFmtId="0" fontId="7" fillId="157" borderId="1" xfId="0" applyFont="1" applyFill="1" applyBorder="1"/>
    <xf numFmtId="0" fontId="7" fillId="158" borderId="1" xfId="0" applyFont="1" applyFill="1" applyBorder="1"/>
    <xf numFmtId="0" fontId="7" fillId="159" borderId="1" xfId="0" applyFont="1" applyFill="1" applyBorder="1"/>
    <xf numFmtId="0" fontId="7" fillId="160" borderId="1" xfId="0" applyFont="1" applyFill="1" applyBorder="1"/>
    <xf numFmtId="0" fontId="7" fillId="161" borderId="1" xfId="0" applyFont="1" applyFill="1" applyBorder="1"/>
    <xf numFmtId="0" fontId="7" fillId="162" borderId="1" xfId="0" applyFont="1" applyFill="1" applyBorder="1"/>
    <xf numFmtId="0" fontId="7" fillId="163" borderId="1" xfId="0" applyFont="1" applyFill="1" applyBorder="1"/>
    <xf numFmtId="0" fontId="7" fillId="164" borderId="1" xfId="0" applyFont="1" applyFill="1" applyBorder="1"/>
    <xf numFmtId="0" fontId="7" fillId="165" borderId="1" xfId="0" applyFont="1" applyFill="1" applyBorder="1"/>
    <xf numFmtId="0" fontId="7" fillId="166" borderId="1" xfId="0" applyFont="1" applyFill="1" applyBorder="1"/>
    <xf numFmtId="0" fontId="7" fillId="167" borderId="1" xfId="0" applyFont="1" applyFill="1" applyBorder="1"/>
    <xf numFmtId="0" fontId="7" fillId="168" borderId="1" xfId="0" applyFont="1" applyFill="1" applyBorder="1"/>
    <xf numFmtId="0" fontId="7" fillId="169" borderId="1" xfId="0" applyFont="1" applyFill="1" applyBorder="1"/>
    <xf numFmtId="0" fontId="7" fillId="170" borderId="1" xfId="0" applyFont="1" applyFill="1" applyBorder="1"/>
    <xf numFmtId="0" fontId="7" fillId="171" borderId="1" xfId="0" applyFont="1" applyFill="1" applyBorder="1"/>
    <xf numFmtId="0" fontId="7" fillId="172" borderId="1" xfId="0" applyFont="1" applyFill="1" applyBorder="1"/>
    <xf numFmtId="0" fontId="7" fillId="173" borderId="1" xfId="0" applyFont="1" applyFill="1" applyBorder="1"/>
    <xf numFmtId="0" fontId="7" fillId="174" borderId="1" xfId="0" applyFont="1" applyFill="1" applyBorder="1"/>
    <xf numFmtId="0" fontId="7" fillId="175" borderId="1" xfId="0" applyFont="1" applyFill="1" applyBorder="1"/>
    <xf numFmtId="0" fontId="7" fillId="176" borderId="1" xfId="0" applyFont="1" applyFill="1" applyBorder="1"/>
    <xf numFmtId="0" fontId="7" fillId="177" borderId="1" xfId="0" applyFont="1" applyFill="1" applyBorder="1"/>
    <xf numFmtId="0" fontId="7" fillId="178" borderId="1" xfId="0" applyFont="1" applyFill="1" applyBorder="1"/>
    <xf numFmtId="0" fontId="7" fillId="179" borderId="1" xfId="0" applyFont="1" applyFill="1" applyBorder="1"/>
    <xf numFmtId="0" fontId="7" fillId="180" borderId="1" xfId="0" applyFont="1" applyFill="1" applyBorder="1"/>
    <xf numFmtId="0" fontId="7" fillId="181" borderId="1" xfId="0" applyFont="1" applyFill="1" applyBorder="1"/>
    <xf numFmtId="0" fontId="7" fillId="182" borderId="1" xfId="0" applyFont="1" applyFill="1" applyBorder="1"/>
    <xf numFmtId="0" fontId="7" fillId="183" borderId="1" xfId="0" applyFont="1" applyFill="1" applyBorder="1"/>
    <xf numFmtId="0" fontId="7" fillId="184" borderId="1" xfId="0" applyFont="1" applyFill="1" applyBorder="1"/>
    <xf numFmtId="0" fontId="7" fillId="185" borderId="1" xfId="0" applyFont="1" applyFill="1" applyBorder="1"/>
    <xf numFmtId="0" fontId="7" fillId="186" borderId="1" xfId="0" applyFont="1" applyFill="1" applyBorder="1"/>
    <xf numFmtId="0" fontId="7" fillId="187" borderId="1" xfId="0" applyFont="1" applyFill="1" applyBorder="1"/>
    <xf numFmtId="0" fontId="7" fillId="188" borderId="1" xfId="0" applyFont="1" applyFill="1" applyBorder="1"/>
    <xf numFmtId="0" fontId="7" fillId="189" borderId="1" xfId="0" applyFont="1" applyFill="1" applyBorder="1"/>
    <xf numFmtId="0" fontId="7" fillId="190" borderId="1" xfId="0" applyFont="1" applyFill="1" applyBorder="1"/>
    <xf numFmtId="0" fontId="7" fillId="191" borderId="1" xfId="0" applyFont="1" applyFill="1" applyBorder="1"/>
    <xf numFmtId="0" fontId="7" fillId="192" borderId="1" xfId="0" applyFont="1" applyFill="1" applyBorder="1"/>
    <xf numFmtId="17" fontId="0" fillId="0" borderId="0" xfId="0" applyNumberFormat="1"/>
    <xf numFmtId="9" fontId="0" fillId="0" borderId="0" xfId="0" applyNumberFormat="1"/>
    <xf numFmtId="0" fontId="7" fillId="0" borderId="9" xfId="0" applyFont="1" applyBorder="1" applyAlignment="1">
      <alignment horizontal="left" wrapText="1" indent="1"/>
    </xf>
    <xf numFmtId="0" fontId="7" fillId="0" borderId="0" xfId="0" applyFont="1"/>
    <xf numFmtId="0" fontId="6" fillId="0" borderId="18" xfId="0" applyFont="1" applyBorder="1"/>
    <xf numFmtId="0" fontId="7" fillId="0" borderId="18" xfId="0" applyFont="1" applyBorder="1"/>
    <xf numFmtId="0" fontId="7" fillId="0" borderId="2" xfId="0" applyFont="1" applyBorder="1"/>
    <xf numFmtId="0" fontId="7" fillId="0" borderId="19" xfId="0" applyFont="1" applyBorder="1"/>
    <xf numFmtId="0" fontId="7" fillId="0" borderId="20" xfId="0" applyFont="1" applyBorder="1"/>
    <xf numFmtId="0" fontId="7" fillId="0" borderId="12" xfId="0" applyFont="1" applyBorder="1"/>
    <xf numFmtId="0" fontId="7" fillId="0" borderId="17" xfId="0" applyFont="1" applyBorder="1"/>
    <xf numFmtId="0" fontId="13" fillId="0" borderId="2" xfId="0" applyFont="1" applyFill="1" applyBorder="1" applyAlignment="1">
      <alignment horizontal="center"/>
    </xf>
    <xf numFmtId="0" fontId="13" fillId="0" borderId="2" xfId="0" applyFont="1" applyFill="1" applyBorder="1" applyAlignment="1">
      <alignment horizontal="left"/>
    </xf>
    <xf numFmtId="0" fontId="7" fillId="0" borderId="0" xfId="0" applyFont="1" applyAlignment="1">
      <alignment horizontal="left" vertical="center"/>
    </xf>
    <xf numFmtId="0" fontId="6" fillId="194" borderId="14" xfId="0" applyFont="1" applyFill="1" applyBorder="1"/>
    <xf numFmtId="0" fontId="7" fillId="194" borderId="3" xfId="0" applyFont="1" applyFill="1" applyBorder="1"/>
    <xf numFmtId="0" fontId="7" fillId="194" borderId="13" xfId="0" applyFont="1" applyFill="1" applyBorder="1"/>
    <xf numFmtId="0" fontId="7" fillId="193" borderId="5" xfId="0" applyFont="1" applyFill="1" applyBorder="1"/>
    <xf numFmtId="0" fontId="7" fillId="0" borderId="1" xfId="0" applyFont="1" applyBorder="1" applyAlignment="1">
      <alignment horizontal="left"/>
    </xf>
    <xf numFmtId="0" fontId="7" fillId="0" borderId="4" xfId="0" applyFont="1" applyBorder="1" applyAlignment="1">
      <alignment horizontal="center"/>
    </xf>
    <xf numFmtId="0" fontId="7" fillId="4" borderId="13" xfId="0" applyFont="1" applyFill="1" applyBorder="1"/>
    <xf numFmtId="2" fontId="7" fillId="0" borderId="17" xfId="0" applyNumberFormat="1" applyFont="1" applyBorder="1"/>
    <xf numFmtId="2" fontId="7" fillId="0" borderId="20" xfId="0" applyNumberFormat="1" applyFont="1" applyBorder="1"/>
    <xf numFmtId="0" fontId="7" fillId="0" borderId="0" xfId="0" applyFont="1" applyBorder="1"/>
    <xf numFmtId="2" fontId="0" fillId="0" borderId="4" xfId="0" applyNumberFormat="1" applyBorder="1"/>
    <xf numFmtId="0" fontId="12" fillId="0" borderId="0" xfId="0" applyFont="1" applyBorder="1" applyAlignment="1">
      <alignment vertical="top" wrapText="1"/>
    </xf>
    <xf numFmtId="0" fontId="7" fillId="0" borderId="0" xfId="0" applyFont="1" applyBorder="1" applyAlignment="1">
      <alignment vertical="top" wrapText="1"/>
    </xf>
    <xf numFmtId="0" fontId="7" fillId="0" borderId="3" xfId="0" applyFont="1" applyBorder="1" applyAlignment="1">
      <alignment vertical="center"/>
    </xf>
    <xf numFmtId="0" fontId="7" fillId="0" borderId="3" xfId="0" applyFont="1" applyBorder="1" applyAlignment="1">
      <alignment vertical="center" wrapText="1"/>
    </xf>
    <xf numFmtId="0" fontId="7" fillId="0" borderId="2" xfId="0" applyFont="1" applyBorder="1" applyAlignment="1">
      <alignment vertical="center"/>
    </xf>
    <xf numFmtId="2" fontId="7" fillId="195" borderId="4" xfId="0" applyNumberFormat="1" applyFont="1" applyFill="1" applyBorder="1"/>
    <xf numFmtId="0" fontId="0" fillId="0" borderId="19" xfId="0" applyBorder="1"/>
    <xf numFmtId="15" fontId="17" fillId="0" borderId="1" xfId="0" applyNumberFormat="1" applyFont="1" applyBorder="1"/>
    <xf numFmtId="0" fontId="17" fillId="0" borderId="1" xfId="0" applyFont="1" applyBorder="1"/>
    <xf numFmtId="0" fontId="0" fillId="0" borderId="2" xfId="0" applyBorder="1"/>
    <xf numFmtId="10" fontId="0" fillId="0" borderId="5" xfId="1" applyNumberFormat="1" applyFont="1" applyBorder="1"/>
    <xf numFmtId="10" fontId="0" fillId="0" borderId="1" xfId="1" applyNumberFormat="1" applyFont="1" applyBorder="1"/>
    <xf numFmtId="0" fontId="0" fillId="0" borderId="3" xfId="0" applyBorder="1"/>
    <xf numFmtId="0" fontId="0" fillId="0" borderId="13" xfId="0" applyBorder="1"/>
    <xf numFmtId="0" fontId="7" fillId="0" borderId="23" xfId="0" applyFont="1" applyBorder="1"/>
    <xf numFmtId="0" fontId="0" fillId="193" borderId="0" xfId="0" applyFill="1"/>
    <xf numFmtId="2" fontId="0" fillId="0" borderId="15" xfId="0" applyNumberFormat="1" applyBorder="1"/>
    <xf numFmtId="2" fontId="0" fillId="0" borderId="16" xfId="0" applyNumberFormat="1" applyBorder="1"/>
    <xf numFmtId="2" fontId="7" fillId="0" borderId="0" xfId="0" applyNumberFormat="1" applyFont="1"/>
    <xf numFmtId="2" fontId="0" fillId="0" borderId="22" xfId="0" applyNumberFormat="1" applyBorder="1"/>
    <xf numFmtId="2" fontId="0" fillId="0" borderId="19" xfId="0" applyNumberFormat="1" applyBorder="1"/>
    <xf numFmtId="2" fontId="0" fillId="0" borderId="0" xfId="0" applyNumberFormat="1" applyBorder="1"/>
    <xf numFmtId="2" fontId="0" fillId="0" borderId="20" xfId="0" applyNumberFormat="1" applyBorder="1"/>
    <xf numFmtId="2" fontId="0" fillId="0" borderId="23" xfId="0" applyNumberFormat="1" applyBorder="1"/>
    <xf numFmtId="2" fontId="0" fillId="0" borderId="5" xfId="0" applyNumberFormat="1" applyBorder="1"/>
    <xf numFmtId="2" fontId="0" fillId="0" borderId="12" xfId="0" applyNumberFormat="1" applyBorder="1"/>
    <xf numFmtId="2" fontId="0" fillId="0" borderId="2" xfId="0" applyNumberFormat="1" applyBorder="1"/>
    <xf numFmtId="2" fontId="0" fillId="0" borderId="17" xfId="0" applyNumberFormat="1" applyBorder="1"/>
    <xf numFmtId="15" fontId="18" fillId="193" borderId="24" xfId="0" applyNumberFormat="1" applyFont="1" applyFill="1" applyBorder="1" applyAlignment="1">
      <alignment horizontal="center"/>
    </xf>
    <xf numFmtId="2" fontId="18" fillId="193" borderId="24" xfId="0" applyNumberFormat="1" applyFont="1" applyFill="1" applyBorder="1" applyAlignment="1">
      <alignment horizontal="center"/>
    </xf>
    <xf numFmtId="0" fontId="7" fillId="0" borderId="0" xfId="0" quotePrefix="1" applyFont="1" applyBorder="1"/>
    <xf numFmtId="0" fontId="12" fillId="0" borderId="0" xfId="0" applyFont="1" applyBorder="1" applyAlignment="1">
      <alignment vertical="center"/>
    </xf>
    <xf numFmtId="0" fontId="12" fillId="0" borderId="0" xfId="0" quotePrefix="1" applyFont="1" applyBorder="1" applyAlignment="1">
      <alignment vertical="center"/>
    </xf>
    <xf numFmtId="0" fontId="12" fillId="0" borderId="0" xfId="0" applyFont="1" applyBorder="1"/>
    <xf numFmtId="0" fontId="7" fillId="0" borderId="0" xfId="0" applyFont="1" applyBorder="1" applyAlignment="1">
      <alignment vertical="top"/>
    </xf>
    <xf numFmtId="0" fontId="12" fillId="0" borderId="0" xfId="0" applyFont="1" applyBorder="1" applyAlignment="1">
      <alignment horizontal="left"/>
    </xf>
    <xf numFmtId="0" fontId="7" fillId="0" borderId="0" xfId="0" applyFont="1" applyAlignment="1">
      <alignment horizontal="left"/>
    </xf>
    <xf numFmtId="0" fontId="0" fillId="0" borderId="25" xfId="0" applyBorder="1" applyAlignment="1">
      <alignment vertical="center" wrapText="1"/>
    </xf>
    <xf numFmtId="0" fontId="0" fillId="150" borderId="25" xfId="0" applyFill="1" applyBorder="1" applyAlignment="1">
      <alignment vertical="center" wrapText="1"/>
    </xf>
    <xf numFmtId="0" fontId="0" fillId="5" borderId="25" xfId="0" applyFill="1" applyBorder="1" applyAlignment="1">
      <alignment vertical="center" wrapText="1"/>
    </xf>
    <xf numFmtId="0" fontId="0" fillId="199" borderId="25" xfId="0" applyFill="1" applyBorder="1" applyAlignment="1">
      <alignment vertical="center" wrapText="1"/>
    </xf>
    <xf numFmtId="0" fontId="0" fillId="200" borderId="25" xfId="0" applyFill="1" applyBorder="1" applyAlignment="1">
      <alignment vertical="center" wrapText="1"/>
    </xf>
    <xf numFmtId="0" fontId="0" fillId="201" borderId="25" xfId="0" applyFill="1" applyBorder="1" applyAlignment="1">
      <alignment vertical="center" wrapText="1"/>
    </xf>
    <xf numFmtId="0" fontId="0" fillId="202" borderId="25" xfId="0" applyFill="1" applyBorder="1" applyAlignment="1">
      <alignment vertical="center" wrapText="1"/>
    </xf>
    <xf numFmtId="0" fontId="0" fillId="144" borderId="25" xfId="0" applyFill="1" applyBorder="1" applyAlignment="1">
      <alignment vertical="center" wrapText="1"/>
    </xf>
    <xf numFmtId="0" fontId="0" fillId="142" borderId="25" xfId="0" applyFill="1" applyBorder="1" applyAlignment="1">
      <alignment vertical="center" wrapText="1"/>
    </xf>
    <xf numFmtId="0" fontId="0" fillId="203" borderId="25" xfId="0" applyFill="1" applyBorder="1" applyAlignment="1">
      <alignment vertical="center" wrapText="1"/>
    </xf>
    <xf numFmtId="0" fontId="0" fillId="143" borderId="25" xfId="0" applyFill="1" applyBorder="1" applyAlignment="1">
      <alignment vertical="center" wrapText="1"/>
    </xf>
    <xf numFmtId="0" fontId="0" fillId="204" borderId="25" xfId="0" applyFill="1" applyBorder="1" applyAlignment="1">
      <alignment vertical="center" wrapText="1"/>
    </xf>
    <xf numFmtId="0" fontId="0" fillId="6" borderId="25" xfId="0" applyFill="1" applyBorder="1" applyAlignment="1">
      <alignment vertical="center" wrapText="1"/>
    </xf>
    <xf numFmtId="0" fontId="0" fillId="205" borderId="25" xfId="0" applyFill="1" applyBorder="1" applyAlignment="1">
      <alignment vertical="center" wrapText="1"/>
    </xf>
    <xf numFmtId="0" fontId="0" fillId="206" borderId="25" xfId="0" applyFill="1" applyBorder="1" applyAlignment="1">
      <alignment vertical="center" wrapText="1"/>
    </xf>
    <xf numFmtId="0" fontId="0" fillId="207" borderId="25" xfId="0" applyFill="1" applyBorder="1" applyAlignment="1">
      <alignment vertical="center" wrapText="1"/>
    </xf>
    <xf numFmtId="0" fontId="0" fillId="103" borderId="25" xfId="0" applyFill="1" applyBorder="1" applyAlignment="1">
      <alignment vertical="center" wrapText="1"/>
    </xf>
    <xf numFmtId="0" fontId="0" fillId="82" borderId="25" xfId="0" applyFill="1" applyBorder="1" applyAlignment="1">
      <alignment vertical="center" wrapText="1"/>
    </xf>
    <xf numFmtId="0" fontId="7" fillId="67" borderId="25" xfId="0" applyFont="1" applyFill="1" applyBorder="1"/>
    <xf numFmtId="0" fontId="0" fillId="0" borderId="25" xfId="0" applyBorder="1"/>
    <xf numFmtId="0" fontId="7" fillId="0" borderId="25" xfId="0" applyFont="1" applyBorder="1"/>
    <xf numFmtId="0" fontId="0" fillId="7" borderId="25" xfId="0" applyFill="1" applyBorder="1" applyAlignment="1">
      <alignment vertical="center" wrapText="1"/>
    </xf>
    <xf numFmtId="0" fontId="0" fillId="208" borderId="25" xfId="0" applyFill="1" applyBorder="1" applyAlignment="1">
      <alignment vertical="center" wrapText="1"/>
    </xf>
    <xf numFmtId="0" fontId="0" fillId="209" borderId="25" xfId="0" applyFill="1" applyBorder="1" applyAlignment="1">
      <alignment vertical="center" wrapText="1"/>
    </xf>
    <xf numFmtId="0" fontId="0" fillId="210" borderId="25" xfId="0" applyFill="1" applyBorder="1" applyAlignment="1">
      <alignment vertical="center" wrapText="1"/>
    </xf>
    <xf numFmtId="0" fontId="0" fillId="43" borderId="25" xfId="0" applyFill="1" applyBorder="1" applyAlignment="1">
      <alignment vertical="center" wrapText="1"/>
    </xf>
    <xf numFmtId="0" fontId="0" fillId="8" borderId="25" xfId="0" applyFill="1" applyBorder="1" applyAlignment="1">
      <alignment vertical="center" wrapText="1"/>
    </xf>
    <xf numFmtId="0" fontId="0" fillId="211" borderId="25" xfId="0" applyFill="1" applyBorder="1" applyAlignment="1">
      <alignment vertical="center" wrapText="1"/>
    </xf>
    <xf numFmtId="0" fontId="0" fillId="153" borderId="25" xfId="0" applyFill="1" applyBorder="1" applyAlignment="1">
      <alignment vertical="center" wrapText="1"/>
    </xf>
    <xf numFmtId="0" fontId="0" fillId="212" borderId="25" xfId="0" applyFill="1" applyBorder="1" applyAlignment="1">
      <alignment vertical="center" wrapText="1"/>
    </xf>
    <xf numFmtId="0" fontId="0" fillId="177" borderId="25" xfId="0" applyFill="1" applyBorder="1" applyAlignment="1">
      <alignment vertical="center" wrapText="1"/>
    </xf>
    <xf numFmtId="0" fontId="0" fillId="151" borderId="25" xfId="0" applyFill="1" applyBorder="1" applyAlignment="1">
      <alignment vertical="center" wrapText="1"/>
    </xf>
    <xf numFmtId="0" fontId="0" fillId="47" borderId="25" xfId="0" applyFill="1" applyBorder="1" applyAlignment="1">
      <alignment vertical="center" wrapText="1"/>
    </xf>
    <xf numFmtId="0" fontId="0" fillId="213" borderId="25" xfId="0" applyFill="1" applyBorder="1" applyAlignment="1">
      <alignment vertical="center" wrapText="1"/>
    </xf>
    <xf numFmtId="0" fontId="7" fillId="68" borderId="25" xfId="0" applyFont="1" applyFill="1" applyBorder="1"/>
    <xf numFmtId="0" fontId="0" fillId="214" borderId="25" xfId="0" applyFill="1" applyBorder="1" applyAlignment="1">
      <alignment vertical="center" wrapText="1"/>
    </xf>
    <xf numFmtId="0" fontId="0" fillId="215" borderId="25" xfId="0" applyFill="1" applyBorder="1" applyAlignment="1">
      <alignment vertical="center" wrapText="1"/>
    </xf>
    <xf numFmtId="0" fontId="7" fillId="69" borderId="25" xfId="0" applyFont="1" applyFill="1" applyBorder="1"/>
    <xf numFmtId="0" fontId="0" fillId="216" borderId="25" xfId="0" applyFill="1" applyBorder="1" applyAlignment="1">
      <alignment vertical="center" wrapText="1"/>
    </xf>
    <xf numFmtId="0" fontId="7" fillId="46" borderId="25" xfId="0" applyFont="1" applyFill="1" applyBorder="1"/>
    <xf numFmtId="0" fontId="0" fillId="217" borderId="25" xfId="0" applyFill="1" applyBorder="1" applyAlignment="1">
      <alignment vertical="center" wrapText="1"/>
    </xf>
    <xf numFmtId="0" fontId="7" fillId="70" borderId="25" xfId="0" applyFont="1" applyFill="1" applyBorder="1"/>
    <xf numFmtId="0" fontId="0" fillId="71" borderId="25" xfId="0" applyFill="1" applyBorder="1" applyAlignment="1">
      <alignment vertical="center" wrapText="1"/>
    </xf>
    <xf numFmtId="0" fontId="0" fillId="197" borderId="25" xfId="0" applyFill="1" applyBorder="1" applyAlignment="1">
      <alignment vertical="center" wrapText="1"/>
    </xf>
    <xf numFmtId="0" fontId="0" fillId="218" borderId="25" xfId="0" applyFill="1" applyBorder="1" applyAlignment="1">
      <alignment vertical="center" wrapText="1"/>
    </xf>
    <xf numFmtId="0" fontId="0" fillId="219" borderId="25" xfId="0" applyFill="1" applyBorder="1" applyAlignment="1">
      <alignment vertical="center" wrapText="1"/>
    </xf>
    <xf numFmtId="0" fontId="0" fillId="220" borderId="25" xfId="0" applyFill="1" applyBorder="1" applyAlignment="1">
      <alignment vertical="center" wrapText="1"/>
    </xf>
    <xf numFmtId="0" fontId="0" fillId="72" borderId="25" xfId="0" applyFill="1" applyBorder="1" applyAlignment="1">
      <alignment vertical="center" wrapText="1"/>
    </xf>
    <xf numFmtId="0" fontId="0" fillId="73" borderId="25" xfId="0" applyFill="1" applyBorder="1" applyAlignment="1">
      <alignment vertical="center" wrapText="1"/>
    </xf>
    <xf numFmtId="0" fontId="0" fillId="154" borderId="25" xfId="0" applyFill="1" applyBorder="1" applyAlignment="1">
      <alignment vertical="center" wrapText="1"/>
    </xf>
    <xf numFmtId="0" fontId="0" fillId="221" borderId="25" xfId="0" applyFill="1" applyBorder="1" applyAlignment="1">
      <alignment vertical="center" wrapText="1"/>
    </xf>
    <xf numFmtId="0" fontId="0" fillId="222" borderId="25" xfId="0" applyFill="1" applyBorder="1" applyAlignment="1">
      <alignment vertical="center" wrapText="1"/>
    </xf>
    <xf numFmtId="0" fontId="0" fillId="223" borderId="25" xfId="0" applyFill="1" applyBorder="1" applyAlignment="1">
      <alignment vertical="center" wrapText="1"/>
    </xf>
    <xf numFmtId="0" fontId="7" fillId="157" borderId="25" xfId="0" applyFont="1" applyFill="1" applyBorder="1"/>
    <xf numFmtId="0" fontId="0" fillId="93" borderId="25" xfId="0" applyFill="1" applyBorder="1" applyAlignment="1">
      <alignment vertical="center" wrapText="1"/>
    </xf>
    <xf numFmtId="0" fontId="0" fillId="224" borderId="25" xfId="0" applyFill="1" applyBorder="1" applyAlignment="1">
      <alignment vertical="center" wrapText="1"/>
    </xf>
    <xf numFmtId="0" fontId="7" fillId="48" borderId="25" xfId="0" applyFont="1" applyFill="1" applyBorder="1"/>
    <xf numFmtId="0" fontId="7" fillId="94" borderId="25" xfId="0" applyFont="1" applyFill="1" applyBorder="1"/>
    <xf numFmtId="0" fontId="0" fillId="105" borderId="25" xfId="0" applyFill="1" applyBorder="1" applyAlignment="1">
      <alignment vertical="center" wrapText="1"/>
    </xf>
    <xf numFmtId="0" fontId="0" fillId="95" borderId="25" xfId="0" applyFill="1" applyBorder="1" applyAlignment="1">
      <alignment vertical="center" wrapText="1"/>
    </xf>
    <xf numFmtId="0" fontId="0" fillId="115" borderId="25" xfId="0" applyFill="1" applyBorder="1" applyAlignment="1">
      <alignment vertical="center" wrapText="1"/>
    </xf>
    <xf numFmtId="0" fontId="0" fillId="225" borderId="25" xfId="0" applyFill="1" applyBorder="1" applyAlignment="1">
      <alignment vertical="center" wrapText="1"/>
    </xf>
    <xf numFmtId="0" fontId="0" fillId="226" borderId="25" xfId="0" applyFill="1" applyBorder="1" applyAlignment="1">
      <alignment vertical="center" wrapText="1"/>
    </xf>
    <xf numFmtId="0" fontId="0" fillId="227" borderId="25" xfId="0" applyFill="1" applyBorder="1" applyAlignment="1">
      <alignment vertical="center" wrapText="1"/>
    </xf>
    <xf numFmtId="0" fontId="0" fillId="74" borderId="25" xfId="0" applyFill="1" applyBorder="1" applyAlignment="1">
      <alignment vertical="center" wrapText="1"/>
    </xf>
    <xf numFmtId="0" fontId="0" fillId="228" borderId="25" xfId="0" applyFill="1" applyBorder="1" applyAlignment="1">
      <alignment vertical="center" wrapText="1"/>
    </xf>
    <xf numFmtId="0" fontId="0" fillId="229" borderId="25" xfId="0" applyFill="1" applyBorder="1" applyAlignment="1">
      <alignment vertical="center" wrapText="1"/>
    </xf>
    <xf numFmtId="0" fontId="0" fillId="230" borderId="25" xfId="0" applyFill="1" applyBorder="1" applyAlignment="1">
      <alignment vertical="center" wrapText="1"/>
    </xf>
    <xf numFmtId="0" fontId="0" fillId="89" borderId="25" xfId="0" applyFill="1" applyBorder="1" applyAlignment="1">
      <alignment vertical="center" wrapText="1"/>
    </xf>
    <xf numFmtId="0" fontId="7" fillId="116" borderId="25" xfId="0" applyFont="1" applyFill="1" applyBorder="1"/>
    <xf numFmtId="0" fontId="7" fillId="117" borderId="25" xfId="0" applyFont="1" applyFill="1" applyBorder="1"/>
    <xf numFmtId="0" fontId="0" fillId="155" borderId="25" xfId="0" applyFill="1" applyBorder="1" applyAlignment="1">
      <alignment vertical="center" wrapText="1"/>
    </xf>
    <xf numFmtId="0" fontId="0" fillId="118" borderId="25" xfId="0" applyFill="1" applyBorder="1" applyAlignment="1">
      <alignment vertical="center" wrapText="1"/>
    </xf>
    <xf numFmtId="0" fontId="0" fillId="35" borderId="25" xfId="0" applyFill="1" applyBorder="1" applyAlignment="1">
      <alignment vertical="center" wrapText="1"/>
    </xf>
    <xf numFmtId="0" fontId="0" fillId="49" borderId="25" xfId="0" applyFill="1" applyBorder="1" applyAlignment="1">
      <alignment vertical="center" wrapText="1"/>
    </xf>
    <xf numFmtId="0" fontId="0" fillId="231" borderId="25" xfId="0" applyFill="1" applyBorder="1" applyAlignment="1">
      <alignment vertical="center" wrapText="1"/>
    </xf>
    <xf numFmtId="0" fontId="0" fillId="232" borderId="25" xfId="0" applyFill="1" applyBorder="1" applyAlignment="1">
      <alignment vertical="center" wrapText="1"/>
    </xf>
    <xf numFmtId="0" fontId="0" fillId="233" borderId="25" xfId="0" applyFill="1" applyBorder="1" applyAlignment="1">
      <alignment vertical="center" wrapText="1"/>
    </xf>
    <xf numFmtId="0" fontId="0" fillId="234" borderId="25" xfId="0" applyFill="1" applyBorder="1" applyAlignment="1">
      <alignment vertical="center" wrapText="1"/>
    </xf>
    <xf numFmtId="0" fontId="7" fillId="75" borderId="25" xfId="0" applyFont="1" applyFill="1" applyBorder="1"/>
    <xf numFmtId="0" fontId="0" fillId="156" borderId="25" xfId="0" applyFill="1" applyBorder="1" applyAlignment="1">
      <alignment vertical="center" wrapText="1"/>
    </xf>
    <xf numFmtId="0" fontId="0" fillId="9" borderId="25" xfId="0" applyFill="1" applyBorder="1" applyAlignment="1">
      <alignment vertical="center" wrapText="1"/>
    </xf>
    <xf numFmtId="0" fontId="0" fillId="235" borderId="25" xfId="0" applyFill="1" applyBorder="1" applyAlignment="1">
      <alignment vertical="center" wrapText="1"/>
    </xf>
    <xf numFmtId="0" fontId="0" fillId="236" borderId="25" xfId="0" applyFill="1" applyBorder="1" applyAlignment="1">
      <alignment vertical="center" wrapText="1"/>
    </xf>
    <xf numFmtId="0" fontId="0" fillId="237" borderId="25" xfId="0" applyFill="1" applyBorder="1" applyAlignment="1">
      <alignment vertical="center" wrapText="1"/>
    </xf>
    <xf numFmtId="0" fontId="0" fillId="238" borderId="25" xfId="0" applyFill="1" applyBorder="1" applyAlignment="1">
      <alignment vertical="center" wrapText="1"/>
    </xf>
    <xf numFmtId="0" fontId="0" fillId="239" borderId="25" xfId="0" applyFill="1" applyBorder="1" applyAlignment="1">
      <alignment vertical="center" wrapText="1"/>
    </xf>
    <xf numFmtId="0" fontId="0" fillId="240" borderId="25" xfId="0" applyFill="1" applyBorder="1" applyAlignment="1">
      <alignment vertical="center" wrapText="1"/>
    </xf>
    <xf numFmtId="0" fontId="0" fillId="241" borderId="25" xfId="0" applyFill="1" applyBorder="1" applyAlignment="1">
      <alignment vertical="center" wrapText="1"/>
    </xf>
    <xf numFmtId="0" fontId="0" fillId="90" borderId="25" xfId="0" applyFill="1" applyBorder="1" applyAlignment="1">
      <alignment vertical="center" wrapText="1"/>
    </xf>
    <xf numFmtId="0" fontId="0" fillId="108" borderId="25" xfId="0" applyFill="1" applyBorder="1" applyAlignment="1">
      <alignment vertical="center" wrapText="1"/>
    </xf>
    <xf numFmtId="0" fontId="0" fillId="242" borderId="25" xfId="0" applyFill="1" applyBorder="1" applyAlignment="1">
      <alignment vertical="center" wrapText="1"/>
    </xf>
    <xf numFmtId="0" fontId="0" fillId="243" borderId="25" xfId="0" applyFill="1" applyBorder="1" applyAlignment="1">
      <alignment vertical="center" wrapText="1"/>
    </xf>
    <xf numFmtId="0" fontId="0" fillId="244" borderId="25" xfId="0" applyFill="1" applyBorder="1" applyAlignment="1">
      <alignment vertical="center" wrapText="1"/>
    </xf>
    <xf numFmtId="0" fontId="0" fillId="245" borderId="25" xfId="0" applyFill="1" applyBorder="1" applyAlignment="1">
      <alignment vertical="center" wrapText="1"/>
    </xf>
    <xf numFmtId="0" fontId="0" fillId="246" borderId="25" xfId="0" applyFill="1" applyBorder="1" applyAlignment="1">
      <alignment vertical="center" wrapText="1"/>
    </xf>
    <xf numFmtId="0" fontId="0" fillId="122" borderId="25" xfId="0" applyFill="1" applyBorder="1" applyAlignment="1">
      <alignment vertical="center" wrapText="1"/>
    </xf>
    <xf numFmtId="0" fontId="0" fillId="81" borderId="25" xfId="0" applyFill="1" applyBorder="1" applyAlignment="1">
      <alignment vertical="center" wrapText="1"/>
    </xf>
    <xf numFmtId="0" fontId="0" fillId="130" borderId="25" xfId="0" applyFill="1" applyBorder="1" applyAlignment="1">
      <alignment vertical="center" wrapText="1"/>
    </xf>
    <xf numFmtId="0" fontId="0" fillId="247" borderId="25" xfId="0" applyFill="1" applyBorder="1" applyAlignment="1">
      <alignment vertical="center" wrapText="1"/>
    </xf>
    <xf numFmtId="0" fontId="0" fillId="248" borderId="25" xfId="0" applyFill="1" applyBorder="1" applyAlignment="1">
      <alignment vertical="center" wrapText="1"/>
    </xf>
    <xf numFmtId="0" fontId="0" fillId="249" borderId="25" xfId="0" applyFill="1" applyBorder="1" applyAlignment="1">
      <alignment vertical="center" wrapText="1"/>
    </xf>
    <xf numFmtId="0" fontId="0" fillId="250" borderId="25" xfId="0" applyFill="1" applyBorder="1" applyAlignment="1">
      <alignment vertical="center" wrapText="1"/>
    </xf>
    <xf numFmtId="0" fontId="0" fillId="96" borderId="25" xfId="0" applyFill="1" applyBorder="1" applyAlignment="1">
      <alignment vertical="center" wrapText="1"/>
    </xf>
    <xf numFmtId="0" fontId="0" fillId="251" borderId="25" xfId="0" applyFill="1" applyBorder="1" applyAlignment="1">
      <alignment vertical="center" wrapText="1"/>
    </xf>
    <xf numFmtId="0" fontId="0" fillId="252" borderId="25" xfId="0" applyFill="1" applyBorder="1" applyAlignment="1">
      <alignment vertical="center" wrapText="1"/>
    </xf>
    <xf numFmtId="0" fontId="0" fillId="253" borderId="25" xfId="0" applyFill="1" applyBorder="1" applyAlignment="1">
      <alignment vertical="center" wrapText="1"/>
    </xf>
    <xf numFmtId="0" fontId="0" fillId="254" borderId="25" xfId="0" applyFill="1" applyBorder="1" applyAlignment="1">
      <alignment vertical="center" wrapText="1"/>
    </xf>
    <xf numFmtId="0" fontId="0" fillId="181" borderId="25" xfId="0" applyFill="1" applyBorder="1" applyAlignment="1">
      <alignment vertical="center" wrapText="1"/>
    </xf>
    <xf numFmtId="0" fontId="0" fillId="255" borderId="25" xfId="0" applyFill="1" applyBorder="1" applyAlignment="1">
      <alignment vertical="center" wrapText="1"/>
    </xf>
    <xf numFmtId="0" fontId="0" fillId="256" borderId="25" xfId="0" applyFill="1" applyBorder="1" applyAlignment="1">
      <alignment vertical="center" wrapText="1"/>
    </xf>
    <xf numFmtId="0" fontId="0" fillId="257" borderId="25" xfId="0" applyFill="1" applyBorder="1" applyAlignment="1">
      <alignment vertical="center" wrapText="1"/>
    </xf>
    <xf numFmtId="0" fontId="0" fillId="258" borderId="25" xfId="0" applyFill="1" applyBorder="1" applyAlignment="1">
      <alignment vertical="center" wrapText="1"/>
    </xf>
    <xf numFmtId="0" fontId="0" fillId="259" borderId="25" xfId="0" applyFill="1" applyBorder="1" applyAlignment="1">
      <alignment vertical="center" wrapText="1"/>
    </xf>
    <xf numFmtId="0" fontId="0" fillId="134" borderId="25" xfId="0" applyFill="1" applyBorder="1" applyAlignment="1">
      <alignment vertical="center" wrapText="1"/>
    </xf>
    <xf numFmtId="0" fontId="0" fillId="260" borderId="25" xfId="0" applyFill="1" applyBorder="1" applyAlignment="1">
      <alignment vertical="center" wrapText="1"/>
    </xf>
    <xf numFmtId="0" fontId="0" fillId="261" borderId="25" xfId="0" applyFill="1" applyBorder="1" applyAlignment="1">
      <alignment vertical="center" wrapText="1"/>
    </xf>
    <xf numFmtId="0" fontId="0" fillId="262" borderId="25" xfId="0" applyFill="1" applyBorder="1" applyAlignment="1">
      <alignment vertical="center" wrapText="1"/>
    </xf>
    <xf numFmtId="0" fontId="0" fillId="263" borderId="25" xfId="0" applyFill="1" applyBorder="1" applyAlignment="1">
      <alignment vertical="center" wrapText="1"/>
    </xf>
    <xf numFmtId="0" fontId="0" fillId="167" borderId="25" xfId="0" applyFill="1" applyBorder="1" applyAlignment="1">
      <alignment vertical="center" wrapText="1"/>
    </xf>
    <xf numFmtId="0" fontId="0" fillId="40" borderId="25" xfId="0" applyFill="1" applyBorder="1" applyAlignment="1">
      <alignment vertical="center" wrapText="1"/>
    </xf>
    <xf numFmtId="0" fontId="0" fillId="264" borderId="25" xfId="0" applyFill="1" applyBorder="1" applyAlignment="1">
      <alignment vertical="center" wrapText="1"/>
    </xf>
    <xf numFmtId="0" fontId="0" fillId="265" borderId="25" xfId="0" applyFill="1" applyBorder="1" applyAlignment="1">
      <alignment vertical="center" wrapText="1"/>
    </xf>
    <xf numFmtId="0" fontId="0" fillId="266" borderId="25" xfId="0" applyFill="1" applyBorder="1" applyAlignment="1">
      <alignment vertical="center" wrapText="1"/>
    </xf>
    <xf numFmtId="0" fontId="0" fillId="267" borderId="25" xfId="0" applyFill="1" applyBorder="1" applyAlignment="1">
      <alignment vertical="center" wrapText="1"/>
    </xf>
    <xf numFmtId="0" fontId="0" fillId="147" borderId="25" xfId="0" applyFill="1" applyBorder="1" applyAlignment="1">
      <alignment vertical="center" wrapText="1"/>
    </xf>
    <xf numFmtId="0" fontId="0" fillId="189" borderId="25" xfId="0" applyFill="1" applyBorder="1" applyAlignment="1">
      <alignment vertical="center" wrapText="1"/>
    </xf>
    <xf numFmtId="0" fontId="0" fillId="51" borderId="25" xfId="0" applyFill="1" applyBorder="1" applyAlignment="1">
      <alignment vertical="center" wrapText="1"/>
    </xf>
    <xf numFmtId="0" fontId="0" fillId="268" borderId="25" xfId="0" applyFill="1" applyBorder="1" applyAlignment="1">
      <alignment vertical="center" wrapText="1"/>
    </xf>
    <xf numFmtId="0" fontId="0" fillId="269" borderId="25" xfId="0" applyFill="1" applyBorder="1" applyAlignment="1">
      <alignment vertical="center" wrapText="1"/>
    </xf>
    <xf numFmtId="0" fontId="0" fillId="270" borderId="25" xfId="0" applyFill="1" applyBorder="1" applyAlignment="1">
      <alignment vertical="center" wrapText="1"/>
    </xf>
    <xf numFmtId="0" fontId="0" fillId="171" borderId="25" xfId="0" applyFill="1" applyBorder="1" applyAlignment="1">
      <alignment vertical="center" wrapText="1"/>
    </xf>
    <xf numFmtId="0" fontId="0" fillId="271" borderId="25" xfId="0" applyFill="1" applyBorder="1" applyAlignment="1">
      <alignment vertical="center" wrapText="1"/>
    </xf>
    <xf numFmtId="0" fontId="0" fillId="272" borderId="25" xfId="0" applyFill="1" applyBorder="1" applyAlignment="1">
      <alignment vertical="center" wrapText="1"/>
    </xf>
    <xf numFmtId="0" fontId="0" fillId="273" borderId="25" xfId="0" applyFill="1" applyBorder="1" applyAlignment="1">
      <alignment vertical="center" wrapText="1"/>
    </xf>
    <xf numFmtId="0" fontId="0" fillId="158" borderId="25" xfId="0" applyFill="1" applyBorder="1" applyAlignment="1">
      <alignment vertical="center" wrapText="1"/>
    </xf>
    <xf numFmtId="0" fontId="0" fillId="274" borderId="25" xfId="0" applyFill="1" applyBorder="1" applyAlignment="1">
      <alignment vertical="center" wrapText="1"/>
    </xf>
    <xf numFmtId="0" fontId="0" fillId="275" borderId="25" xfId="0" applyFill="1" applyBorder="1" applyAlignment="1">
      <alignment vertical="center" wrapText="1"/>
    </xf>
    <xf numFmtId="0" fontId="0" fillId="276" borderId="25" xfId="0" applyFill="1" applyBorder="1" applyAlignment="1">
      <alignment vertical="center" wrapText="1"/>
    </xf>
    <xf numFmtId="0" fontId="0" fillId="10" borderId="25" xfId="0" applyFill="1" applyBorder="1" applyAlignment="1">
      <alignment vertical="center" wrapText="1"/>
    </xf>
    <xf numFmtId="0" fontId="0" fillId="119" borderId="25" xfId="0" applyFill="1" applyBorder="1" applyAlignment="1">
      <alignment vertical="center" wrapText="1"/>
    </xf>
    <xf numFmtId="0" fontId="0" fillId="53" borderId="25" xfId="0" applyFill="1" applyBorder="1" applyAlignment="1">
      <alignment vertical="center" wrapText="1"/>
    </xf>
    <xf numFmtId="0" fontId="0" fillId="277" borderId="25" xfId="0" applyFill="1" applyBorder="1" applyAlignment="1">
      <alignment vertical="center" wrapText="1"/>
    </xf>
    <xf numFmtId="0" fontId="0" fillId="278" borderId="25" xfId="0" applyFill="1" applyBorder="1" applyAlignment="1">
      <alignment vertical="center" wrapText="1"/>
    </xf>
    <xf numFmtId="0" fontId="0" fillId="279" borderId="25" xfId="0" applyFill="1" applyBorder="1" applyAlignment="1">
      <alignment vertical="center" wrapText="1"/>
    </xf>
    <xf numFmtId="0" fontId="0" fillId="280" borderId="25" xfId="0" applyFill="1" applyBorder="1" applyAlignment="1">
      <alignment vertical="center" wrapText="1"/>
    </xf>
    <xf numFmtId="0" fontId="0" fillId="76" borderId="25" xfId="0" applyFill="1" applyBorder="1" applyAlignment="1">
      <alignment vertical="center" wrapText="1"/>
    </xf>
    <xf numFmtId="0" fontId="7" fillId="77" borderId="25" xfId="0" applyFont="1" applyFill="1" applyBorder="1"/>
    <xf numFmtId="0" fontId="7" fillId="52" borderId="25" xfId="0" applyFont="1" applyFill="1" applyBorder="1"/>
    <xf numFmtId="0" fontId="0" fillId="11" borderId="25" xfId="0" applyFill="1" applyBorder="1" applyAlignment="1">
      <alignment vertical="center" wrapText="1"/>
    </xf>
    <xf numFmtId="0" fontId="0" fillId="120" borderId="25" xfId="0" applyFill="1" applyBorder="1" applyAlignment="1">
      <alignment vertical="center" wrapText="1"/>
    </xf>
    <xf numFmtId="0" fontId="0" fillId="179" borderId="25" xfId="0" applyFill="1" applyBorder="1" applyAlignment="1">
      <alignment vertical="center" wrapText="1"/>
    </xf>
    <xf numFmtId="0" fontId="0" fillId="12" borderId="25" xfId="0" applyFill="1" applyBorder="1" applyAlignment="1">
      <alignment vertical="center" wrapText="1"/>
    </xf>
    <xf numFmtId="0" fontId="7" fillId="54" borderId="25" xfId="0" applyFont="1" applyFill="1" applyBorder="1"/>
    <xf numFmtId="0" fontId="0" fillId="13" borderId="25" xfId="0" applyFill="1" applyBorder="1" applyAlignment="1">
      <alignment vertical="center" wrapText="1"/>
    </xf>
    <xf numFmtId="0" fontId="0" fillId="106" borderId="25" xfId="0" applyFill="1" applyBorder="1" applyAlignment="1">
      <alignment vertical="center" wrapText="1"/>
    </xf>
    <xf numFmtId="0" fontId="0" fillId="281" borderId="25" xfId="0" applyFill="1" applyBorder="1" applyAlignment="1">
      <alignment vertical="center" wrapText="1"/>
    </xf>
    <xf numFmtId="0" fontId="0" fillId="282" borderId="25" xfId="0" applyFill="1" applyBorder="1" applyAlignment="1">
      <alignment vertical="center" wrapText="1"/>
    </xf>
    <xf numFmtId="0" fontId="0" fillId="283" borderId="25" xfId="0" applyFill="1" applyBorder="1" applyAlignment="1">
      <alignment vertical="center" wrapText="1"/>
    </xf>
    <xf numFmtId="0" fontId="7" fillId="78" borderId="25" xfId="0" applyFont="1" applyFill="1" applyBorder="1"/>
    <xf numFmtId="0" fontId="0" fillId="107" borderId="25" xfId="0" applyFill="1" applyBorder="1" applyAlignment="1">
      <alignment vertical="center" wrapText="1"/>
    </xf>
    <xf numFmtId="0" fontId="0" fillId="284" borderId="25" xfId="0" applyFill="1" applyBorder="1" applyAlignment="1">
      <alignment vertical="center" wrapText="1"/>
    </xf>
    <xf numFmtId="0" fontId="0" fillId="285" borderId="25" xfId="0" applyFill="1" applyBorder="1" applyAlignment="1">
      <alignment vertical="center" wrapText="1"/>
    </xf>
    <xf numFmtId="0" fontId="0" fillId="286" borderId="25" xfId="0" applyFill="1" applyBorder="1" applyAlignment="1">
      <alignment vertical="center" wrapText="1"/>
    </xf>
    <xf numFmtId="0" fontId="0" fillId="287" borderId="25" xfId="0" applyFill="1" applyBorder="1" applyAlignment="1">
      <alignment vertical="center" wrapText="1"/>
    </xf>
    <xf numFmtId="0" fontId="0" fillId="288" borderId="25" xfId="0" applyFill="1" applyBorder="1" applyAlignment="1">
      <alignment vertical="center" wrapText="1"/>
    </xf>
    <xf numFmtId="0" fontId="0" fillId="289" borderId="25" xfId="0" applyFill="1" applyBorder="1" applyAlignment="1">
      <alignment vertical="center" wrapText="1"/>
    </xf>
    <xf numFmtId="0" fontId="0" fillId="290" borderId="25" xfId="0" applyFill="1" applyBorder="1" applyAlignment="1">
      <alignment vertical="center" wrapText="1"/>
    </xf>
    <xf numFmtId="0" fontId="0" fillId="291" borderId="25" xfId="0" applyFill="1" applyBorder="1" applyAlignment="1">
      <alignment vertical="center" wrapText="1"/>
    </xf>
    <xf numFmtId="0" fontId="0" fillId="292" borderId="25" xfId="0" applyFill="1" applyBorder="1" applyAlignment="1">
      <alignment vertical="center" wrapText="1"/>
    </xf>
    <xf numFmtId="0" fontId="0" fillId="293" borderId="25" xfId="0" applyFill="1" applyBorder="1" applyAlignment="1">
      <alignment vertical="center" wrapText="1"/>
    </xf>
    <xf numFmtId="0" fontId="0" fillId="294" borderId="25" xfId="0" applyFill="1" applyBorder="1" applyAlignment="1">
      <alignment vertical="center" wrapText="1"/>
    </xf>
    <xf numFmtId="0" fontId="0" fillId="295" borderId="25" xfId="0" applyFill="1" applyBorder="1" applyAlignment="1">
      <alignment vertical="center" wrapText="1"/>
    </xf>
    <xf numFmtId="0" fontId="0" fillId="296" borderId="25" xfId="0" applyFill="1" applyBorder="1" applyAlignment="1">
      <alignment vertical="center" wrapText="1"/>
    </xf>
    <xf numFmtId="0" fontId="0" fillId="297" borderId="25" xfId="0" applyFill="1" applyBorder="1" applyAlignment="1">
      <alignment vertical="center" wrapText="1"/>
    </xf>
    <xf numFmtId="0" fontId="0" fillId="298" borderId="25" xfId="0" applyFill="1" applyBorder="1" applyAlignment="1">
      <alignment vertical="center" wrapText="1"/>
    </xf>
    <xf numFmtId="0" fontId="0" fillId="299" borderId="25" xfId="0" applyFill="1" applyBorder="1" applyAlignment="1">
      <alignment vertical="center" wrapText="1"/>
    </xf>
    <xf numFmtId="0" fontId="0" fillId="300" borderId="25" xfId="0" applyFill="1" applyBorder="1" applyAlignment="1">
      <alignment vertical="center" wrapText="1"/>
    </xf>
    <xf numFmtId="0" fontId="0" fillId="301" borderId="25" xfId="0" applyFill="1" applyBorder="1" applyAlignment="1">
      <alignment vertical="center" wrapText="1"/>
    </xf>
    <xf numFmtId="0" fontId="0" fillId="302" borderId="25" xfId="0" applyFill="1" applyBorder="1" applyAlignment="1">
      <alignment vertical="center" wrapText="1"/>
    </xf>
    <xf numFmtId="0" fontId="0" fillId="303" borderId="25" xfId="0" applyFill="1" applyBorder="1" applyAlignment="1">
      <alignment vertical="center" wrapText="1"/>
    </xf>
    <xf numFmtId="0" fontId="0" fillId="304" borderId="25" xfId="0" applyFill="1" applyBorder="1" applyAlignment="1">
      <alignment vertical="center" wrapText="1"/>
    </xf>
    <xf numFmtId="0" fontId="0" fillId="305" borderId="25" xfId="0" applyFill="1" applyBorder="1" applyAlignment="1">
      <alignment vertical="center" wrapText="1"/>
    </xf>
    <xf numFmtId="0" fontId="0" fillId="306" borderId="25" xfId="0" applyFill="1" applyBorder="1" applyAlignment="1">
      <alignment vertical="center" wrapText="1"/>
    </xf>
    <xf numFmtId="0" fontId="0" fillId="307" borderId="25" xfId="0" applyFill="1" applyBorder="1" applyAlignment="1">
      <alignment vertical="center" wrapText="1"/>
    </xf>
    <xf numFmtId="0" fontId="0" fillId="308" borderId="25" xfId="0" applyFill="1" applyBorder="1" applyAlignment="1">
      <alignment vertical="center" wrapText="1"/>
    </xf>
    <xf numFmtId="0" fontId="0" fillId="309" borderId="25" xfId="0" applyFill="1" applyBorder="1" applyAlignment="1">
      <alignment vertical="center" wrapText="1"/>
    </xf>
    <xf numFmtId="0" fontId="0" fillId="310" borderId="25" xfId="0" applyFill="1" applyBorder="1" applyAlignment="1">
      <alignment vertical="center" wrapText="1"/>
    </xf>
    <xf numFmtId="0" fontId="0" fillId="311" borderId="25" xfId="0" applyFill="1" applyBorder="1" applyAlignment="1">
      <alignment vertical="center" wrapText="1"/>
    </xf>
    <xf numFmtId="0" fontId="0" fillId="312" borderId="25" xfId="0" applyFill="1" applyBorder="1" applyAlignment="1">
      <alignment vertical="center" wrapText="1"/>
    </xf>
    <xf numFmtId="0" fontId="0" fillId="313" borderId="25" xfId="0" applyFill="1" applyBorder="1" applyAlignment="1">
      <alignment vertical="center" wrapText="1"/>
    </xf>
    <xf numFmtId="0" fontId="0" fillId="314" borderId="25" xfId="0" applyFill="1" applyBorder="1" applyAlignment="1">
      <alignment vertical="center" wrapText="1"/>
    </xf>
    <xf numFmtId="0" fontId="0" fillId="315" borderId="25" xfId="0" applyFill="1" applyBorder="1" applyAlignment="1">
      <alignment vertical="center" wrapText="1"/>
    </xf>
    <xf numFmtId="0" fontId="0" fillId="316" borderId="25" xfId="0" applyFill="1" applyBorder="1" applyAlignment="1">
      <alignment vertical="center" wrapText="1"/>
    </xf>
    <xf numFmtId="0" fontId="0" fillId="317" borderId="25" xfId="0" applyFill="1" applyBorder="1" applyAlignment="1">
      <alignment vertical="center" wrapText="1"/>
    </xf>
    <xf numFmtId="0" fontId="0" fillId="318" borderId="25" xfId="0" applyFill="1" applyBorder="1" applyAlignment="1">
      <alignment vertical="center" wrapText="1"/>
    </xf>
    <xf numFmtId="0" fontId="0" fillId="319" borderId="25" xfId="0" applyFill="1" applyBorder="1" applyAlignment="1">
      <alignment vertical="center" wrapText="1"/>
    </xf>
    <xf numFmtId="0" fontId="0" fillId="320" borderId="25" xfId="0" applyFill="1" applyBorder="1" applyAlignment="1">
      <alignment vertical="center" wrapText="1"/>
    </xf>
    <xf numFmtId="0" fontId="0" fillId="321" borderId="25" xfId="0" applyFill="1" applyBorder="1" applyAlignment="1">
      <alignment vertical="center" wrapText="1"/>
    </xf>
    <xf numFmtId="0" fontId="0" fillId="322" borderId="25" xfId="0" applyFill="1" applyBorder="1" applyAlignment="1">
      <alignment vertical="center" wrapText="1"/>
    </xf>
    <xf numFmtId="0" fontId="0" fillId="323" borderId="25" xfId="0" applyFill="1" applyBorder="1" applyAlignment="1">
      <alignment vertical="center" wrapText="1"/>
    </xf>
    <xf numFmtId="0" fontId="0" fillId="36" borderId="25" xfId="0" applyFill="1" applyBorder="1" applyAlignment="1">
      <alignment vertical="center" wrapText="1"/>
    </xf>
    <xf numFmtId="0" fontId="0" fillId="324" borderId="25" xfId="0" applyFill="1" applyBorder="1" applyAlignment="1">
      <alignment vertical="center" wrapText="1"/>
    </xf>
    <xf numFmtId="0" fontId="0" fillId="325" borderId="25" xfId="0" applyFill="1" applyBorder="1" applyAlignment="1">
      <alignment vertical="center" wrapText="1"/>
    </xf>
    <xf numFmtId="0" fontId="0" fillId="326" borderId="25" xfId="0" applyFill="1" applyBorder="1" applyAlignment="1">
      <alignment vertical="center" wrapText="1"/>
    </xf>
    <xf numFmtId="0" fontId="0" fillId="327" borderId="25" xfId="0" applyFill="1" applyBorder="1" applyAlignment="1">
      <alignment vertical="center" wrapText="1"/>
    </xf>
    <xf numFmtId="0" fontId="0" fillId="328" borderId="25" xfId="0" applyFill="1" applyBorder="1" applyAlignment="1">
      <alignment vertical="center" wrapText="1"/>
    </xf>
    <xf numFmtId="0" fontId="0" fillId="329" borderId="25" xfId="0" applyFill="1" applyBorder="1" applyAlignment="1">
      <alignment vertical="center" wrapText="1"/>
    </xf>
    <xf numFmtId="0" fontId="0" fillId="330" borderId="25" xfId="0" applyFill="1" applyBorder="1" applyAlignment="1">
      <alignment vertical="center" wrapText="1"/>
    </xf>
    <xf numFmtId="0" fontId="0" fillId="331" borderId="25" xfId="0" applyFill="1" applyBorder="1" applyAlignment="1">
      <alignment vertical="center" wrapText="1"/>
    </xf>
    <xf numFmtId="0" fontId="0" fillId="332" borderId="25" xfId="0" applyFill="1" applyBorder="1" applyAlignment="1">
      <alignment vertical="center" wrapText="1"/>
    </xf>
    <xf numFmtId="0" fontId="0" fillId="333" borderId="25" xfId="0" applyFill="1" applyBorder="1" applyAlignment="1">
      <alignment vertical="center" wrapText="1"/>
    </xf>
    <xf numFmtId="0" fontId="0" fillId="334" borderId="25" xfId="0" applyFill="1" applyBorder="1" applyAlignment="1">
      <alignment vertical="center" wrapText="1"/>
    </xf>
    <xf numFmtId="0" fontId="0" fillId="335" borderId="25" xfId="0" applyFill="1" applyBorder="1" applyAlignment="1">
      <alignment vertical="center" wrapText="1"/>
    </xf>
    <xf numFmtId="0" fontId="0" fillId="336" borderId="25" xfId="0" applyFill="1" applyBorder="1" applyAlignment="1">
      <alignment vertical="center" wrapText="1"/>
    </xf>
    <xf numFmtId="0" fontId="0" fillId="337" borderId="25" xfId="0" applyFill="1" applyBorder="1" applyAlignment="1">
      <alignment vertical="center" wrapText="1"/>
    </xf>
    <xf numFmtId="0" fontId="0" fillId="338" borderId="25" xfId="0" applyFill="1" applyBorder="1" applyAlignment="1">
      <alignment vertical="center" wrapText="1"/>
    </xf>
    <xf numFmtId="0" fontId="0" fillId="339" borderId="25" xfId="0" applyFill="1" applyBorder="1" applyAlignment="1">
      <alignment vertical="center" wrapText="1"/>
    </xf>
    <xf numFmtId="0" fontId="0" fillId="340" borderId="25" xfId="0" applyFill="1" applyBorder="1" applyAlignment="1">
      <alignment vertical="center" wrapText="1"/>
    </xf>
    <xf numFmtId="0" fontId="0" fillId="341" borderId="25" xfId="0" applyFill="1" applyBorder="1" applyAlignment="1">
      <alignment vertical="center" wrapText="1"/>
    </xf>
    <xf numFmtId="0" fontId="0" fillId="342" borderId="25" xfId="0" applyFill="1" applyBorder="1" applyAlignment="1">
      <alignment vertical="center" wrapText="1"/>
    </xf>
    <xf numFmtId="0" fontId="0" fillId="343" borderId="25" xfId="0" applyFill="1" applyBorder="1" applyAlignment="1">
      <alignment vertical="center" wrapText="1"/>
    </xf>
    <xf numFmtId="0" fontId="0" fillId="344" borderId="25" xfId="0" applyFill="1" applyBorder="1" applyAlignment="1">
      <alignment vertical="center" wrapText="1"/>
    </xf>
    <xf numFmtId="0" fontId="0" fillId="345" borderId="25" xfId="0" applyFill="1" applyBorder="1" applyAlignment="1">
      <alignment vertical="center" wrapText="1"/>
    </xf>
    <xf numFmtId="0" fontId="0" fillId="346" borderId="25" xfId="0" applyFill="1" applyBorder="1" applyAlignment="1">
      <alignment vertical="center" wrapText="1"/>
    </xf>
    <xf numFmtId="0" fontId="0" fillId="347" borderId="25" xfId="0" applyFill="1" applyBorder="1" applyAlignment="1">
      <alignment vertical="center" wrapText="1"/>
    </xf>
    <xf numFmtId="0" fontId="0" fillId="348" borderId="25" xfId="0" applyFill="1" applyBorder="1" applyAlignment="1">
      <alignment vertical="center" wrapText="1"/>
    </xf>
    <xf numFmtId="0" fontId="0" fillId="349" borderId="25" xfId="0" applyFill="1" applyBorder="1" applyAlignment="1">
      <alignment vertical="center" wrapText="1"/>
    </xf>
    <xf numFmtId="0" fontId="0" fillId="350" borderId="25" xfId="0" applyFill="1" applyBorder="1" applyAlignment="1">
      <alignment vertical="center" wrapText="1"/>
    </xf>
    <xf numFmtId="0" fontId="0" fillId="351" borderId="25" xfId="0" applyFill="1" applyBorder="1" applyAlignment="1">
      <alignment vertical="center" wrapText="1"/>
    </xf>
    <xf numFmtId="0" fontId="0" fillId="352" borderId="25" xfId="0" applyFill="1" applyBorder="1" applyAlignment="1">
      <alignment vertical="center" wrapText="1"/>
    </xf>
    <xf numFmtId="0" fontId="0" fillId="353" borderId="25" xfId="0" applyFill="1" applyBorder="1" applyAlignment="1">
      <alignment vertical="center" wrapText="1"/>
    </xf>
    <xf numFmtId="0" fontId="0" fillId="354" borderId="25" xfId="0" applyFill="1" applyBorder="1" applyAlignment="1">
      <alignment vertical="center" wrapText="1"/>
    </xf>
    <xf numFmtId="0" fontId="0" fillId="355" borderId="25" xfId="0" applyFill="1" applyBorder="1" applyAlignment="1">
      <alignment vertical="center" wrapText="1"/>
    </xf>
    <xf numFmtId="0" fontId="0" fillId="356" borderId="25" xfId="0" applyFill="1" applyBorder="1" applyAlignment="1">
      <alignment vertical="center" wrapText="1"/>
    </xf>
    <xf numFmtId="0" fontId="0" fillId="357" borderId="25" xfId="0" applyFill="1" applyBorder="1" applyAlignment="1">
      <alignment vertical="center" wrapText="1"/>
    </xf>
    <xf numFmtId="0" fontId="0" fillId="358" borderId="25" xfId="0" applyFill="1" applyBorder="1" applyAlignment="1">
      <alignment vertical="center" wrapText="1"/>
    </xf>
    <xf numFmtId="0" fontId="0" fillId="359" borderId="25" xfId="0" applyFill="1" applyBorder="1" applyAlignment="1">
      <alignment vertical="center" wrapText="1"/>
    </xf>
    <xf numFmtId="0" fontId="0" fillId="360" borderId="25" xfId="0" applyFill="1" applyBorder="1" applyAlignment="1">
      <alignment vertical="center" wrapText="1"/>
    </xf>
    <xf numFmtId="0" fontId="0" fillId="361" borderId="25" xfId="0" applyFill="1" applyBorder="1" applyAlignment="1">
      <alignment vertical="center" wrapText="1"/>
    </xf>
    <xf numFmtId="0" fontId="0" fillId="362" borderId="25" xfId="0" applyFill="1" applyBorder="1" applyAlignment="1">
      <alignment vertical="center" wrapText="1"/>
    </xf>
    <xf numFmtId="0" fontId="0" fillId="363" borderId="25" xfId="0" applyFill="1" applyBorder="1" applyAlignment="1">
      <alignment vertical="center" wrapText="1"/>
    </xf>
    <xf numFmtId="0" fontId="0" fillId="364" borderId="25" xfId="0" applyFill="1" applyBorder="1" applyAlignment="1">
      <alignment vertical="center" wrapText="1"/>
    </xf>
    <xf numFmtId="0" fontId="0" fillId="365" borderId="25" xfId="0" applyFill="1" applyBorder="1" applyAlignment="1">
      <alignment vertical="center" wrapText="1"/>
    </xf>
    <xf numFmtId="0" fontId="0" fillId="366" borderId="25" xfId="0" applyFill="1" applyBorder="1" applyAlignment="1">
      <alignment vertical="center" wrapText="1"/>
    </xf>
    <xf numFmtId="0" fontId="0" fillId="367" borderId="25" xfId="0" applyFill="1" applyBorder="1" applyAlignment="1">
      <alignment vertical="center" wrapText="1"/>
    </xf>
    <xf numFmtId="0" fontId="0" fillId="368" borderId="25" xfId="0" applyFill="1" applyBorder="1" applyAlignment="1">
      <alignment vertical="center" wrapText="1"/>
    </xf>
    <xf numFmtId="0" fontId="0" fillId="369" borderId="25" xfId="0" applyFill="1" applyBorder="1" applyAlignment="1">
      <alignment vertical="center" wrapText="1"/>
    </xf>
    <xf numFmtId="0" fontId="0" fillId="370" borderId="25" xfId="0" applyFill="1" applyBorder="1" applyAlignment="1">
      <alignment vertical="center" wrapText="1"/>
    </xf>
    <xf numFmtId="0" fontId="0" fillId="371" borderId="25" xfId="0" applyFill="1" applyBorder="1" applyAlignment="1">
      <alignment vertical="center" wrapText="1"/>
    </xf>
    <xf numFmtId="0" fontId="0" fillId="372" borderId="25" xfId="0" applyFill="1" applyBorder="1" applyAlignment="1">
      <alignment vertical="center" wrapText="1"/>
    </xf>
    <xf numFmtId="0" fontId="0" fillId="373" borderId="25" xfId="0" applyFill="1" applyBorder="1" applyAlignment="1">
      <alignment vertical="center" wrapText="1"/>
    </xf>
    <xf numFmtId="0" fontId="0" fillId="374" borderId="25" xfId="0" applyFill="1" applyBorder="1" applyAlignment="1">
      <alignment vertical="center" wrapText="1"/>
    </xf>
    <xf numFmtId="0" fontId="0" fillId="375" borderId="25" xfId="0" applyFill="1" applyBorder="1" applyAlignment="1">
      <alignment vertical="center" wrapText="1"/>
    </xf>
    <xf numFmtId="0" fontId="0" fillId="376" borderId="25" xfId="0" applyFill="1" applyBorder="1" applyAlignment="1">
      <alignment vertical="center" wrapText="1"/>
    </xf>
    <xf numFmtId="0" fontId="0" fillId="377" borderId="25" xfId="0" applyFill="1" applyBorder="1" applyAlignment="1">
      <alignment vertical="center" wrapText="1"/>
    </xf>
    <xf numFmtId="0" fontId="0" fillId="378" borderId="25" xfId="0" applyFill="1" applyBorder="1" applyAlignment="1">
      <alignment vertical="center" wrapText="1"/>
    </xf>
    <xf numFmtId="0" fontId="0" fillId="379" borderId="25" xfId="0" applyFill="1" applyBorder="1" applyAlignment="1">
      <alignment vertical="center" wrapText="1"/>
    </xf>
    <xf numFmtId="0" fontId="0" fillId="380" borderId="25" xfId="0" applyFill="1" applyBorder="1" applyAlignment="1">
      <alignment vertical="center" wrapText="1"/>
    </xf>
    <xf numFmtId="0" fontId="0" fillId="381" borderId="25" xfId="0" applyFill="1" applyBorder="1" applyAlignment="1">
      <alignment vertical="center" wrapText="1"/>
    </xf>
    <xf numFmtId="0" fontId="0" fillId="382" borderId="25" xfId="0" applyFill="1" applyBorder="1" applyAlignment="1">
      <alignment vertical="center" wrapText="1"/>
    </xf>
    <xf numFmtId="0" fontId="0" fillId="33" borderId="25" xfId="0" applyFill="1" applyBorder="1" applyAlignment="1">
      <alignment vertical="center" wrapText="1"/>
    </xf>
    <xf numFmtId="0" fontId="0" fillId="383" borderId="25" xfId="0" applyFill="1" applyBorder="1" applyAlignment="1">
      <alignment vertical="center" wrapText="1"/>
    </xf>
    <xf numFmtId="0" fontId="0" fillId="384" borderId="25" xfId="0" applyFill="1" applyBorder="1" applyAlignment="1">
      <alignment vertical="center" wrapText="1"/>
    </xf>
    <xf numFmtId="0" fontId="0" fillId="385" borderId="25" xfId="0" applyFill="1" applyBorder="1" applyAlignment="1">
      <alignment vertical="center" wrapText="1"/>
    </xf>
    <xf numFmtId="0" fontId="0" fillId="121" borderId="25" xfId="0" applyFill="1" applyBorder="1" applyAlignment="1">
      <alignment vertical="center" wrapText="1"/>
    </xf>
    <xf numFmtId="0" fontId="0" fillId="386" borderId="25" xfId="0" applyFill="1" applyBorder="1" applyAlignment="1">
      <alignment vertical="center" wrapText="1"/>
    </xf>
    <xf numFmtId="0" fontId="0" fillId="387" borderId="25" xfId="0" applyFill="1" applyBorder="1" applyAlignment="1">
      <alignment vertical="center" wrapText="1"/>
    </xf>
    <xf numFmtId="0" fontId="0" fillId="388" borderId="25" xfId="0" applyFill="1" applyBorder="1" applyAlignment="1">
      <alignment vertical="center" wrapText="1"/>
    </xf>
    <xf numFmtId="0" fontId="0" fillId="124" borderId="25" xfId="0" applyFill="1" applyBorder="1" applyAlignment="1">
      <alignment vertical="center" wrapText="1"/>
    </xf>
    <xf numFmtId="0" fontId="0" fillId="389" borderId="25" xfId="0" applyFill="1" applyBorder="1" applyAlignment="1">
      <alignment vertical="center" wrapText="1"/>
    </xf>
    <xf numFmtId="0" fontId="7" fillId="79" borderId="25" xfId="0" applyFont="1" applyFill="1" applyBorder="1"/>
    <xf numFmtId="0" fontId="0" fillId="37" borderId="25" xfId="0" applyFill="1" applyBorder="1" applyAlignment="1">
      <alignment vertical="center" wrapText="1"/>
    </xf>
    <xf numFmtId="0" fontId="0" fillId="14" borderId="25" xfId="0" applyFill="1" applyBorder="1" applyAlignment="1">
      <alignment vertical="center" wrapText="1"/>
    </xf>
    <xf numFmtId="0" fontId="0" fillId="390" borderId="25" xfId="0" applyFill="1" applyBorder="1" applyAlignment="1">
      <alignment vertical="center" wrapText="1"/>
    </xf>
    <xf numFmtId="0" fontId="0" fillId="391" borderId="25" xfId="0" applyFill="1" applyBorder="1" applyAlignment="1">
      <alignment vertical="center" wrapText="1"/>
    </xf>
    <xf numFmtId="0" fontId="0" fillId="392" borderId="25" xfId="0" applyFill="1" applyBorder="1" applyAlignment="1">
      <alignment vertical="center" wrapText="1"/>
    </xf>
    <xf numFmtId="0" fontId="0" fillId="55" borderId="25" xfId="0" applyFill="1" applyBorder="1" applyAlignment="1">
      <alignment vertical="center" wrapText="1"/>
    </xf>
    <xf numFmtId="0" fontId="0" fillId="393" borderId="25" xfId="0" applyFill="1" applyBorder="1" applyAlignment="1">
      <alignment vertical="center" wrapText="1"/>
    </xf>
    <xf numFmtId="0" fontId="0" fillId="394" borderId="25" xfId="0" applyFill="1" applyBorder="1" applyAlignment="1">
      <alignment vertical="center" wrapText="1"/>
    </xf>
    <xf numFmtId="0" fontId="0" fillId="395" borderId="25" xfId="0" applyFill="1" applyBorder="1" applyAlignment="1">
      <alignment vertical="center" wrapText="1"/>
    </xf>
    <xf numFmtId="0" fontId="0" fillId="396" borderId="25" xfId="0" applyFill="1" applyBorder="1" applyAlignment="1">
      <alignment vertical="center" wrapText="1"/>
    </xf>
    <xf numFmtId="0" fontId="0" fillId="56" borderId="25" xfId="0" applyFill="1" applyBorder="1" applyAlignment="1">
      <alignment vertical="center" wrapText="1"/>
    </xf>
    <xf numFmtId="0" fontId="0" fillId="397" borderId="25" xfId="0" applyFill="1" applyBorder="1" applyAlignment="1">
      <alignment vertical="center" wrapText="1"/>
    </xf>
    <xf numFmtId="0" fontId="0" fillId="398" borderId="25" xfId="0" applyFill="1" applyBorder="1" applyAlignment="1">
      <alignment vertical="center" wrapText="1"/>
    </xf>
    <xf numFmtId="0" fontId="0" fillId="399" borderId="25" xfId="0" applyFill="1" applyBorder="1" applyAlignment="1">
      <alignment vertical="center" wrapText="1"/>
    </xf>
    <xf numFmtId="0" fontId="0" fillId="400" borderId="25" xfId="0" applyFill="1" applyBorder="1" applyAlignment="1">
      <alignment vertical="center" wrapText="1"/>
    </xf>
    <xf numFmtId="0" fontId="0" fillId="401" borderId="25" xfId="0" applyFill="1" applyBorder="1" applyAlignment="1">
      <alignment vertical="center" wrapText="1"/>
    </xf>
    <xf numFmtId="0" fontId="7" fillId="159" borderId="25" xfId="0" applyFont="1" applyFill="1" applyBorder="1"/>
    <xf numFmtId="0" fontId="0" fillId="402" borderId="25" xfId="0" applyFill="1" applyBorder="1" applyAlignment="1">
      <alignment vertical="center" wrapText="1"/>
    </xf>
    <xf numFmtId="0" fontId="0" fillId="403" borderId="25" xfId="0" applyFill="1" applyBorder="1" applyAlignment="1">
      <alignment vertical="center" wrapText="1"/>
    </xf>
    <xf numFmtId="0" fontId="0" fillId="15" borderId="25" xfId="0" applyFill="1" applyBorder="1" applyAlignment="1">
      <alignment vertical="center" wrapText="1"/>
    </xf>
    <xf numFmtId="0" fontId="0" fillId="404" borderId="25" xfId="0" applyFill="1" applyBorder="1" applyAlignment="1">
      <alignment vertical="center" wrapText="1"/>
    </xf>
    <xf numFmtId="0" fontId="0" fillId="405" borderId="25" xfId="0" applyFill="1" applyBorder="1" applyAlignment="1">
      <alignment vertical="center" wrapText="1"/>
    </xf>
    <xf numFmtId="0" fontId="0" fillId="406" borderId="25" xfId="0" applyFill="1" applyBorder="1" applyAlignment="1">
      <alignment vertical="center" wrapText="1"/>
    </xf>
    <xf numFmtId="0" fontId="0" fillId="44" borderId="25" xfId="0" applyFill="1" applyBorder="1" applyAlignment="1">
      <alignment vertical="center" wrapText="1"/>
    </xf>
    <xf numFmtId="0" fontId="0" fillId="80" borderId="25" xfId="0" applyFill="1" applyBorder="1" applyAlignment="1">
      <alignment vertical="center" wrapText="1"/>
    </xf>
    <xf numFmtId="0" fontId="0" fillId="407" borderId="25" xfId="0" applyFill="1" applyBorder="1" applyAlignment="1">
      <alignment vertical="center" wrapText="1"/>
    </xf>
    <xf numFmtId="0" fontId="0" fillId="408" borderId="25" xfId="0" applyFill="1" applyBorder="1" applyAlignment="1">
      <alignment vertical="center" wrapText="1"/>
    </xf>
    <xf numFmtId="0" fontId="0" fillId="409" borderId="25" xfId="0" applyFill="1" applyBorder="1" applyAlignment="1">
      <alignment vertical="center" wrapText="1"/>
    </xf>
    <xf numFmtId="0" fontId="0" fillId="410" borderId="25" xfId="0" applyFill="1" applyBorder="1" applyAlignment="1">
      <alignment vertical="center" wrapText="1"/>
    </xf>
    <xf numFmtId="0" fontId="7" fillId="45" borderId="25" xfId="0" applyFont="1" applyFill="1" applyBorder="1"/>
    <xf numFmtId="0" fontId="0" fillId="16" borderId="25" xfId="0" applyFill="1" applyBorder="1" applyAlignment="1">
      <alignment vertical="center" wrapText="1"/>
    </xf>
    <xf numFmtId="0" fontId="0" fillId="17" borderId="25" xfId="0" applyFill="1" applyBorder="1" applyAlignment="1">
      <alignment vertical="center" wrapText="1"/>
    </xf>
    <xf numFmtId="0" fontId="0" fillId="411" borderId="25" xfId="0" applyFill="1" applyBorder="1" applyAlignment="1">
      <alignment vertical="center" wrapText="1"/>
    </xf>
    <xf numFmtId="0" fontId="0" fillId="412" borderId="25" xfId="0" applyFill="1" applyBorder="1" applyAlignment="1">
      <alignment vertical="center" wrapText="1"/>
    </xf>
    <xf numFmtId="0" fontId="0" fillId="413" borderId="25" xfId="0" applyFill="1" applyBorder="1" applyAlignment="1">
      <alignment vertical="center" wrapText="1"/>
    </xf>
    <xf numFmtId="0" fontId="0" fillId="125" borderId="25" xfId="0" applyFill="1" applyBorder="1" applyAlignment="1">
      <alignment vertical="center" wrapText="1"/>
    </xf>
    <xf numFmtId="0" fontId="0" fillId="18" borderId="25" xfId="0" applyFill="1" applyBorder="1" applyAlignment="1">
      <alignment vertical="center" wrapText="1"/>
    </xf>
    <xf numFmtId="0" fontId="0" fillId="414" borderId="25" xfId="0" applyFill="1" applyBorder="1" applyAlignment="1">
      <alignment vertical="center" wrapText="1"/>
    </xf>
    <xf numFmtId="0" fontId="0" fillId="415" borderId="25" xfId="0" applyFill="1" applyBorder="1" applyAlignment="1">
      <alignment vertical="center" wrapText="1"/>
    </xf>
    <xf numFmtId="0" fontId="0" fillId="416" borderId="25" xfId="0" applyFill="1" applyBorder="1" applyAlignment="1">
      <alignment vertical="center" wrapText="1"/>
    </xf>
    <xf numFmtId="0" fontId="0" fillId="417" borderId="25" xfId="0" applyFill="1" applyBorder="1" applyAlignment="1">
      <alignment vertical="center" wrapText="1"/>
    </xf>
    <xf numFmtId="0" fontId="0" fillId="152" borderId="25" xfId="0" applyFill="1" applyBorder="1" applyAlignment="1">
      <alignment vertical="center" wrapText="1"/>
    </xf>
    <xf numFmtId="0" fontId="0" fillId="418" borderId="25" xfId="0" applyFill="1" applyBorder="1" applyAlignment="1">
      <alignment vertical="center" wrapText="1"/>
    </xf>
    <xf numFmtId="0" fontId="0" fillId="419" borderId="25" xfId="0" applyFill="1" applyBorder="1" applyAlignment="1">
      <alignment vertical="center" wrapText="1"/>
    </xf>
    <xf numFmtId="0" fontId="0" fillId="420" borderId="25" xfId="0" applyFill="1" applyBorder="1" applyAlignment="1">
      <alignment vertical="center" wrapText="1"/>
    </xf>
    <xf numFmtId="0" fontId="0" fillId="421" borderId="25" xfId="0" applyFill="1" applyBorder="1" applyAlignment="1">
      <alignment vertical="center" wrapText="1"/>
    </xf>
    <xf numFmtId="0" fontId="0" fillId="50" borderId="25" xfId="0" applyFill="1" applyBorder="1" applyAlignment="1">
      <alignment vertical="center" wrapText="1"/>
    </xf>
    <xf numFmtId="0" fontId="0" fillId="145" borderId="25" xfId="0" applyFill="1" applyBorder="1" applyAlignment="1">
      <alignment vertical="center" wrapText="1"/>
    </xf>
    <xf numFmtId="0" fontId="0" fillId="422" borderId="25" xfId="0" applyFill="1" applyBorder="1" applyAlignment="1">
      <alignment vertical="center" wrapText="1"/>
    </xf>
    <xf numFmtId="0" fontId="0" fillId="423" borderId="25" xfId="0" applyFill="1" applyBorder="1" applyAlignment="1">
      <alignment vertical="center" wrapText="1"/>
    </xf>
    <xf numFmtId="0" fontId="0" fillId="424" borderId="25" xfId="0" applyFill="1" applyBorder="1" applyAlignment="1">
      <alignment vertical="center" wrapText="1"/>
    </xf>
    <xf numFmtId="0" fontId="7" fillId="111" borderId="25" xfId="0" applyFont="1" applyFill="1" applyBorder="1"/>
    <xf numFmtId="0" fontId="0" fillId="425" borderId="25" xfId="0" applyFill="1" applyBorder="1" applyAlignment="1">
      <alignment vertical="center" wrapText="1"/>
    </xf>
    <xf numFmtId="0" fontId="0" fillId="426" borderId="25" xfId="0" applyFill="1" applyBorder="1" applyAlignment="1">
      <alignment vertical="center" wrapText="1"/>
    </xf>
    <xf numFmtId="0" fontId="0" fillId="427" borderId="25" xfId="0" applyFill="1" applyBorder="1" applyAlignment="1">
      <alignment vertical="center" wrapText="1"/>
    </xf>
    <xf numFmtId="0" fontId="0" fillId="109" borderId="25" xfId="0" applyFill="1" applyBorder="1" applyAlignment="1">
      <alignment vertical="center" wrapText="1"/>
    </xf>
    <xf numFmtId="0" fontId="0" fillId="38" borderId="25" xfId="0" applyFill="1" applyBorder="1" applyAlignment="1">
      <alignment vertical="center" wrapText="1"/>
    </xf>
    <xf numFmtId="0" fontId="0" fillId="61" borderId="25" xfId="0" applyFill="1" applyBorder="1" applyAlignment="1">
      <alignment vertical="center" wrapText="1"/>
    </xf>
    <xf numFmtId="0" fontId="0" fillId="428" borderId="25" xfId="0" applyFill="1" applyBorder="1" applyAlignment="1">
      <alignment vertical="center" wrapText="1"/>
    </xf>
    <xf numFmtId="0" fontId="0" fillId="429" borderId="25" xfId="0" applyFill="1" applyBorder="1" applyAlignment="1">
      <alignment vertical="center" wrapText="1"/>
    </xf>
    <xf numFmtId="0" fontId="0" fillId="430" borderId="25" xfId="0" applyFill="1" applyBorder="1" applyAlignment="1">
      <alignment vertical="center" wrapText="1"/>
    </xf>
    <xf numFmtId="0" fontId="0" fillId="431" borderId="25" xfId="0" applyFill="1" applyBorder="1" applyAlignment="1">
      <alignment vertical="center" wrapText="1"/>
    </xf>
    <xf numFmtId="0" fontId="0" fillId="57" borderId="25" xfId="0" applyFill="1" applyBorder="1" applyAlignment="1">
      <alignment vertical="center" wrapText="1"/>
    </xf>
    <xf numFmtId="0" fontId="0" fillId="432" borderId="25" xfId="0" applyFill="1" applyBorder="1" applyAlignment="1">
      <alignment vertical="center" wrapText="1"/>
    </xf>
    <xf numFmtId="0" fontId="0" fillId="433" borderId="25" xfId="0" applyFill="1" applyBorder="1" applyAlignment="1">
      <alignment vertical="center" wrapText="1"/>
    </xf>
    <xf numFmtId="0" fontId="0" fillId="434" borderId="25" xfId="0" applyFill="1" applyBorder="1" applyAlignment="1">
      <alignment vertical="center" wrapText="1"/>
    </xf>
    <xf numFmtId="0" fontId="0" fillId="136" borderId="25" xfId="0" applyFill="1" applyBorder="1" applyAlignment="1">
      <alignment vertical="center" wrapText="1"/>
    </xf>
    <xf numFmtId="0" fontId="0" fillId="172" borderId="25" xfId="0" applyFill="1" applyBorder="1" applyAlignment="1">
      <alignment vertical="center" wrapText="1"/>
    </xf>
    <xf numFmtId="0" fontId="0" fillId="435" borderId="25" xfId="0" applyFill="1" applyBorder="1" applyAlignment="1">
      <alignment vertical="center" wrapText="1"/>
    </xf>
    <xf numFmtId="0" fontId="0" fillId="436" borderId="25" xfId="0" applyFill="1" applyBorder="1" applyAlignment="1">
      <alignment vertical="center" wrapText="1"/>
    </xf>
    <xf numFmtId="0" fontId="0" fillId="437" borderId="25" xfId="0" applyFill="1" applyBorder="1" applyAlignment="1">
      <alignment vertical="center" wrapText="1"/>
    </xf>
    <xf numFmtId="0" fontId="0" fillId="438" borderId="25" xfId="0" applyFill="1" applyBorder="1" applyAlignment="1">
      <alignment vertical="center" wrapText="1"/>
    </xf>
    <xf numFmtId="0" fontId="0" fillId="168" borderId="25" xfId="0" applyFill="1" applyBorder="1" applyAlignment="1">
      <alignment vertical="center" wrapText="1"/>
    </xf>
    <xf numFmtId="0" fontId="0" fillId="41" borderId="25" xfId="0" applyFill="1" applyBorder="1" applyAlignment="1">
      <alignment vertical="center" wrapText="1"/>
    </xf>
    <xf numFmtId="0" fontId="0" fillId="174" borderId="25" xfId="0" applyFill="1" applyBorder="1" applyAlignment="1">
      <alignment vertical="center" wrapText="1"/>
    </xf>
    <xf numFmtId="0" fontId="0" fillId="439" borderId="25" xfId="0" applyFill="1" applyBorder="1" applyAlignment="1">
      <alignment vertical="center" wrapText="1"/>
    </xf>
    <xf numFmtId="0" fontId="0" fillId="440" borderId="25" xfId="0" applyFill="1" applyBorder="1" applyAlignment="1">
      <alignment vertical="center" wrapText="1"/>
    </xf>
    <xf numFmtId="0" fontId="0" fillId="441" borderId="25" xfId="0" applyFill="1" applyBorder="1" applyAlignment="1">
      <alignment vertical="center" wrapText="1"/>
    </xf>
    <xf numFmtId="0" fontId="0" fillId="442" borderId="25" xfId="0" applyFill="1" applyBorder="1" applyAlignment="1">
      <alignment vertical="center" wrapText="1"/>
    </xf>
    <xf numFmtId="0" fontId="0" fillId="114" borderId="25" xfId="0" applyFill="1" applyBorder="1" applyAlignment="1">
      <alignment vertical="center" wrapText="1"/>
    </xf>
    <xf numFmtId="0" fontId="0" fillId="443" borderId="25" xfId="0" applyFill="1" applyBorder="1" applyAlignment="1">
      <alignment vertical="center" wrapText="1"/>
    </xf>
    <xf numFmtId="0" fontId="0" fillId="444" borderId="25" xfId="0" applyFill="1" applyBorder="1" applyAlignment="1">
      <alignment vertical="center" wrapText="1"/>
    </xf>
    <xf numFmtId="0" fontId="0" fillId="445" borderId="25" xfId="0" applyFill="1" applyBorder="1" applyAlignment="1">
      <alignment vertical="center" wrapText="1"/>
    </xf>
    <xf numFmtId="0" fontId="0" fillId="126" borderId="25" xfId="0" applyFill="1" applyBorder="1" applyAlignment="1">
      <alignment vertical="center" wrapText="1"/>
    </xf>
    <xf numFmtId="0" fontId="0" fillId="19" borderId="25" xfId="0" applyFill="1" applyBorder="1" applyAlignment="1">
      <alignment vertical="center" wrapText="1"/>
    </xf>
    <xf numFmtId="0" fontId="0" fillId="446" borderId="25" xfId="0" applyFill="1" applyBorder="1" applyAlignment="1">
      <alignment vertical="center" wrapText="1"/>
    </xf>
    <xf numFmtId="0" fontId="0" fillId="447" borderId="25" xfId="0" applyFill="1" applyBorder="1" applyAlignment="1">
      <alignment vertical="center" wrapText="1"/>
    </xf>
    <xf numFmtId="0" fontId="0" fillId="448" borderId="25" xfId="0" applyFill="1" applyBorder="1" applyAlignment="1">
      <alignment vertical="center" wrapText="1"/>
    </xf>
    <xf numFmtId="0" fontId="0" fillId="160" borderId="25" xfId="0" applyFill="1" applyBorder="1" applyAlignment="1">
      <alignment vertical="center" wrapText="1"/>
    </xf>
    <xf numFmtId="0" fontId="7" fillId="59" borderId="25" xfId="0" applyFont="1" applyFill="1" applyBorder="1"/>
    <xf numFmtId="0" fontId="0" fillId="449" borderId="25" xfId="0" applyFill="1" applyBorder="1" applyAlignment="1">
      <alignment vertical="center" wrapText="1"/>
    </xf>
    <xf numFmtId="0" fontId="0" fillId="450" borderId="25" xfId="0" applyFill="1" applyBorder="1" applyAlignment="1">
      <alignment vertical="center" wrapText="1"/>
    </xf>
    <xf numFmtId="0" fontId="0" fillId="451" borderId="25" xfId="0" applyFill="1" applyBorder="1" applyAlignment="1">
      <alignment vertical="center" wrapText="1"/>
    </xf>
    <xf numFmtId="0" fontId="0" fillId="452" borderId="25" xfId="0" applyFill="1" applyBorder="1" applyAlignment="1">
      <alignment vertical="center" wrapText="1"/>
    </xf>
    <xf numFmtId="0" fontId="0" fillId="453" borderId="25" xfId="0" applyFill="1" applyBorder="1" applyAlignment="1">
      <alignment vertical="center" wrapText="1"/>
    </xf>
    <xf numFmtId="0" fontId="7" fillId="97" borderId="25" xfId="0" applyFont="1" applyFill="1" applyBorder="1"/>
    <xf numFmtId="0" fontId="7" fillId="98" borderId="25" xfId="0" applyFont="1" applyFill="1" applyBorder="1"/>
    <xf numFmtId="0" fontId="0" fillId="182" borderId="25" xfId="0" applyFill="1" applyBorder="1" applyAlignment="1">
      <alignment vertical="center" wrapText="1"/>
    </xf>
    <xf numFmtId="0" fontId="0" fillId="454" borderId="25" xfId="0" applyFill="1" applyBorder="1" applyAlignment="1">
      <alignment vertical="center" wrapText="1"/>
    </xf>
    <xf numFmtId="0" fontId="0" fillId="455" borderId="25" xfId="0" applyFill="1" applyBorder="1" applyAlignment="1">
      <alignment vertical="center" wrapText="1"/>
    </xf>
    <xf numFmtId="0" fontId="0" fillId="456" borderId="25" xfId="0" applyFill="1" applyBorder="1" applyAlignment="1">
      <alignment vertical="center" wrapText="1"/>
    </xf>
    <xf numFmtId="0" fontId="0" fillId="457" borderId="25" xfId="0" applyFill="1" applyBorder="1" applyAlignment="1">
      <alignment vertical="center" wrapText="1"/>
    </xf>
    <xf numFmtId="0" fontId="0" fillId="186" borderId="25" xfId="0" applyFill="1" applyBorder="1" applyAlignment="1">
      <alignment vertical="center" wrapText="1"/>
    </xf>
    <xf numFmtId="0" fontId="0" fillId="458" borderId="25" xfId="0" applyFill="1" applyBorder="1" applyAlignment="1">
      <alignment vertical="center" wrapText="1"/>
    </xf>
    <xf numFmtId="0" fontId="0" fillId="459" borderId="25" xfId="0" applyFill="1" applyBorder="1" applyAlignment="1">
      <alignment vertical="center" wrapText="1"/>
    </xf>
    <xf numFmtId="0" fontId="0" fillId="460" borderId="25" xfId="0" applyFill="1" applyBorder="1" applyAlignment="1">
      <alignment vertical="center" wrapText="1"/>
    </xf>
    <xf numFmtId="0" fontId="0" fillId="461" borderId="25" xfId="0" applyFill="1" applyBorder="1" applyAlignment="1">
      <alignment vertical="center" wrapText="1"/>
    </xf>
    <xf numFmtId="0" fontId="0" fillId="135" borderId="25" xfId="0" applyFill="1" applyBorder="1" applyAlignment="1">
      <alignment vertical="center" wrapText="1"/>
    </xf>
    <xf numFmtId="0" fontId="0" fillId="169" borderId="25" xfId="0" applyFill="1" applyBorder="1" applyAlignment="1">
      <alignment vertical="center" wrapText="1"/>
    </xf>
    <xf numFmtId="0" fontId="0" fillId="138" borderId="25" xfId="0" applyFill="1" applyBorder="1" applyAlignment="1">
      <alignment vertical="center" wrapText="1"/>
    </xf>
    <xf numFmtId="0" fontId="0" fillId="148" borderId="25" xfId="0" applyFill="1" applyBorder="1" applyAlignment="1">
      <alignment vertical="center" wrapText="1"/>
    </xf>
    <xf numFmtId="0" fontId="0" fillId="191" borderId="25" xfId="0" applyFill="1" applyBorder="1" applyAlignment="1">
      <alignment vertical="center" wrapText="1"/>
    </xf>
    <xf numFmtId="0" fontId="0" fillId="112" borderId="25" xfId="0" applyFill="1" applyBorder="1" applyAlignment="1">
      <alignment vertical="center" wrapText="1"/>
    </xf>
    <xf numFmtId="0" fontId="0" fillId="161" borderId="25" xfId="0" applyFill="1" applyBorder="1" applyAlignment="1">
      <alignment vertical="center" wrapText="1"/>
    </xf>
    <xf numFmtId="0" fontId="0" fillId="127" borderId="25" xfId="0" applyFill="1" applyBorder="1" applyAlignment="1">
      <alignment vertical="center" wrapText="1"/>
    </xf>
    <xf numFmtId="0" fontId="0" fillId="20" borderId="25" xfId="0" applyFill="1" applyBorder="1" applyAlignment="1">
      <alignment vertical="center" wrapText="1"/>
    </xf>
    <xf numFmtId="0" fontId="0" fillId="21" borderId="25" xfId="0" applyFill="1" applyBorder="1" applyAlignment="1">
      <alignment vertical="center" wrapText="1"/>
    </xf>
    <xf numFmtId="0" fontId="0" fillId="462" borderId="25" xfId="0" applyFill="1" applyBorder="1" applyAlignment="1">
      <alignment vertical="center" wrapText="1"/>
    </xf>
    <xf numFmtId="0" fontId="0" fillId="463" borderId="25" xfId="0" applyFill="1" applyBorder="1" applyAlignment="1">
      <alignment vertical="center" wrapText="1"/>
    </xf>
    <xf numFmtId="0" fontId="0" fillId="464" borderId="25" xfId="0" applyFill="1" applyBorder="1" applyAlignment="1">
      <alignment vertical="center" wrapText="1"/>
    </xf>
    <xf numFmtId="0" fontId="0" fillId="22" borderId="25" xfId="0" applyFill="1" applyBorder="1" applyAlignment="1">
      <alignment vertical="center" wrapText="1"/>
    </xf>
    <xf numFmtId="0" fontId="7" fillId="113" borderId="25" xfId="0" applyFont="1" applyFill="1" applyBorder="1"/>
    <xf numFmtId="0" fontId="0" fillId="23" borderId="25" xfId="0" applyFill="1" applyBorder="1" applyAlignment="1">
      <alignment vertical="center" wrapText="1"/>
    </xf>
    <xf numFmtId="0" fontId="0" fillId="465" borderId="25" xfId="0" applyFill="1" applyBorder="1" applyAlignment="1">
      <alignment vertical="center" wrapText="1"/>
    </xf>
    <xf numFmtId="0" fontId="0" fillId="466" borderId="25" xfId="0" applyFill="1" applyBorder="1" applyAlignment="1">
      <alignment vertical="center" wrapText="1"/>
    </xf>
    <xf numFmtId="0" fontId="0" fillId="467" borderId="25" xfId="0" applyFill="1" applyBorder="1" applyAlignment="1">
      <alignment vertical="center" wrapText="1"/>
    </xf>
    <xf numFmtId="0" fontId="0" fillId="162" borderId="25" xfId="0" applyFill="1" applyBorder="1" applyAlignment="1">
      <alignment vertical="center" wrapText="1"/>
    </xf>
    <xf numFmtId="0" fontId="0" fillId="24" borderId="25" xfId="0" applyFill="1" applyBorder="1" applyAlignment="1">
      <alignment vertical="center" wrapText="1"/>
    </xf>
    <xf numFmtId="0" fontId="7" fillId="128" borderId="25" xfId="0" applyFont="1" applyFill="1" applyBorder="1"/>
    <xf numFmtId="0" fontId="0" fillId="129" borderId="25" xfId="0" applyFill="1" applyBorder="1" applyAlignment="1">
      <alignment vertical="center" wrapText="1"/>
    </xf>
    <xf numFmtId="0" fontId="0" fillId="468" borderId="25" xfId="0" applyFill="1" applyBorder="1" applyAlignment="1">
      <alignment vertical="center" wrapText="1"/>
    </xf>
    <xf numFmtId="0" fontId="0" fillId="469" borderId="25" xfId="0" applyFill="1" applyBorder="1" applyAlignment="1">
      <alignment vertical="center" wrapText="1"/>
    </xf>
    <xf numFmtId="0" fontId="0" fillId="141" borderId="25" xfId="0" applyFill="1" applyBorder="1" applyAlignment="1">
      <alignment vertical="center" wrapText="1"/>
    </xf>
    <xf numFmtId="0" fontId="0" fillId="470" borderId="25" xfId="0" applyFill="1" applyBorder="1" applyAlignment="1">
      <alignment vertical="center" wrapText="1"/>
    </xf>
    <xf numFmtId="0" fontId="0" fillId="471" borderId="25" xfId="0" applyFill="1" applyBorder="1" applyAlignment="1">
      <alignment vertical="center" wrapText="1"/>
    </xf>
    <xf numFmtId="0" fontId="0" fillId="99" borderId="25" xfId="0" applyFill="1" applyBorder="1" applyAlignment="1">
      <alignment vertical="center" wrapText="1"/>
    </xf>
    <xf numFmtId="0" fontId="0" fillId="472" borderId="25" xfId="0" applyFill="1" applyBorder="1" applyAlignment="1">
      <alignment vertical="center" wrapText="1"/>
    </xf>
    <xf numFmtId="0" fontId="0" fillId="473" borderId="25" xfId="0" applyFill="1" applyBorder="1" applyAlignment="1">
      <alignment vertical="center" wrapText="1"/>
    </xf>
    <xf numFmtId="0" fontId="0" fillId="474" borderId="25" xfId="0" applyFill="1" applyBorder="1" applyAlignment="1">
      <alignment vertical="center" wrapText="1"/>
    </xf>
    <xf numFmtId="0" fontId="0" fillId="475" borderId="25" xfId="0" applyFill="1" applyBorder="1" applyAlignment="1">
      <alignment vertical="center" wrapText="1"/>
    </xf>
    <xf numFmtId="0" fontId="0" fillId="100" borderId="25" xfId="0" applyFill="1" applyBorder="1" applyAlignment="1">
      <alignment vertical="center" wrapText="1"/>
    </xf>
    <xf numFmtId="0" fontId="0" fillId="476" borderId="25" xfId="0" applyFill="1" applyBorder="1" applyAlignment="1">
      <alignment vertical="center" wrapText="1"/>
    </xf>
    <xf numFmtId="0" fontId="0" fillId="477" borderId="25" xfId="0" applyFill="1" applyBorder="1" applyAlignment="1">
      <alignment vertical="center" wrapText="1"/>
    </xf>
    <xf numFmtId="0" fontId="0" fillId="478" borderId="25" xfId="0" applyFill="1" applyBorder="1" applyAlignment="1">
      <alignment vertical="center" wrapText="1"/>
    </xf>
    <xf numFmtId="0" fontId="0" fillId="180" borderId="25" xfId="0" applyFill="1" applyBorder="1" applyAlignment="1">
      <alignment vertical="center" wrapText="1"/>
    </xf>
    <xf numFmtId="0" fontId="0" fillId="479" borderId="25" xfId="0" applyFill="1" applyBorder="1" applyAlignment="1">
      <alignment vertical="center" wrapText="1"/>
    </xf>
    <xf numFmtId="0" fontId="0" fillId="480" borderId="25" xfId="0" applyFill="1" applyBorder="1" applyAlignment="1">
      <alignment vertical="center" wrapText="1"/>
    </xf>
    <xf numFmtId="0" fontId="0" fillId="481" borderId="25" xfId="0" applyFill="1" applyBorder="1" applyAlignment="1">
      <alignment vertical="center" wrapText="1"/>
    </xf>
    <xf numFmtId="0" fontId="0" fillId="482" borderId="25" xfId="0" applyFill="1" applyBorder="1" applyAlignment="1">
      <alignment vertical="center" wrapText="1"/>
    </xf>
    <xf numFmtId="0" fontId="0" fillId="110" borderId="25" xfId="0" applyFill="1" applyBorder="1" applyAlignment="1">
      <alignment vertical="center" wrapText="1"/>
    </xf>
    <xf numFmtId="0" fontId="0" fillId="483" borderId="25" xfId="0" applyFill="1" applyBorder="1" applyAlignment="1">
      <alignment vertical="center" wrapText="1"/>
    </xf>
    <xf numFmtId="0" fontId="0" fillId="484" borderId="25" xfId="0" applyFill="1" applyBorder="1" applyAlignment="1">
      <alignment vertical="center" wrapText="1"/>
    </xf>
    <xf numFmtId="0" fontId="0" fillId="485" borderId="25" xfId="0" applyFill="1" applyBorder="1" applyAlignment="1">
      <alignment vertical="center" wrapText="1"/>
    </xf>
    <xf numFmtId="0" fontId="0" fillId="486" borderId="25" xfId="0" applyFill="1" applyBorder="1" applyAlignment="1">
      <alignment vertical="center" wrapText="1"/>
    </xf>
    <xf numFmtId="0" fontId="0" fillId="487" borderId="25" xfId="0" applyFill="1" applyBorder="1" applyAlignment="1">
      <alignment vertical="center" wrapText="1"/>
    </xf>
    <xf numFmtId="0" fontId="0" fillId="488" borderId="25" xfId="0" applyFill="1" applyBorder="1" applyAlignment="1">
      <alignment vertical="center" wrapText="1"/>
    </xf>
    <xf numFmtId="0" fontId="0" fillId="489" borderId="25" xfId="0" applyFill="1" applyBorder="1" applyAlignment="1">
      <alignment vertical="center" wrapText="1"/>
    </xf>
    <xf numFmtId="0" fontId="0" fillId="490" borderId="25" xfId="0" applyFill="1" applyBorder="1" applyAlignment="1">
      <alignment vertical="center" wrapText="1"/>
    </xf>
    <xf numFmtId="0" fontId="0" fillId="192" borderId="25" xfId="0" applyFill="1" applyBorder="1" applyAlignment="1">
      <alignment vertical="center" wrapText="1"/>
    </xf>
    <xf numFmtId="0" fontId="0" fillId="491" borderId="25" xfId="0" applyFill="1" applyBorder="1" applyAlignment="1">
      <alignment vertical="center" wrapText="1"/>
    </xf>
    <xf numFmtId="0" fontId="0" fillId="492" borderId="25" xfId="0" applyFill="1" applyBorder="1" applyAlignment="1">
      <alignment vertical="center" wrapText="1"/>
    </xf>
    <xf numFmtId="0" fontId="0" fillId="493" borderId="25" xfId="0" applyFill="1" applyBorder="1" applyAlignment="1">
      <alignment vertical="center" wrapText="1"/>
    </xf>
    <xf numFmtId="0" fontId="0" fillId="494" borderId="25" xfId="0" applyFill="1" applyBorder="1" applyAlignment="1">
      <alignment vertical="center" wrapText="1"/>
    </xf>
    <xf numFmtId="0" fontId="0" fillId="123" borderId="25" xfId="0" applyFill="1" applyBorder="1" applyAlignment="1">
      <alignment vertical="center" wrapText="1"/>
    </xf>
    <xf numFmtId="0" fontId="0" fillId="25" borderId="25" xfId="0" applyFill="1" applyBorder="1" applyAlignment="1">
      <alignment vertical="center" wrapText="1"/>
    </xf>
    <xf numFmtId="0" fontId="0" fillId="26" borderId="25" xfId="0" applyFill="1" applyBorder="1" applyAlignment="1">
      <alignment vertical="center" wrapText="1"/>
    </xf>
    <xf numFmtId="0" fontId="0" fillId="495" borderId="25" xfId="0" applyFill="1" applyBorder="1" applyAlignment="1">
      <alignment vertical="center" wrapText="1"/>
    </xf>
    <xf numFmtId="0" fontId="0" fillId="496" borderId="25" xfId="0" applyFill="1" applyBorder="1" applyAlignment="1">
      <alignment vertical="center" wrapText="1"/>
    </xf>
    <xf numFmtId="0" fontId="0" fillId="497" borderId="25" xfId="0" applyFill="1" applyBorder="1" applyAlignment="1">
      <alignment vertical="center" wrapText="1"/>
    </xf>
    <xf numFmtId="0" fontId="0" fillId="163" borderId="25" xfId="0" applyFill="1" applyBorder="1" applyAlignment="1">
      <alignment vertical="center" wrapText="1"/>
    </xf>
    <xf numFmtId="0" fontId="0" fillId="60" borderId="25" xfId="0" applyFill="1" applyBorder="1" applyAlignment="1">
      <alignment vertical="center" wrapText="1"/>
    </xf>
    <xf numFmtId="0" fontId="0" fillId="498" borderId="25" xfId="0" applyFill="1" applyBorder="1" applyAlignment="1">
      <alignment vertical="center" wrapText="1"/>
    </xf>
    <xf numFmtId="0" fontId="0" fillId="499" borderId="25" xfId="0" applyFill="1" applyBorder="1" applyAlignment="1">
      <alignment vertical="center" wrapText="1"/>
    </xf>
    <xf numFmtId="0" fontId="0" fillId="500" borderId="25" xfId="0" applyFill="1" applyBorder="1" applyAlignment="1">
      <alignment vertical="center" wrapText="1"/>
    </xf>
    <xf numFmtId="0" fontId="0" fillId="501" borderId="25" xfId="0" applyFill="1" applyBorder="1" applyAlignment="1">
      <alignment vertical="center" wrapText="1"/>
    </xf>
    <xf numFmtId="0" fontId="0" fillId="184" borderId="25" xfId="0" applyFill="1" applyBorder="1" applyAlignment="1">
      <alignment vertical="center" wrapText="1"/>
    </xf>
    <xf numFmtId="0" fontId="0" fillId="502" borderId="25" xfId="0" applyFill="1" applyBorder="1" applyAlignment="1">
      <alignment vertical="center" wrapText="1"/>
    </xf>
    <xf numFmtId="0" fontId="0" fillId="503" borderId="25" xfId="0" applyFill="1" applyBorder="1" applyAlignment="1">
      <alignment vertical="center" wrapText="1"/>
    </xf>
    <xf numFmtId="0" fontId="0" fillId="504" borderId="25" xfId="0" applyFill="1" applyBorder="1" applyAlignment="1">
      <alignment vertical="center" wrapText="1"/>
    </xf>
    <xf numFmtId="0" fontId="0" fillId="505" borderId="25" xfId="0" applyFill="1" applyBorder="1" applyAlignment="1">
      <alignment vertical="center" wrapText="1"/>
    </xf>
    <xf numFmtId="0" fontId="0" fillId="164" borderId="25" xfId="0" applyFill="1" applyBorder="1" applyAlignment="1">
      <alignment vertical="center" wrapText="1"/>
    </xf>
    <xf numFmtId="0" fontId="7" fillId="185" borderId="25" xfId="0" applyFont="1" applyFill="1" applyBorder="1"/>
    <xf numFmtId="0" fontId="0" fillId="506" borderId="25" xfId="0" applyFill="1" applyBorder="1" applyAlignment="1">
      <alignment vertical="center" wrapText="1"/>
    </xf>
    <xf numFmtId="0" fontId="0" fillId="507" borderId="25" xfId="0" applyFill="1" applyBorder="1" applyAlignment="1">
      <alignment vertical="center" wrapText="1"/>
    </xf>
    <xf numFmtId="0" fontId="0" fillId="508" borderId="25" xfId="0" applyFill="1" applyBorder="1" applyAlignment="1">
      <alignment vertical="center" wrapText="1"/>
    </xf>
    <xf numFmtId="0" fontId="0" fillId="509" borderId="25" xfId="0" applyFill="1" applyBorder="1" applyAlignment="1">
      <alignment vertical="center" wrapText="1"/>
    </xf>
    <xf numFmtId="0" fontId="0" fillId="510" borderId="25" xfId="0" applyFill="1" applyBorder="1" applyAlignment="1">
      <alignment vertical="center" wrapText="1"/>
    </xf>
    <xf numFmtId="0" fontId="0" fillId="62" borderId="25" xfId="0" applyFill="1" applyBorder="1" applyAlignment="1">
      <alignment vertical="center" wrapText="1"/>
    </xf>
    <xf numFmtId="0" fontId="0" fillId="85" borderId="25" xfId="0" applyFill="1" applyBorder="1" applyAlignment="1">
      <alignment vertical="center" wrapText="1"/>
    </xf>
    <xf numFmtId="0" fontId="0" fillId="86" borderId="25" xfId="0" applyFill="1" applyBorder="1" applyAlignment="1">
      <alignment vertical="center" wrapText="1"/>
    </xf>
    <xf numFmtId="0" fontId="0" fillId="511" borderId="25" xfId="0" applyFill="1" applyBorder="1" applyAlignment="1">
      <alignment vertical="center" wrapText="1"/>
    </xf>
    <xf numFmtId="0" fontId="0" fillId="512" borderId="25" xfId="0" applyFill="1" applyBorder="1" applyAlignment="1">
      <alignment vertical="center" wrapText="1"/>
    </xf>
    <xf numFmtId="0" fontId="0" fillId="513" borderId="25" xfId="0" applyFill="1" applyBorder="1" applyAlignment="1">
      <alignment vertical="center" wrapText="1"/>
    </xf>
    <xf numFmtId="0" fontId="0" fillId="4" borderId="25" xfId="0" applyFill="1" applyBorder="1" applyAlignment="1">
      <alignment vertical="center" wrapText="1"/>
    </xf>
    <xf numFmtId="0" fontId="7" fillId="63" borderId="25" xfId="0" applyFont="1" applyFill="1" applyBorder="1"/>
    <xf numFmtId="0" fontId="7" fillId="58" borderId="25" xfId="0" applyFont="1" applyFill="1" applyBorder="1"/>
    <xf numFmtId="0" fontId="0" fillId="84" borderId="25" xfId="0" applyFill="1" applyBorder="1" applyAlignment="1">
      <alignment vertical="center" wrapText="1"/>
    </xf>
    <xf numFmtId="0" fontId="0" fillId="514" borderId="25" xfId="0" applyFill="1" applyBorder="1" applyAlignment="1">
      <alignment vertical="center" wrapText="1"/>
    </xf>
    <xf numFmtId="0" fontId="0" fillId="515" borderId="25" xfId="0" applyFill="1" applyBorder="1" applyAlignment="1">
      <alignment vertical="center" wrapText="1"/>
    </xf>
    <xf numFmtId="0" fontId="0" fillId="516" borderId="25" xfId="0" applyFill="1" applyBorder="1" applyAlignment="1">
      <alignment vertical="center" wrapText="1"/>
    </xf>
    <xf numFmtId="0" fontId="0" fillId="517" borderId="25" xfId="0" applyFill="1" applyBorder="1" applyAlignment="1">
      <alignment vertical="center" wrapText="1"/>
    </xf>
    <xf numFmtId="0" fontId="0" fillId="518" borderId="25" xfId="0" applyFill="1" applyBorder="1" applyAlignment="1">
      <alignment vertical="center" wrapText="1"/>
    </xf>
    <xf numFmtId="0" fontId="0" fillId="519" borderId="25" xfId="0" applyFill="1" applyBorder="1" applyAlignment="1">
      <alignment vertical="center" wrapText="1"/>
    </xf>
    <xf numFmtId="0" fontId="0" fillId="520" borderId="25" xfId="0" applyFill="1" applyBorder="1" applyAlignment="1">
      <alignment vertical="center" wrapText="1"/>
    </xf>
    <xf numFmtId="0" fontId="0" fillId="521" borderId="25" xfId="0" applyFill="1" applyBorder="1" applyAlignment="1">
      <alignment vertical="center" wrapText="1"/>
    </xf>
    <xf numFmtId="0" fontId="0" fillId="522" borderId="25" xfId="0" applyFill="1" applyBorder="1" applyAlignment="1">
      <alignment vertical="center" wrapText="1"/>
    </xf>
    <xf numFmtId="0" fontId="0" fillId="64" borderId="25" xfId="0" applyFill="1" applyBorder="1" applyAlignment="1">
      <alignment vertical="center" wrapText="1"/>
    </xf>
    <xf numFmtId="0" fontId="0" fillId="523" borderId="25" xfId="0" applyFill="1" applyBorder="1" applyAlignment="1">
      <alignment vertical="center" wrapText="1"/>
    </xf>
    <xf numFmtId="0" fontId="0" fillId="524" borderId="25" xfId="0" applyFill="1" applyBorder="1" applyAlignment="1">
      <alignment vertical="center" wrapText="1"/>
    </xf>
    <xf numFmtId="0" fontId="0" fillId="525" borderId="25" xfId="0" applyFill="1" applyBorder="1" applyAlignment="1">
      <alignment vertical="center" wrapText="1"/>
    </xf>
    <xf numFmtId="0" fontId="0" fillId="526" borderId="25" xfId="0" applyFill="1" applyBorder="1" applyAlignment="1">
      <alignment vertical="center" wrapText="1"/>
    </xf>
    <xf numFmtId="0" fontId="0" fillId="132" borderId="25" xfId="0" applyFill="1" applyBorder="1" applyAlignment="1">
      <alignment vertical="center" wrapText="1"/>
    </xf>
    <xf numFmtId="0" fontId="0" fillId="133" borderId="25" xfId="0" applyFill="1" applyBorder="1" applyAlignment="1">
      <alignment vertical="center" wrapText="1"/>
    </xf>
    <xf numFmtId="0" fontId="0" fillId="527" borderId="25" xfId="0" applyFill="1" applyBorder="1" applyAlignment="1">
      <alignment vertical="center" wrapText="1"/>
    </xf>
    <xf numFmtId="0" fontId="0" fillId="528" borderId="25" xfId="0" applyFill="1" applyBorder="1" applyAlignment="1">
      <alignment vertical="center" wrapText="1"/>
    </xf>
    <xf numFmtId="0" fontId="0" fillId="529" borderId="25" xfId="0" applyFill="1" applyBorder="1" applyAlignment="1">
      <alignment vertical="center" wrapText="1"/>
    </xf>
    <xf numFmtId="0" fontId="0" fillId="27" borderId="25" xfId="0" applyFill="1" applyBorder="1" applyAlignment="1">
      <alignment vertical="center" wrapText="1"/>
    </xf>
    <xf numFmtId="0" fontId="0" fillId="530" borderId="25" xfId="0" applyFill="1" applyBorder="1" applyAlignment="1">
      <alignment vertical="center" wrapText="1"/>
    </xf>
    <xf numFmtId="0" fontId="0" fillId="531" borderId="25" xfId="0" applyFill="1" applyBorder="1" applyAlignment="1">
      <alignment vertical="center" wrapText="1"/>
    </xf>
    <xf numFmtId="0" fontId="0" fillId="532" borderId="25" xfId="0" applyFill="1" applyBorder="1" applyAlignment="1">
      <alignment vertical="center" wrapText="1"/>
    </xf>
    <xf numFmtId="0" fontId="0" fillId="87" borderId="25" xfId="0" applyFill="1" applyBorder="1" applyAlignment="1">
      <alignment vertical="center" wrapText="1"/>
    </xf>
    <xf numFmtId="0" fontId="0" fillId="533" borderId="25" xfId="0" applyFill="1" applyBorder="1" applyAlignment="1">
      <alignment vertical="center" wrapText="1"/>
    </xf>
    <xf numFmtId="0" fontId="0" fillId="534" borderId="25" xfId="0" applyFill="1" applyBorder="1" applyAlignment="1">
      <alignment vertical="center" wrapText="1"/>
    </xf>
    <xf numFmtId="0" fontId="0" fillId="535" borderId="25" xfId="0" applyFill="1" applyBorder="1" applyAlignment="1">
      <alignment vertical="center" wrapText="1"/>
    </xf>
    <xf numFmtId="0" fontId="0" fillId="536" borderId="25" xfId="0" applyFill="1" applyBorder="1" applyAlignment="1">
      <alignment vertical="center" wrapText="1"/>
    </xf>
    <xf numFmtId="0" fontId="0" fillId="537" borderId="25" xfId="0" applyFill="1" applyBorder="1" applyAlignment="1">
      <alignment vertical="center" wrapText="1"/>
    </xf>
    <xf numFmtId="0" fontId="0" fillId="538" borderId="25" xfId="0" applyFill="1" applyBorder="1" applyAlignment="1">
      <alignment vertical="center" wrapText="1"/>
    </xf>
    <xf numFmtId="0" fontId="0" fillId="539" borderId="25" xfId="0" applyFill="1" applyBorder="1" applyAlignment="1">
      <alignment vertical="center" wrapText="1"/>
    </xf>
    <xf numFmtId="0" fontId="0" fillId="540" borderId="25" xfId="0" applyFill="1" applyBorder="1" applyAlignment="1">
      <alignment vertical="center" wrapText="1"/>
    </xf>
    <xf numFmtId="0" fontId="0" fillId="541" borderId="25" xfId="0" applyFill="1" applyBorder="1" applyAlignment="1">
      <alignment vertical="center" wrapText="1"/>
    </xf>
    <xf numFmtId="0" fontId="0" fillId="542" borderId="25" xfId="0" applyFill="1" applyBorder="1" applyAlignment="1">
      <alignment vertical="center" wrapText="1"/>
    </xf>
    <xf numFmtId="0" fontId="0" fillId="543" borderId="25" xfId="0" applyFill="1" applyBorder="1" applyAlignment="1">
      <alignment vertical="center" wrapText="1"/>
    </xf>
    <xf numFmtId="0" fontId="0" fillId="544" borderId="25" xfId="0" applyFill="1" applyBorder="1" applyAlignment="1">
      <alignment vertical="center" wrapText="1"/>
    </xf>
    <xf numFmtId="0" fontId="0" fillId="545" borderId="25" xfId="0" applyFill="1" applyBorder="1" applyAlignment="1">
      <alignment vertical="center" wrapText="1"/>
    </xf>
    <xf numFmtId="0" fontId="0" fillId="546" borderId="25" xfId="0" applyFill="1" applyBorder="1" applyAlignment="1">
      <alignment vertical="center" wrapText="1"/>
    </xf>
    <xf numFmtId="0" fontId="0" fillId="547" borderId="25" xfId="0" applyFill="1" applyBorder="1" applyAlignment="1">
      <alignment vertical="center" wrapText="1"/>
    </xf>
    <xf numFmtId="0" fontId="0" fillId="548" borderId="25" xfId="0" applyFill="1" applyBorder="1" applyAlignment="1">
      <alignment vertical="center" wrapText="1"/>
    </xf>
    <xf numFmtId="0" fontId="0" fillId="549" borderId="25" xfId="0" applyFill="1" applyBorder="1" applyAlignment="1">
      <alignment vertical="center" wrapText="1"/>
    </xf>
    <xf numFmtId="0" fontId="0" fillId="550" borderId="25" xfId="0" applyFill="1" applyBorder="1" applyAlignment="1">
      <alignment vertical="center" wrapText="1"/>
    </xf>
    <xf numFmtId="0" fontId="0" fillId="551" borderId="25" xfId="0" applyFill="1" applyBorder="1" applyAlignment="1">
      <alignment vertical="center" wrapText="1"/>
    </xf>
    <xf numFmtId="0" fontId="0" fillId="552" borderId="25" xfId="0" applyFill="1" applyBorder="1" applyAlignment="1">
      <alignment vertical="center" wrapText="1"/>
    </xf>
    <xf numFmtId="0" fontId="0" fillId="88" borderId="25" xfId="0" applyFill="1" applyBorder="1" applyAlignment="1">
      <alignment vertical="center" wrapText="1"/>
    </xf>
    <xf numFmtId="0" fontId="0" fillId="553" borderId="25" xfId="0" applyFill="1" applyBorder="1" applyAlignment="1">
      <alignment vertical="center" wrapText="1"/>
    </xf>
    <xf numFmtId="0" fontId="0" fillId="554" borderId="25" xfId="0" applyFill="1" applyBorder="1" applyAlignment="1">
      <alignment vertical="center" wrapText="1"/>
    </xf>
    <xf numFmtId="0" fontId="0" fillId="555" borderId="25" xfId="0" applyFill="1" applyBorder="1" applyAlignment="1">
      <alignment vertical="center" wrapText="1"/>
    </xf>
    <xf numFmtId="0" fontId="0" fillId="556" borderId="25" xfId="0" applyFill="1" applyBorder="1" applyAlignment="1">
      <alignment vertical="center" wrapText="1"/>
    </xf>
    <xf numFmtId="0" fontId="0" fillId="170" borderId="25" xfId="0" applyFill="1" applyBorder="1" applyAlignment="1">
      <alignment vertical="center" wrapText="1"/>
    </xf>
    <xf numFmtId="0" fontId="0" fillId="557" borderId="25" xfId="0" applyFill="1" applyBorder="1" applyAlignment="1">
      <alignment vertical="center" wrapText="1"/>
    </xf>
    <xf numFmtId="0" fontId="0" fillId="558" borderId="25" xfId="0" applyFill="1" applyBorder="1" applyAlignment="1">
      <alignment vertical="center" wrapText="1"/>
    </xf>
    <xf numFmtId="0" fontId="0" fillId="559" borderId="25" xfId="0" applyFill="1" applyBorder="1" applyAlignment="1">
      <alignment vertical="center" wrapText="1"/>
    </xf>
    <xf numFmtId="0" fontId="0" fillId="560" borderId="25" xfId="0" applyFill="1" applyBorder="1" applyAlignment="1">
      <alignment vertical="center" wrapText="1"/>
    </xf>
    <xf numFmtId="0" fontId="0" fillId="166" borderId="25" xfId="0" applyFill="1" applyBorder="1" applyAlignment="1">
      <alignment vertical="center" wrapText="1"/>
    </xf>
    <xf numFmtId="0" fontId="0" fillId="561" borderId="25" xfId="0" applyFill="1" applyBorder="1" applyAlignment="1">
      <alignment vertical="center" wrapText="1"/>
    </xf>
    <xf numFmtId="0" fontId="0" fillId="562" borderId="25" xfId="0" applyFill="1" applyBorder="1" applyAlignment="1">
      <alignment vertical="center" wrapText="1"/>
    </xf>
    <xf numFmtId="0" fontId="0" fillId="563" borderId="25" xfId="0" applyFill="1" applyBorder="1" applyAlignment="1">
      <alignment vertical="center" wrapText="1"/>
    </xf>
    <xf numFmtId="0" fontId="0" fillId="564" borderId="25" xfId="0" applyFill="1" applyBorder="1" applyAlignment="1">
      <alignment vertical="center" wrapText="1"/>
    </xf>
    <xf numFmtId="0" fontId="0" fillId="39" borderId="25" xfId="0" applyFill="1" applyBorder="1" applyAlignment="1">
      <alignment vertical="center" wrapText="1"/>
    </xf>
    <xf numFmtId="0" fontId="0" fillId="565" borderId="25" xfId="0" applyFill="1" applyBorder="1" applyAlignment="1">
      <alignment vertical="center" wrapText="1"/>
    </xf>
    <xf numFmtId="0" fontId="0" fillId="566" borderId="25" xfId="0" applyFill="1" applyBorder="1" applyAlignment="1">
      <alignment vertical="center" wrapText="1"/>
    </xf>
    <xf numFmtId="0" fontId="0" fillId="567" borderId="25" xfId="0" applyFill="1" applyBorder="1" applyAlignment="1">
      <alignment vertical="center" wrapText="1"/>
    </xf>
    <xf numFmtId="0" fontId="0" fillId="568" borderId="25" xfId="0" applyFill="1" applyBorder="1" applyAlignment="1">
      <alignment vertical="center" wrapText="1"/>
    </xf>
    <xf numFmtId="0" fontId="0" fillId="28" borderId="25" xfId="0" applyFill="1" applyBorder="1" applyAlignment="1">
      <alignment vertical="center" wrapText="1"/>
    </xf>
    <xf numFmtId="0" fontId="0" fillId="569" borderId="25" xfId="0" applyFill="1" applyBorder="1" applyAlignment="1">
      <alignment vertical="center" wrapText="1"/>
    </xf>
    <xf numFmtId="0" fontId="0" fillId="570" borderId="25" xfId="0" applyFill="1" applyBorder="1" applyAlignment="1">
      <alignment vertical="center" wrapText="1"/>
    </xf>
    <xf numFmtId="0" fontId="0" fillId="571" borderId="25" xfId="0" applyFill="1" applyBorder="1" applyAlignment="1">
      <alignment vertical="center" wrapText="1"/>
    </xf>
    <xf numFmtId="0" fontId="0" fillId="137" borderId="25" xfId="0" applyFill="1" applyBorder="1" applyAlignment="1">
      <alignment vertical="center" wrapText="1"/>
    </xf>
    <xf numFmtId="0" fontId="0" fillId="572" borderId="25" xfId="0" applyFill="1" applyBorder="1" applyAlignment="1">
      <alignment vertical="center" wrapText="1"/>
    </xf>
    <xf numFmtId="0" fontId="0" fillId="573" borderId="25" xfId="0" applyFill="1" applyBorder="1" applyAlignment="1">
      <alignment vertical="center" wrapText="1"/>
    </xf>
    <xf numFmtId="0" fontId="0" fillId="574" borderId="25" xfId="0" applyFill="1" applyBorder="1" applyAlignment="1">
      <alignment vertical="center" wrapText="1"/>
    </xf>
    <xf numFmtId="0" fontId="0" fillId="173" borderId="25" xfId="0" applyFill="1" applyBorder="1" applyAlignment="1">
      <alignment vertical="center" wrapText="1"/>
    </xf>
    <xf numFmtId="0" fontId="0" fillId="575" borderId="25" xfId="0" applyFill="1" applyBorder="1" applyAlignment="1">
      <alignment vertical="center" wrapText="1"/>
    </xf>
    <xf numFmtId="0" fontId="0" fillId="576" borderId="25" xfId="0" applyFill="1" applyBorder="1" applyAlignment="1">
      <alignment vertical="center" wrapText="1"/>
    </xf>
    <xf numFmtId="0" fontId="0" fillId="577" borderId="25" xfId="0" applyFill="1" applyBorder="1" applyAlignment="1">
      <alignment vertical="center" wrapText="1"/>
    </xf>
    <xf numFmtId="0" fontId="0" fillId="578" borderId="25" xfId="0" applyFill="1" applyBorder="1" applyAlignment="1">
      <alignment vertical="center" wrapText="1"/>
    </xf>
    <xf numFmtId="0" fontId="0" fillId="91" borderId="25" xfId="0" applyFill="1" applyBorder="1" applyAlignment="1">
      <alignment vertical="center" wrapText="1"/>
    </xf>
    <xf numFmtId="0" fontId="0" fillId="579" borderId="25" xfId="0" applyFill="1" applyBorder="1" applyAlignment="1">
      <alignment vertical="center" wrapText="1"/>
    </xf>
    <xf numFmtId="0" fontId="0" fillId="580" borderId="25" xfId="0" applyFill="1" applyBorder="1" applyAlignment="1">
      <alignment vertical="center" wrapText="1"/>
    </xf>
    <xf numFmtId="0" fontId="0" fillId="83" borderId="25" xfId="0" applyFill="1" applyBorder="1" applyAlignment="1">
      <alignment vertical="center" wrapText="1"/>
    </xf>
    <xf numFmtId="0" fontId="0" fillId="581" borderId="25" xfId="0" applyFill="1" applyBorder="1" applyAlignment="1">
      <alignment vertical="center" wrapText="1"/>
    </xf>
    <xf numFmtId="0" fontId="0" fillId="582" borderId="25" xfId="0" applyFill="1" applyBorder="1" applyAlignment="1">
      <alignment vertical="center" wrapText="1"/>
    </xf>
    <xf numFmtId="0" fontId="0" fillId="139" borderId="25" xfId="0" applyFill="1" applyBorder="1" applyAlignment="1">
      <alignment vertical="center" wrapText="1"/>
    </xf>
    <xf numFmtId="0" fontId="0" fillId="29" borderId="25" xfId="0" applyFill="1" applyBorder="1" applyAlignment="1">
      <alignment vertical="center" wrapText="1"/>
    </xf>
    <xf numFmtId="0" fontId="0" fillId="583" borderId="25" xfId="0" applyFill="1" applyBorder="1" applyAlignment="1">
      <alignment vertical="center" wrapText="1"/>
    </xf>
    <xf numFmtId="0" fontId="0" fillId="0" borderId="1" xfId="0" applyBorder="1" applyAlignment="1">
      <alignment vertical="center" wrapText="1"/>
    </xf>
    <xf numFmtId="0" fontId="0" fillId="0" borderId="0" xfId="0" applyBorder="1" applyAlignment="1">
      <alignment vertical="center" wrapText="1"/>
    </xf>
    <xf numFmtId="0" fontId="0" fillId="584" borderId="1" xfId="0" applyFill="1" applyBorder="1" applyAlignment="1">
      <alignment vertical="center" wrapText="1"/>
    </xf>
    <xf numFmtId="0" fontId="0" fillId="585" borderId="1" xfId="0" applyFill="1" applyBorder="1" applyAlignment="1">
      <alignment vertical="center" wrapText="1"/>
    </xf>
    <xf numFmtId="0" fontId="0" fillId="586" borderId="1" xfId="0" applyFill="1" applyBorder="1" applyAlignment="1">
      <alignment vertical="center" wrapText="1"/>
    </xf>
    <xf numFmtId="0" fontId="0" fillId="65" borderId="1" xfId="0" applyFill="1" applyBorder="1" applyAlignment="1">
      <alignment vertical="center" wrapText="1"/>
    </xf>
    <xf numFmtId="0" fontId="0" fillId="587" borderId="1" xfId="0" applyFill="1" applyBorder="1" applyAlignment="1">
      <alignment vertical="center" wrapText="1"/>
    </xf>
    <xf numFmtId="0" fontId="0" fillId="588" borderId="1" xfId="0" applyFill="1" applyBorder="1" applyAlignment="1">
      <alignment vertical="center" wrapText="1"/>
    </xf>
    <xf numFmtId="0" fontId="0" fillId="589" borderId="1" xfId="0" applyFill="1" applyBorder="1" applyAlignment="1">
      <alignment vertical="center" wrapText="1"/>
    </xf>
    <xf numFmtId="0" fontId="0" fillId="175" borderId="1" xfId="0" applyFill="1" applyBorder="1" applyAlignment="1">
      <alignment vertical="center" wrapText="1"/>
    </xf>
    <xf numFmtId="0" fontId="0" fillId="146" borderId="1" xfId="0" applyFill="1" applyBorder="1" applyAlignment="1">
      <alignment vertical="center" wrapText="1"/>
    </xf>
    <xf numFmtId="0" fontId="0" fillId="590" borderId="1" xfId="0" applyFill="1" applyBorder="1" applyAlignment="1">
      <alignment vertical="center" wrapText="1"/>
    </xf>
    <xf numFmtId="0" fontId="0" fillId="591" borderId="1" xfId="0" applyFill="1" applyBorder="1" applyAlignment="1">
      <alignment vertical="center" wrapText="1"/>
    </xf>
    <xf numFmtId="0" fontId="0" fillId="592" borderId="1" xfId="0" applyFill="1" applyBorder="1" applyAlignment="1">
      <alignment vertical="center" wrapText="1"/>
    </xf>
    <xf numFmtId="0" fontId="0" fillId="593" borderId="1" xfId="0" applyFill="1" applyBorder="1" applyAlignment="1">
      <alignment vertical="center" wrapText="1"/>
    </xf>
    <xf numFmtId="0" fontId="0" fillId="594" borderId="1" xfId="0" applyFill="1" applyBorder="1" applyAlignment="1">
      <alignment vertical="center" wrapText="1"/>
    </xf>
    <xf numFmtId="0" fontId="0" fillId="595" borderId="1" xfId="0" applyFill="1" applyBorder="1" applyAlignment="1">
      <alignment vertical="center" wrapText="1"/>
    </xf>
    <xf numFmtId="0" fontId="7" fillId="178" borderId="25" xfId="0" applyFont="1" applyFill="1" applyBorder="1"/>
    <xf numFmtId="0" fontId="0" fillId="190" borderId="1" xfId="0" applyFill="1" applyBorder="1" applyAlignment="1">
      <alignment vertical="center" wrapText="1"/>
    </xf>
    <xf numFmtId="0" fontId="0" fillId="596" borderId="1" xfId="0" applyFill="1" applyBorder="1" applyAlignment="1">
      <alignment vertical="center" wrapText="1"/>
    </xf>
    <xf numFmtId="0" fontId="0" fillId="597" borderId="1" xfId="0" applyFill="1" applyBorder="1" applyAlignment="1">
      <alignment vertical="center" wrapText="1"/>
    </xf>
    <xf numFmtId="0" fontId="0" fillId="598" borderId="1" xfId="0" applyFill="1" applyBorder="1" applyAlignment="1">
      <alignment vertical="center" wrapText="1"/>
    </xf>
    <xf numFmtId="0" fontId="0" fillId="599" borderId="1" xfId="0" applyFill="1" applyBorder="1" applyAlignment="1">
      <alignment vertical="center" wrapText="1"/>
    </xf>
    <xf numFmtId="0" fontId="7" fillId="183" borderId="25" xfId="0" applyFont="1" applyFill="1" applyBorder="1"/>
    <xf numFmtId="0" fontId="0" fillId="42" borderId="1" xfId="0" applyFill="1" applyBorder="1" applyAlignment="1">
      <alignment vertical="center" wrapText="1"/>
    </xf>
    <xf numFmtId="0" fontId="0" fillId="31" borderId="1" xfId="0" applyFill="1" applyBorder="1" applyAlignment="1">
      <alignment vertical="center" wrapText="1"/>
    </xf>
    <xf numFmtId="0" fontId="0" fillId="600" borderId="1" xfId="0" applyFill="1" applyBorder="1" applyAlignment="1">
      <alignment vertical="center" wrapText="1"/>
    </xf>
    <xf numFmtId="0" fontId="0" fillId="601" borderId="1" xfId="0" applyFill="1" applyBorder="1" applyAlignment="1">
      <alignment vertical="center" wrapText="1"/>
    </xf>
    <xf numFmtId="0" fontId="0" fillId="602" borderId="1" xfId="0" applyFill="1" applyBorder="1" applyAlignment="1">
      <alignment vertical="center" wrapText="1"/>
    </xf>
    <xf numFmtId="0" fontId="0" fillId="603" borderId="1" xfId="0" applyFill="1" applyBorder="1" applyAlignment="1">
      <alignment vertical="center" wrapText="1"/>
    </xf>
    <xf numFmtId="0" fontId="0" fillId="33" borderId="1" xfId="0" applyFill="1" applyBorder="1" applyAlignment="1">
      <alignment vertical="center" wrapText="1"/>
    </xf>
    <xf numFmtId="0" fontId="0" fillId="32" borderId="1" xfId="0" applyFill="1" applyBorder="1" applyAlignment="1">
      <alignment vertical="center" wrapText="1"/>
    </xf>
    <xf numFmtId="0" fontId="0" fillId="2" borderId="1" xfId="0" applyFill="1" applyBorder="1" applyAlignment="1">
      <alignment vertical="center" wrapText="1"/>
    </xf>
    <xf numFmtId="0" fontId="0" fillId="604" borderId="1" xfId="0" applyFill="1" applyBorder="1" applyAlignment="1">
      <alignment vertical="center" wrapText="1"/>
    </xf>
    <xf numFmtId="0" fontId="7" fillId="104" borderId="25" xfId="0" applyFont="1" applyFill="1" applyBorder="1"/>
    <xf numFmtId="0" fontId="0" fillId="605" borderId="1" xfId="0" applyFill="1" applyBorder="1" applyAlignment="1">
      <alignment vertical="center" wrapText="1"/>
    </xf>
    <xf numFmtId="0" fontId="0" fillId="606" borderId="1" xfId="0" applyFill="1" applyBorder="1" applyAlignment="1">
      <alignment vertical="center" wrapText="1"/>
    </xf>
    <xf numFmtId="0" fontId="7" fillId="102" borderId="25" xfId="0" applyFont="1" applyFill="1" applyBorder="1"/>
    <xf numFmtId="0" fontId="16" fillId="193" borderId="30" xfId="0" applyFont="1" applyFill="1" applyBorder="1"/>
    <xf numFmtId="0" fontId="16" fillId="193" borderId="31" xfId="0" applyFont="1" applyFill="1" applyBorder="1"/>
    <xf numFmtId="0" fontId="16" fillId="193" borderId="32" xfId="0" applyFont="1" applyFill="1" applyBorder="1"/>
    <xf numFmtId="0" fontId="0" fillId="0" borderId="33" xfId="0" applyBorder="1" applyAlignment="1">
      <alignment vertical="center" wrapText="1"/>
    </xf>
    <xf numFmtId="0" fontId="0" fillId="198" borderId="33" xfId="0" applyFill="1" applyBorder="1" applyAlignment="1">
      <alignment vertical="center" wrapText="1"/>
    </xf>
    <xf numFmtId="0" fontId="2" fillId="193" borderId="34" xfId="0" applyFont="1" applyFill="1" applyBorder="1" applyAlignment="1">
      <alignment horizontal="center" vertical="center" wrapText="1"/>
    </xf>
    <xf numFmtId="0" fontId="2" fillId="193" borderId="35" xfId="0" applyFont="1" applyFill="1" applyBorder="1" applyAlignment="1">
      <alignment horizontal="center" vertical="center" wrapText="1"/>
    </xf>
    <xf numFmtId="0" fontId="22" fillId="193" borderId="35" xfId="2" applyFont="1" applyFill="1" applyBorder="1" applyAlignment="1">
      <alignment horizontal="center" vertical="center" wrapText="1"/>
    </xf>
    <xf numFmtId="0" fontId="2" fillId="193" borderId="36" xfId="0" applyFont="1" applyFill="1" applyBorder="1" applyAlignment="1">
      <alignment horizontal="center" vertical="center" wrapText="1"/>
    </xf>
    <xf numFmtId="0" fontId="23" fillId="193" borderId="26" xfId="0" applyFont="1" applyFill="1" applyBorder="1" applyAlignment="1">
      <alignment horizontal="right" vertical="center" wrapText="1"/>
    </xf>
    <xf numFmtId="0" fontId="21" fillId="0" borderId="26" xfId="2" applyBorder="1" applyAlignment="1">
      <alignment horizontal="left" vertical="center"/>
    </xf>
    <xf numFmtId="0" fontId="7" fillId="175" borderId="14" xfId="0" applyFont="1" applyFill="1" applyBorder="1" applyAlignment="1">
      <alignment vertical="center"/>
    </xf>
    <xf numFmtId="0" fontId="7" fillId="175" borderId="3" xfId="0" applyFont="1" applyFill="1" applyBorder="1" applyAlignment="1">
      <alignment vertical="center"/>
    </xf>
    <xf numFmtId="0" fontId="7" fillId="175" borderId="13" xfId="0" applyFont="1" applyFill="1" applyBorder="1" applyAlignment="1">
      <alignment vertical="center"/>
    </xf>
    <xf numFmtId="0" fontId="7" fillId="183" borderId="14" xfId="0" applyFont="1" applyFill="1" applyBorder="1" applyAlignment="1">
      <alignment vertical="center"/>
    </xf>
    <xf numFmtId="0" fontId="7" fillId="183" borderId="3" xfId="0" applyFont="1" applyFill="1" applyBorder="1" applyAlignment="1">
      <alignment vertical="center"/>
    </xf>
    <xf numFmtId="0" fontId="7" fillId="183" borderId="13" xfId="0" applyFont="1" applyFill="1" applyBorder="1" applyAlignment="1">
      <alignment vertical="center"/>
    </xf>
    <xf numFmtId="0" fontId="7" fillId="158" borderId="15" xfId="0" applyFont="1" applyFill="1" applyBorder="1" applyAlignment="1">
      <alignment vertical="center"/>
    </xf>
    <xf numFmtId="0" fontId="7" fillId="158" borderId="4" xfId="0" applyFont="1" applyFill="1" applyBorder="1" applyAlignment="1">
      <alignment vertical="center"/>
    </xf>
    <xf numFmtId="0" fontId="7" fillId="158" borderId="16" xfId="0" applyFont="1" applyFill="1" applyBorder="1" applyAlignment="1">
      <alignment vertical="center"/>
    </xf>
    <xf numFmtId="0" fontId="7" fillId="2" borderId="14" xfId="0" applyFont="1" applyFill="1" applyBorder="1" applyAlignment="1">
      <alignment vertical="center"/>
    </xf>
    <xf numFmtId="0" fontId="7" fillId="2" borderId="3" xfId="0" applyFont="1" applyFill="1" applyBorder="1" applyAlignment="1">
      <alignment vertical="center"/>
    </xf>
    <xf numFmtId="0" fontId="7" fillId="2" borderId="13" xfId="0" applyFont="1" applyFill="1" applyBorder="1" applyAlignment="1">
      <alignment vertical="center"/>
    </xf>
    <xf numFmtId="0" fontId="7" fillId="100" borderId="12" xfId="0" applyFont="1" applyFill="1" applyBorder="1" applyAlignment="1">
      <alignment vertical="center"/>
    </xf>
    <xf numFmtId="0" fontId="7" fillId="100" borderId="2" xfId="0" applyFont="1" applyFill="1" applyBorder="1" applyAlignment="1">
      <alignment vertical="center"/>
    </xf>
    <xf numFmtId="0" fontId="7" fillId="100" borderId="17" xfId="0" applyFont="1" applyFill="1" applyBorder="1" applyAlignment="1">
      <alignment vertical="center"/>
    </xf>
    <xf numFmtId="0" fontId="7" fillId="188" borderId="14" xfId="0" applyFont="1" applyFill="1" applyBorder="1" applyAlignment="1">
      <alignment vertical="center"/>
    </xf>
    <xf numFmtId="0" fontId="7" fillId="188" borderId="3" xfId="0" applyFont="1" applyFill="1" applyBorder="1" applyAlignment="1">
      <alignment vertical="center"/>
    </xf>
    <xf numFmtId="0" fontId="7" fillId="188" borderId="13" xfId="0" applyFont="1" applyFill="1" applyBorder="1" applyAlignment="1">
      <alignment vertical="center"/>
    </xf>
    <xf numFmtId="0" fontId="7" fillId="45" borderId="14" xfId="0" applyFont="1" applyFill="1" applyBorder="1" applyAlignment="1">
      <alignment vertical="center"/>
    </xf>
    <xf numFmtId="0" fontId="7" fillId="45" borderId="3" xfId="0" applyFont="1" applyFill="1" applyBorder="1" applyAlignment="1">
      <alignment vertical="center"/>
    </xf>
    <xf numFmtId="0" fontId="7" fillId="45" borderId="13" xfId="0" applyFont="1" applyFill="1" applyBorder="1" applyAlignment="1">
      <alignment vertical="center"/>
    </xf>
    <xf numFmtId="0" fontId="7" fillId="113" borderId="14" xfId="0" applyFont="1" applyFill="1" applyBorder="1" applyAlignment="1">
      <alignment vertical="center"/>
    </xf>
    <xf numFmtId="0" fontId="7" fillId="113" borderId="3" xfId="0" applyFont="1" applyFill="1" applyBorder="1" applyAlignment="1">
      <alignment vertical="center"/>
    </xf>
    <xf numFmtId="0" fontId="7" fillId="113" borderId="13" xfId="0" applyFont="1" applyFill="1" applyBorder="1" applyAlignment="1">
      <alignment vertical="center"/>
    </xf>
    <xf numFmtId="0" fontId="7" fillId="46" borderId="14" xfId="0" applyFont="1" applyFill="1" applyBorder="1" applyAlignment="1">
      <alignment vertical="center"/>
    </xf>
    <xf numFmtId="0" fontId="7" fillId="46" borderId="3" xfId="0" applyFont="1" applyFill="1" applyBorder="1" applyAlignment="1">
      <alignment vertical="center"/>
    </xf>
    <xf numFmtId="0" fontId="7" fillId="46" borderId="13" xfId="0" applyFont="1" applyFill="1" applyBorder="1" applyAlignment="1">
      <alignment vertical="center"/>
    </xf>
    <xf numFmtId="0" fontId="7" fillId="62" borderId="14" xfId="0" applyFont="1" applyFill="1" applyBorder="1" applyAlignment="1">
      <alignment vertical="center"/>
    </xf>
    <xf numFmtId="0" fontId="7" fillId="62" borderId="3" xfId="0" applyFont="1" applyFill="1" applyBorder="1" applyAlignment="1">
      <alignment vertical="center"/>
    </xf>
    <xf numFmtId="0" fontId="7" fillId="62" borderId="13" xfId="0" applyFont="1" applyFill="1" applyBorder="1" applyAlignment="1">
      <alignment vertical="center"/>
    </xf>
    <xf numFmtId="0" fontId="7" fillId="171" borderId="14" xfId="0" applyFont="1" applyFill="1" applyBorder="1" applyAlignment="1">
      <alignment vertical="center"/>
    </xf>
    <xf numFmtId="0" fontId="7" fillId="171" borderId="3" xfId="0" applyFont="1" applyFill="1" applyBorder="1" applyAlignment="1">
      <alignment vertical="center"/>
    </xf>
    <xf numFmtId="0" fontId="7" fillId="171" borderId="13" xfId="0" applyFont="1" applyFill="1" applyBorder="1" applyAlignment="1">
      <alignment vertical="center"/>
    </xf>
    <xf numFmtId="0" fontId="7" fillId="187" borderId="14" xfId="0" applyFont="1" applyFill="1" applyBorder="1" applyAlignment="1">
      <alignment vertical="center"/>
    </xf>
    <xf numFmtId="0" fontId="7" fillId="187" borderId="3" xfId="0" applyFont="1" applyFill="1" applyBorder="1" applyAlignment="1">
      <alignment vertical="center"/>
    </xf>
    <xf numFmtId="0" fontId="7" fillId="187" borderId="13" xfId="0" applyFont="1" applyFill="1" applyBorder="1" applyAlignment="1">
      <alignment vertical="center"/>
    </xf>
    <xf numFmtId="0" fontId="7" fillId="135" borderId="14" xfId="0" applyFont="1" applyFill="1" applyBorder="1" applyAlignment="1">
      <alignment vertical="center"/>
    </xf>
    <xf numFmtId="0" fontId="7" fillId="135" borderId="3" xfId="0" applyFont="1" applyFill="1" applyBorder="1" applyAlignment="1">
      <alignment vertical="center"/>
    </xf>
    <xf numFmtId="0" fontId="7" fillId="135" borderId="13" xfId="0" applyFont="1" applyFill="1" applyBorder="1" applyAlignment="1">
      <alignment vertical="center"/>
    </xf>
    <xf numFmtId="0" fontId="7" fillId="191" borderId="14" xfId="0" applyFont="1" applyFill="1" applyBorder="1" applyAlignment="1">
      <alignment vertical="center"/>
    </xf>
    <xf numFmtId="0" fontId="7" fillId="191" borderId="3" xfId="0" applyFont="1" applyFill="1" applyBorder="1" applyAlignment="1">
      <alignment vertical="center"/>
    </xf>
    <xf numFmtId="0" fontId="7" fillId="191" borderId="13" xfId="0" applyFont="1" applyFill="1" applyBorder="1" applyAlignment="1">
      <alignment vertical="center"/>
    </xf>
    <xf numFmtId="0" fontId="7" fillId="144" borderId="14" xfId="0" applyFont="1" applyFill="1" applyBorder="1" applyAlignment="1">
      <alignment vertical="center"/>
    </xf>
    <xf numFmtId="0" fontId="7" fillId="144" borderId="3" xfId="0" applyFont="1" applyFill="1" applyBorder="1" applyAlignment="1">
      <alignment vertical="center"/>
    </xf>
    <xf numFmtId="0" fontId="7" fillId="144" borderId="13" xfId="0" applyFont="1" applyFill="1" applyBorder="1" applyAlignment="1">
      <alignment vertical="center"/>
    </xf>
    <xf numFmtId="0" fontId="7" fillId="58" borderId="14" xfId="0" applyFont="1" applyFill="1" applyBorder="1" applyAlignment="1">
      <alignment vertical="center"/>
    </xf>
    <xf numFmtId="0" fontId="7" fillId="58" borderId="3" xfId="0" applyFont="1" applyFill="1" applyBorder="1" applyAlignment="1">
      <alignment vertical="center"/>
    </xf>
    <xf numFmtId="0" fontId="7" fillId="58" borderId="13" xfId="0" applyFont="1" applyFill="1" applyBorder="1" applyAlignment="1">
      <alignment vertical="center"/>
    </xf>
    <xf numFmtId="0" fontId="7" fillId="67" borderId="14" xfId="0" applyFont="1" applyFill="1" applyBorder="1" applyAlignment="1">
      <alignment vertical="center"/>
    </xf>
    <xf numFmtId="0" fontId="7" fillId="67" borderId="3" xfId="0" applyFont="1" applyFill="1" applyBorder="1" applyAlignment="1">
      <alignment vertical="center"/>
    </xf>
    <xf numFmtId="0" fontId="7" fillId="67" borderId="13" xfId="0" applyFont="1" applyFill="1" applyBorder="1" applyAlignment="1">
      <alignment vertical="center"/>
    </xf>
    <xf numFmtId="0" fontId="7" fillId="157" borderId="14" xfId="0" applyFont="1" applyFill="1" applyBorder="1" applyAlignment="1">
      <alignment vertical="center"/>
    </xf>
    <xf numFmtId="0" fontId="7" fillId="157" borderId="3" xfId="0" applyFont="1" applyFill="1" applyBorder="1" applyAlignment="1">
      <alignment vertical="center"/>
    </xf>
    <xf numFmtId="0" fontId="7" fillId="157" borderId="13" xfId="0" applyFont="1" applyFill="1" applyBorder="1" applyAlignment="1">
      <alignment vertical="center"/>
    </xf>
    <xf numFmtId="0" fontId="7" fillId="41" borderId="14" xfId="0" applyFont="1" applyFill="1" applyBorder="1" applyAlignment="1">
      <alignment vertical="center"/>
    </xf>
    <xf numFmtId="0" fontId="7" fillId="41" borderId="3" xfId="0" applyFont="1" applyFill="1" applyBorder="1" applyAlignment="1">
      <alignment vertical="center"/>
    </xf>
    <xf numFmtId="0" fontId="7" fillId="41" borderId="13" xfId="0" applyFont="1" applyFill="1" applyBorder="1" applyAlignment="1">
      <alignment vertical="center"/>
    </xf>
    <xf numFmtId="0" fontId="7" fillId="149" borderId="14" xfId="0" applyFont="1" applyFill="1" applyBorder="1" applyAlignment="1">
      <alignment vertical="center"/>
    </xf>
    <xf numFmtId="0" fontId="7" fillId="149" borderId="3" xfId="0" applyFont="1" applyFill="1" applyBorder="1" applyAlignment="1">
      <alignment vertical="center"/>
    </xf>
    <xf numFmtId="0" fontId="7" fillId="149" borderId="13" xfId="0" applyFont="1" applyFill="1" applyBorder="1" applyAlignment="1">
      <alignment vertical="center"/>
    </xf>
    <xf numFmtId="0" fontId="7" fillId="84" borderId="14" xfId="0" applyFont="1" applyFill="1" applyBorder="1" applyAlignment="1">
      <alignment vertical="center"/>
    </xf>
    <xf numFmtId="0" fontId="7" fillId="84" borderId="3" xfId="0" applyFont="1" applyFill="1" applyBorder="1" applyAlignment="1">
      <alignment vertical="center"/>
    </xf>
    <xf numFmtId="0" fontId="7" fillId="84" borderId="13" xfId="0" applyFont="1" applyFill="1" applyBorder="1" applyAlignment="1">
      <alignment vertical="center"/>
    </xf>
    <xf numFmtId="0" fontId="7" fillId="160" borderId="14" xfId="0" applyFont="1" applyFill="1" applyBorder="1" applyAlignment="1">
      <alignment vertical="center"/>
    </xf>
    <xf numFmtId="0" fontId="7" fillId="160" borderId="3" xfId="0" applyFont="1" applyFill="1" applyBorder="1" applyAlignment="1">
      <alignment vertical="center"/>
    </xf>
    <xf numFmtId="0" fontId="7" fillId="160" borderId="13" xfId="0" applyFont="1" applyFill="1" applyBorder="1" applyAlignment="1">
      <alignment vertical="center"/>
    </xf>
    <xf numFmtId="0" fontId="7" fillId="162" borderId="14" xfId="0" applyFont="1" applyFill="1" applyBorder="1" applyAlignment="1">
      <alignment vertical="center"/>
    </xf>
    <xf numFmtId="0" fontId="7" fillId="162" borderId="3" xfId="0" applyFont="1" applyFill="1" applyBorder="1" applyAlignment="1">
      <alignment vertical="center"/>
    </xf>
    <xf numFmtId="0" fontId="7" fillId="162" borderId="13" xfId="0" applyFont="1" applyFill="1" applyBorder="1" applyAlignment="1">
      <alignment vertical="center"/>
    </xf>
    <xf numFmtId="0" fontId="7" fillId="148" borderId="14" xfId="0" applyFont="1" applyFill="1" applyBorder="1" applyAlignment="1">
      <alignment vertical="center"/>
    </xf>
    <xf numFmtId="0" fontId="7" fillId="148" borderId="3" xfId="0" applyFont="1" applyFill="1" applyBorder="1" applyAlignment="1">
      <alignment vertical="center"/>
    </xf>
    <xf numFmtId="0" fontId="7" fillId="148" borderId="13" xfId="0" applyFont="1" applyFill="1" applyBorder="1" applyAlignment="1">
      <alignment vertical="center"/>
    </xf>
    <xf numFmtId="0" fontId="7" fillId="56" borderId="14" xfId="0" applyFont="1" applyFill="1" applyBorder="1" applyAlignment="1">
      <alignment vertical="center"/>
    </xf>
    <xf numFmtId="0" fontId="7" fillId="56" borderId="3" xfId="0" applyFont="1" applyFill="1" applyBorder="1" applyAlignment="1">
      <alignment vertical="center"/>
    </xf>
    <xf numFmtId="0" fontId="7" fillId="56" borderId="13" xfId="0" applyFont="1" applyFill="1" applyBorder="1" applyAlignment="1">
      <alignment vertical="center"/>
    </xf>
    <xf numFmtId="0" fontId="7" fillId="147" borderId="14" xfId="0" applyFont="1" applyFill="1" applyBorder="1" applyAlignment="1">
      <alignment vertical="center"/>
    </xf>
    <xf numFmtId="0" fontId="7" fillId="147" borderId="3" xfId="0" applyFont="1" applyFill="1" applyBorder="1" applyAlignment="1">
      <alignment vertical="center"/>
    </xf>
    <xf numFmtId="0" fontId="7" fillId="147" borderId="13" xfId="0" applyFont="1" applyFill="1" applyBorder="1" applyAlignment="1">
      <alignment vertical="center"/>
    </xf>
    <xf numFmtId="0" fontId="7" fillId="87" borderId="14" xfId="0" applyFont="1" applyFill="1" applyBorder="1" applyAlignment="1">
      <alignment vertical="center"/>
    </xf>
    <xf numFmtId="0" fontId="7" fillId="87" borderId="3" xfId="0" applyFont="1" applyFill="1" applyBorder="1" applyAlignment="1">
      <alignment vertical="center"/>
    </xf>
    <xf numFmtId="0" fontId="7" fillId="87" borderId="13" xfId="0" applyFont="1" applyFill="1" applyBorder="1" applyAlignment="1">
      <alignment vertical="center"/>
    </xf>
    <xf numFmtId="0" fontId="7" fillId="161" borderId="14" xfId="0" applyFont="1" applyFill="1" applyBorder="1" applyAlignment="1">
      <alignment vertical="center"/>
    </xf>
    <xf numFmtId="0" fontId="7" fillId="161" borderId="3" xfId="0" applyFont="1" applyFill="1" applyBorder="1" applyAlignment="1">
      <alignment vertical="center"/>
    </xf>
    <xf numFmtId="0" fontId="7" fillId="161" borderId="13" xfId="0" applyFont="1" applyFill="1" applyBorder="1" applyAlignment="1">
      <alignment vertical="center"/>
    </xf>
    <xf numFmtId="0" fontId="7" fillId="136" borderId="14" xfId="0" applyFont="1" applyFill="1" applyBorder="1" applyAlignment="1">
      <alignment vertical="center"/>
    </xf>
    <xf numFmtId="0" fontId="7" fillId="136" borderId="3" xfId="0" applyFont="1" applyFill="1" applyBorder="1" applyAlignment="1">
      <alignment vertical="center"/>
    </xf>
    <xf numFmtId="0" fontId="7" fillId="136" borderId="13" xfId="0" applyFont="1" applyFill="1" applyBorder="1" applyAlignment="1">
      <alignment vertical="center"/>
    </xf>
    <xf numFmtId="0" fontId="7" fillId="175" borderId="3" xfId="0" applyFont="1" applyFill="1" applyBorder="1" applyAlignment="1">
      <alignment horizontal="left" vertical="center"/>
    </xf>
    <xf numFmtId="0" fontId="7" fillId="183" borderId="3" xfId="0" applyFont="1" applyFill="1" applyBorder="1" applyAlignment="1">
      <alignment horizontal="left" vertical="center"/>
    </xf>
    <xf numFmtId="0" fontId="7" fillId="158" borderId="4" xfId="0" applyFont="1" applyFill="1" applyBorder="1" applyAlignment="1">
      <alignment horizontal="left" vertical="center"/>
    </xf>
    <xf numFmtId="0" fontId="7" fillId="2" borderId="3" xfId="0" applyFont="1" applyFill="1" applyBorder="1" applyAlignment="1">
      <alignment horizontal="left" vertical="center"/>
    </xf>
    <xf numFmtId="0" fontId="7" fillId="100" borderId="2" xfId="0" applyFont="1" applyFill="1" applyBorder="1" applyAlignment="1">
      <alignment horizontal="left" vertical="center"/>
    </xf>
    <xf numFmtId="0" fontId="7" fillId="188" borderId="3" xfId="0" applyFont="1" applyFill="1" applyBorder="1" applyAlignment="1">
      <alignment horizontal="left" vertical="center"/>
    </xf>
    <xf numFmtId="0" fontId="7" fillId="45" borderId="3" xfId="0" applyFont="1" applyFill="1" applyBorder="1" applyAlignment="1">
      <alignment horizontal="left" vertical="center"/>
    </xf>
    <xf numFmtId="0" fontId="7" fillId="113" borderId="3" xfId="0" applyFont="1" applyFill="1" applyBorder="1" applyAlignment="1">
      <alignment horizontal="left" vertical="center"/>
    </xf>
    <xf numFmtId="0" fontId="7" fillId="46" borderId="3" xfId="0" applyFont="1" applyFill="1" applyBorder="1" applyAlignment="1">
      <alignment horizontal="left" vertical="center"/>
    </xf>
    <xf numFmtId="0" fontId="7" fillId="62" borderId="3" xfId="0" applyFont="1" applyFill="1" applyBorder="1" applyAlignment="1">
      <alignment horizontal="left" vertical="center"/>
    </xf>
    <xf numFmtId="0" fontId="7" fillId="171" borderId="3" xfId="0" applyFont="1" applyFill="1" applyBorder="1" applyAlignment="1">
      <alignment horizontal="left" vertical="center"/>
    </xf>
    <xf numFmtId="0" fontId="7" fillId="187" borderId="3" xfId="0" applyFont="1" applyFill="1" applyBorder="1" applyAlignment="1">
      <alignment horizontal="left" vertical="center"/>
    </xf>
    <xf numFmtId="0" fontId="7" fillId="135" borderId="3" xfId="0" applyFont="1" applyFill="1" applyBorder="1" applyAlignment="1">
      <alignment horizontal="left" vertical="center"/>
    </xf>
    <xf numFmtId="0" fontId="7" fillId="191" borderId="3" xfId="0" applyFont="1" applyFill="1" applyBorder="1" applyAlignment="1">
      <alignment horizontal="left" vertical="center"/>
    </xf>
    <xf numFmtId="0" fontId="7" fillId="144" borderId="3" xfId="0" applyFont="1" applyFill="1" applyBorder="1" applyAlignment="1">
      <alignment horizontal="left" vertical="center"/>
    </xf>
    <xf numFmtId="0" fontId="7" fillId="58" borderId="3" xfId="0" applyFont="1" applyFill="1" applyBorder="1" applyAlignment="1">
      <alignment horizontal="left" vertical="center"/>
    </xf>
    <xf numFmtId="0" fontId="7" fillId="67" borderId="3" xfId="0" applyFont="1" applyFill="1" applyBorder="1" applyAlignment="1">
      <alignment horizontal="left" vertical="center"/>
    </xf>
    <xf numFmtId="0" fontId="7" fillId="157" borderId="3" xfId="0" applyFont="1" applyFill="1" applyBorder="1" applyAlignment="1">
      <alignment horizontal="left" vertical="center"/>
    </xf>
    <xf numFmtId="0" fontId="7" fillId="41" borderId="3" xfId="0" applyFont="1" applyFill="1" applyBorder="1" applyAlignment="1">
      <alignment horizontal="left" vertical="center"/>
    </xf>
    <xf numFmtId="0" fontId="7" fillId="149" borderId="3" xfId="0" applyFont="1" applyFill="1" applyBorder="1" applyAlignment="1">
      <alignment horizontal="left" vertical="center"/>
    </xf>
    <xf numFmtId="0" fontId="7" fillId="84" borderId="3" xfId="0" applyFont="1" applyFill="1" applyBorder="1" applyAlignment="1">
      <alignment horizontal="left" vertical="center"/>
    </xf>
    <xf numFmtId="0" fontId="7" fillId="160" borderId="3" xfId="0" applyFont="1" applyFill="1" applyBorder="1" applyAlignment="1">
      <alignment horizontal="left" vertical="center"/>
    </xf>
    <xf numFmtId="0" fontId="7" fillId="162" borderId="3" xfId="0" applyFont="1" applyFill="1" applyBorder="1" applyAlignment="1">
      <alignment horizontal="left" vertical="center"/>
    </xf>
    <xf numFmtId="0" fontId="7" fillId="148" borderId="3" xfId="0" applyFont="1" applyFill="1" applyBorder="1" applyAlignment="1">
      <alignment horizontal="left" vertical="center"/>
    </xf>
    <xf numFmtId="0" fontId="7" fillId="56" borderId="3" xfId="0" applyFont="1" applyFill="1" applyBorder="1" applyAlignment="1">
      <alignment horizontal="left" vertical="center"/>
    </xf>
    <xf numFmtId="0" fontId="7" fillId="147" borderId="3" xfId="0" applyFont="1" applyFill="1" applyBorder="1" applyAlignment="1">
      <alignment horizontal="left" vertical="center"/>
    </xf>
    <xf numFmtId="0" fontId="7" fillId="87" borderId="3" xfId="0" applyFont="1" applyFill="1" applyBorder="1" applyAlignment="1">
      <alignment horizontal="left" vertical="center"/>
    </xf>
    <xf numFmtId="0" fontId="7" fillId="161" borderId="3" xfId="0" applyFont="1" applyFill="1" applyBorder="1" applyAlignment="1">
      <alignment horizontal="left" vertical="center"/>
    </xf>
    <xf numFmtId="0" fontId="7" fillId="136" borderId="3" xfId="0" applyFont="1" applyFill="1" applyBorder="1" applyAlignment="1">
      <alignment horizontal="left" vertical="center"/>
    </xf>
    <xf numFmtId="0" fontId="24" fillId="0" borderId="0" xfId="0" applyFont="1"/>
    <xf numFmtId="0" fontId="12" fillId="0" borderId="21" xfId="0" applyFont="1" applyFill="1" applyBorder="1" applyAlignment="1">
      <alignment vertical="center"/>
    </xf>
    <xf numFmtId="0" fontId="12" fillId="0" borderId="0" xfId="0" applyFont="1" applyBorder="1" applyAlignment="1">
      <alignment horizontal="left" vertical="center"/>
    </xf>
    <xf numFmtId="0" fontId="12" fillId="0" borderId="0" xfId="0" applyFont="1" applyBorder="1" applyAlignment="1">
      <alignment horizontal="left" vertical="center" wrapText="1"/>
    </xf>
    <xf numFmtId="0" fontId="7" fillId="0" borderId="0" xfId="0" applyFont="1" applyBorder="1" applyAlignment="1">
      <alignment horizontal="left"/>
    </xf>
    <xf numFmtId="0" fontId="7" fillId="4" borderId="3" xfId="0" quotePrefix="1" applyFont="1" applyFill="1" applyBorder="1"/>
    <xf numFmtId="0" fontId="7" fillId="0" borderId="0" xfId="0" applyFont="1" applyBorder="1" applyAlignment="1">
      <alignment vertical="center"/>
    </xf>
    <xf numFmtId="0" fontId="13" fillId="0" borderId="37" xfId="0" applyFont="1" applyBorder="1" applyAlignment="1">
      <alignment horizontal="left"/>
    </xf>
    <xf numFmtId="0" fontId="6" fillId="0" borderId="0" xfId="0" applyFont="1" applyBorder="1" applyAlignment="1">
      <alignment vertical="center"/>
    </xf>
    <xf numFmtId="0" fontId="6" fillId="0" borderId="0" xfId="0" applyFont="1" applyBorder="1"/>
    <xf numFmtId="0" fontId="6" fillId="0" borderId="0" xfId="0" applyFont="1" applyBorder="1" applyAlignment="1">
      <alignment horizontal="left" vertical="center"/>
    </xf>
    <xf numFmtId="0" fontId="6" fillId="194" borderId="3" xfId="0" applyFont="1" applyFill="1" applyBorder="1"/>
    <xf numFmtId="0" fontId="7" fillId="0" borderId="0" xfId="0" applyFont="1" applyBorder="1" applyAlignment="1">
      <alignment horizontal="center"/>
    </xf>
    <xf numFmtId="0" fontId="7" fillId="0" borderId="3" xfId="0" applyFont="1" applyBorder="1"/>
    <xf numFmtId="0" fontId="7" fillId="195" borderId="4" xfId="0" applyFont="1" applyFill="1" applyBorder="1"/>
    <xf numFmtId="0" fontId="7" fillId="0" borderId="16" xfId="0" applyFont="1" applyBorder="1" applyAlignment="1">
      <alignment horizontal="right"/>
    </xf>
    <xf numFmtId="0" fontId="7" fillId="0" borderId="4" xfId="0" applyFont="1" applyBorder="1"/>
    <xf numFmtId="0" fontId="7" fillId="0" borderId="20" xfId="0" applyFont="1" applyBorder="1" applyAlignment="1">
      <alignment horizontal="right"/>
    </xf>
    <xf numFmtId="0" fontId="6" fillId="0" borderId="1" xfId="0" applyFont="1" applyBorder="1" applyAlignment="1">
      <alignment horizontal="center"/>
    </xf>
    <xf numFmtId="0" fontId="6" fillId="0" borderId="1" xfId="0" applyFont="1" applyBorder="1" applyAlignment="1">
      <alignment horizontal="center"/>
    </xf>
    <xf numFmtId="0" fontId="7" fillId="0" borderId="0" xfId="0" applyFont="1" applyBorder="1" applyAlignment="1">
      <alignment horizontal="left" vertical="top" wrapText="1"/>
    </xf>
    <xf numFmtId="0" fontId="7" fillId="0" borderId="22" xfId="0" applyFont="1" applyBorder="1" applyAlignment="1">
      <alignment horizontal="center"/>
    </xf>
    <xf numFmtId="0" fontId="7" fillId="0" borderId="23" xfId="0" applyFont="1" applyBorder="1" applyAlignment="1">
      <alignment horizontal="center"/>
    </xf>
    <xf numFmtId="0" fontId="7" fillId="0" borderId="5" xfId="0" applyFont="1" applyBorder="1" applyAlignment="1">
      <alignment horizontal="center"/>
    </xf>
    <xf numFmtId="0" fontId="3" fillId="193" borderId="39" xfId="0" applyFont="1" applyFill="1" applyBorder="1"/>
    <xf numFmtId="0" fontId="6" fillId="0" borderId="1" xfId="0" applyFont="1" applyBorder="1" applyAlignment="1">
      <alignment horizontal="left" wrapText="1"/>
    </xf>
    <xf numFmtId="0" fontId="6" fillId="0" borderId="1" xfId="0" applyFont="1" applyBorder="1" applyAlignment="1">
      <alignment horizontal="center" vertical="center"/>
    </xf>
    <xf numFmtId="0" fontId="7" fillId="0" borderId="19" xfId="0" applyFont="1" applyBorder="1" applyAlignment="1">
      <alignment horizontal="left"/>
    </xf>
    <xf numFmtId="0" fontId="7" fillId="0" borderId="12" xfId="0" applyFont="1" applyBorder="1" applyAlignment="1">
      <alignment horizontal="left"/>
    </xf>
    <xf numFmtId="0" fontId="25" fillId="582" borderId="0" xfId="0" applyFont="1" applyFill="1" applyBorder="1" applyAlignment="1"/>
    <xf numFmtId="0" fontId="7" fillId="582" borderId="0" xfId="0" applyFont="1" applyFill="1"/>
    <xf numFmtId="0" fontId="12" fillId="0" borderId="21" xfId="0" applyFont="1" applyFill="1" applyBorder="1" applyAlignment="1">
      <alignment vertical="center"/>
    </xf>
    <xf numFmtId="0" fontId="0" fillId="0" borderId="0" xfId="0" applyBorder="1" applyAlignment="1">
      <alignment horizontal="left" wrapText="1"/>
    </xf>
    <xf numFmtId="0" fontId="7" fillId="0" borderId="0" xfId="0" applyFont="1" applyBorder="1" applyAlignment="1">
      <alignment horizontal="left" vertical="center" wrapText="1"/>
    </xf>
    <xf numFmtId="0" fontId="7" fillId="4" borderId="3" xfId="0" quotePrefix="1" applyFont="1" applyFill="1" applyBorder="1" applyAlignment="1">
      <alignment horizontal="left" wrapText="1"/>
    </xf>
    <xf numFmtId="0" fontId="7" fillId="4" borderId="3" xfId="0" applyFont="1" applyFill="1" applyBorder="1" applyAlignment="1">
      <alignment horizontal="left" wrapText="1"/>
    </xf>
    <xf numFmtId="0" fontId="26" fillId="0" borderId="0" xfId="0" applyFont="1" applyFill="1" applyBorder="1" applyAlignment="1">
      <alignment horizontal="left"/>
    </xf>
    <xf numFmtId="0" fontId="13" fillId="0" borderId="38" xfId="0" applyFont="1" applyBorder="1" applyAlignment="1">
      <alignment horizontal="left" vertical="center"/>
    </xf>
    <xf numFmtId="0" fontId="12" fillId="0" borderId="21" xfId="0" applyFont="1" applyFill="1" applyBorder="1" applyAlignment="1">
      <alignment vertical="center"/>
    </xf>
    <xf numFmtId="0" fontId="12" fillId="0" borderId="0" xfId="0" applyFont="1" applyFill="1" applyBorder="1" applyAlignment="1">
      <alignment horizontal="left" vertical="center"/>
    </xf>
    <xf numFmtId="0" fontId="12" fillId="0" borderId="0" xfId="0" applyFont="1" applyBorder="1" applyAlignment="1">
      <alignment horizontal="left" vertical="center"/>
    </xf>
    <xf numFmtId="0" fontId="12" fillId="0" borderId="0" xfId="0" applyFont="1" applyFill="1" applyBorder="1" applyAlignment="1">
      <alignment horizontal="left" vertical="center" wrapText="1"/>
    </xf>
    <xf numFmtId="0" fontId="13" fillId="0" borderId="38" xfId="0" applyFont="1" applyBorder="1" applyAlignment="1">
      <alignment horizontal="left" vertical="center" wrapText="1"/>
    </xf>
    <xf numFmtId="0" fontId="12" fillId="0" borderId="0" xfId="0" applyFont="1" applyBorder="1" applyAlignment="1">
      <alignment horizontal="left" vertical="center" wrapText="1"/>
    </xf>
    <xf numFmtId="0" fontId="6" fillId="0" borderId="0" xfId="0" quotePrefix="1" applyFont="1" applyBorder="1" applyAlignment="1">
      <alignment horizontal="left" vertical="center" wrapText="1"/>
    </xf>
    <xf numFmtId="0" fontId="12" fillId="0" borderId="4" xfId="0" applyFont="1" applyBorder="1" applyAlignment="1">
      <alignment horizontal="left" vertical="center"/>
    </xf>
    <xf numFmtId="0" fontId="7" fillId="0" borderId="0" xfId="0" applyFont="1" applyBorder="1" applyAlignment="1">
      <alignment horizontal="left" wrapText="1"/>
    </xf>
    <xf numFmtId="0" fontId="6" fillId="194" borderId="14" xfId="0" applyFont="1" applyFill="1" applyBorder="1" applyAlignment="1">
      <alignment horizontal="center"/>
    </xf>
    <xf numFmtId="0" fontId="6" fillId="194" borderId="3" xfId="0" applyFont="1" applyFill="1" applyBorder="1" applyAlignment="1">
      <alignment horizontal="center"/>
    </xf>
    <xf numFmtId="0" fontId="6" fillId="194" borderId="13" xfId="0" applyFont="1" applyFill="1" applyBorder="1" applyAlignment="1">
      <alignment horizontal="center"/>
    </xf>
    <xf numFmtId="0" fontId="7" fillId="0" borderId="3" xfId="0" quotePrefix="1" applyFont="1" applyBorder="1" applyAlignment="1">
      <alignment horizontal="left" vertical="top" wrapText="1"/>
    </xf>
    <xf numFmtId="0" fontId="7" fillId="0" borderId="0" xfId="0" quotePrefix="1" applyFont="1" applyBorder="1" applyAlignment="1">
      <alignment horizontal="left" wrapText="1"/>
    </xf>
    <xf numFmtId="0" fontId="7" fillId="4" borderId="14" xfId="0" quotePrefix="1" applyFont="1" applyFill="1" applyBorder="1" applyAlignment="1">
      <alignment horizontal="left"/>
    </xf>
    <xf numFmtId="0" fontId="7" fillId="4" borderId="3" xfId="0" applyFont="1" applyFill="1" applyBorder="1" applyAlignment="1">
      <alignment horizontal="left"/>
    </xf>
    <xf numFmtId="0" fontId="7" fillId="4" borderId="13" xfId="0" applyFont="1" applyFill="1" applyBorder="1" applyAlignment="1">
      <alignment horizontal="left"/>
    </xf>
    <xf numFmtId="0" fontId="7" fillId="0" borderId="0" xfId="0" applyFont="1" applyBorder="1" applyAlignment="1">
      <alignment horizontal="left"/>
    </xf>
    <xf numFmtId="0" fontId="7" fillId="4" borderId="14" xfId="0" quotePrefix="1" applyFont="1" applyFill="1" applyBorder="1" applyAlignment="1">
      <alignment horizontal="center"/>
    </xf>
    <xf numFmtId="0" fontId="7" fillId="4" borderId="3" xfId="0" applyFont="1" applyFill="1" applyBorder="1" applyAlignment="1">
      <alignment horizontal="center"/>
    </xf>
    <xf numFmtId="0" fontId="7" fillId="4" borderId="13" xfId="0" applyFont="1" applyFill="1" applyBorder="1" applyAlignment="1">
      <alignment horizontal="center"/>
    </xf>
    <xf numFmtId="0" fontId="7" fillId="4" borderId="14" xfId="0" applyFont="1" applyFill="1" applyBorder="1" applyAlignment="1">
      <alignment horizontal="center"/>
    </xf>
    <xf numFmtId="0" fontId="6" fillId="0" borderId="0" xfId="0" applyFont="1" applyBorder="1" applyAlignment="1">
      <alignment horizontal="left" vertical="top"/>
    </xf>
    <xf numFmtId="0" fontId="7" fillId="0" borderId="2" xfId="0" applyFont="1" applyBorder="1" applyAlignment="1">
      <alignment horizontal="left" vertical="center" wrapText="1"/>
    </xf>
    <xf numFmtId="0" fontId="6" fillId="0" borderId="1" xfId="0" applyFont="1" applyBorder="1" applyAlignment="1">
      <alignment horizontal="center"/>
    </xf>
    <xf numFmtId="0" fontId="7" fillId="0" borderId="0" xfId="0" applyFont="1" applyBorder="1" applyAlignment="1">
      <alignment horizontal="left" vertical="top" wrapText="1"/>
    </xf>
    <xf numFmtId="0" fontId="12" fillId="0" borderId="0" xfId="0" applyFont="1" applyBorder="1" applyAlignment="1">
      <alignment horizontal="left" vertical="top" wrapText="1"/>
    </xf>
    <xf numFmtId="0" fontId="14" fillId="0" borderId="0" xfId="0" applyFont="1" applyBorder="1" applyAlignment="1">
      <alignment horizontal="left" vertical="top" wrapText="1"/>
    </xf>
    <xf numFmtId="0" fontId="7" fillId="4" borderId="3" xfId="0" quotePrefix="1" applyFont="1" applyFill="1" applyBorder="1" applyAlignment="1">
      <alignment horizontal="center"/>
    </xf>
    <xf numFmtId="0" fontId="7" fillId="4" borderId="3" xfId="0" quotePrefix="1" applyFont="1" applyFill="1" applyBorder="1" applyAlignment="1">
      <alignment horizontal="left" vertical="top"/>
    </xf>
    <xf numFmtId="0" fontId="7" fillId="4" borderId="3" xfId="0" applyFont="1" applyFill="1" applyBorder="1" applyAlignment="1">
      <alignment horizontal="left" vertical="top"/>
    </xf>
    <xf numFmtId="0" fontId="7" fillId="4" borderId="13" xfId="0" applyFont="1" applyFill="1" applyBorder="1" applyAlignment="1">
      <alignment horizontal="left" vertical="top"/>
    </xf>
    <xf numFmtId="0" fontId="7" fillId="4" borderId="14" xfId="0" quotePrefix="1" applyFont="1" applyFill="1" applyBorder="1" applyAlignment="1">
      <alignment horizontal="left" vertical="top" wrapText="1"/>
    </xf>
    <xf numFmtId="0" fontId="7" fillId="4" borderId="3" xfId="0" applyFont="1" applyFill="1" applyBorder="1" applyAlignment="1">
      <alignment horizontal="left" vertical="top" wrapText="1"/>
    </xf>
    <xf numFmtId="0" fontId="7" fillId="4" borderId="13" xfId="0" applyFont="1" applyFill="1" applyBorder="1" applyAlignment="1">
      <alignment horizontal="left" vertical="top" wrapText="1"/>
    </xf>
    <xf numFmtId="0" fontId="7" fillId="0" borderId="3" xfId="0" applyFont="1" applyBorder="1" applyAlignment="1">
      <alignment horizontal="center"/>
    </xf>
    <xf numFmtId="0" fontId="7" fillId="4" borderId="15" xfId="0" quotePrefix="1" applyFont="1" applyFill="1" applyBorder="1" applyAlignment="1">
      <alignment horizontal="left" wrapText="1"/>
    </xf>
    <xf numFmtId="0" fontId="7" fillId="4" borderId="4" xfId="0" applyFont="1" applyFill="1" applyBorder="1" applyAlignment="1">
      <alignment horizontal="left" wrapText="1"/>
    </xf>
    <xf numFmtId="0" fontId="7" fillId="4" borderId="12" xfId="0" applyFont="1" applyFill="1" applyBorder="1" applyAlignment="1">
      <alignment horizontal="left" wrapText="1"/>
    </xf>
    <xf numFmtId="0" fontId="7" fillId="4" borderId="2" xfId="0" applyFont="1" applyFill="1" applyBorder="1" applyAlignment="1">
      <alignment horizontal="left" wrapText="1"/>
    </xf>
    <xf numFmtId="0" fontId="16" fillId="193" borderId="3" xfId="0" applyFont="1" applyFill="1" applyBorder="1" applyAlignment="1">
      <alignment horizontal="center"/>
    </xf>
    <xf numFmtId="0" fontId="7" fillId="4" borderId="19" xfId="0" quotePrefix="1" applyFont="1" applyFill="1" applyBorder="1" applyAlignment="1">
      <alignment horizontal="center" vertical="top"/>
    </xf>
    <xf numFmtId="0" fontId="7" fillId="4" borderId="0" xfId="0" applyFont="1" applyFill="1" applyBorder="1" applyAlignment="1">
      <alignment horizontal="center" vertical="top"/>
    </xf>
    <xf numFmtId="0" fontId="7" fillId="4" borderId="20" xfId="0" applyFont="1" applyFill="1" applyBorder="1" applyAlignment="1">
      <alignment horizontal="center" vertical="top"/>
    </xf>
    <xf numFmtId="0" fontId="7" fillId="4" borderId="14" xfId="0" quotePrefix="1" applyFont="1" applyFill="1" applyBorder="1" applyAlignment="1">
      <alignment horizontal="center" vertical="top"/>
    </xf>
    <xf numFmtId="0" fontId="7" fillId="4" borderId="3" xfId="0" applyFont="1" applyFill="1" applyBorder="1" applyAlignment="1">
      <alignment horizontal="center" vertical="top"/>
    </xf>
    <xf numFmtId="0" fontId="7" fillId="4" borderId="13" xfId="0" applyFont="1" applyFill="1" applyBorder="1" applyAlignment="1">
      <alignment horizontal="center" vertical="top"/>
    </xf>
    <xf numFmtId="0" fontId="7" fillId="4" borderId="13" xfId="0" quotePrefix="1" applyFont="1" applyFill="1" applyBorder="1" applyAlignment="1">
      <alignment horizontal="left" vertical="top" wrapText="1"/>
    </xf>
    <xf numFmtId="0" fontId="7" fillId="4" borderId="1" xfId="0" applyFont="1" applyFill="1" applyBorder="1" applyAlignment="1">
      <alignment horizontal="left" vertical="top" wrapText="1"/>
    </xf>
    <xf numFmtId="0" fontId="7" fillId="4" borderId="14" xfId="0" applyFont="1" applyFill="1" applyBorder="1" applyAlignment="1">
      <alignment horizontal="left" vertical="top" wrapText="1"/>
    </xf>
    <xf numFmtId="0" fontId="7" fillId="4" borderId="4" xfId="0" quotePrefix="1" applyFont="1" applyFill="1" applyBorder="1" applyAlignment="1">
      <alignment horizontal="left" wrapText="1"/>
    </xf>
    <xf numFmtId="0" fontId="7" fillId="0" borderId="2" xfId="0" quotePrefix="1" applyFont="1" applyBorder="1" applyAlignment="1">
      <alignment horizontal="left" wrapText="1"/>
    </xf>
    <xf numFmtId="0" fontId="7" fillId="0" borderId="12" xfId="0" quotePrefix="1" applyFont="1" applyBorder="1" applyAlignment="1">
      <alignment horizontal="left" vertical="top" wrapText="1"/>
    </xf>
    <xf numFmtId="0" fontId="7" fillId="0" borderId="2" xfId="0" quotePrefix="1" applyFont="1" applyBorder="1" applyAlignment="1">
      <alignment horizontal="left" vertical="top" wrapText="1"/>
    </xf>
    <xf numFmtId="0" fontId="7" fillId="0" borderId="17" xfId="0" quotePrefix="1" applyFont="1" applyBorder="1" applyAlignment="1">
      <alignment horizontal="left" vertical="top" wrapText="1"/>
    </xf>
    <xf numFmtId="0" fontId="7" fillId="0" borderId="19" xfId="0" quotePrefix="1" applyFont="1" applyBorder="1" applyAlignment="1">
      <alignment horizontal="left" vertical="top" wrapText="1"/>
    </xf>
    <xf numFmtId="0" fontId="7" fillId="0" borderId="0" xfId="0" quotePrefix="1" applyFont="1" applyBorder="1" applyAlignment="1">
      <alignment horizontal="left" vertical="top" wrapText="1"/>
    </xf>
    <xf numFmtId="0" fontId="7" fillId="0" borderId="20" xfId="0" quotePrefix="1" applyFont="1" applyBorder="1" applyAlignment="1">
      <alignment horizontal="left" vertical="top" wrapText="1"/>
    </xf>
    <xf numFmtId="0" fontId="7" fillId="4" borderId="0" xfId="0" quotePrefix="1" applyFont="1" applyFill="1" applyBorder="1" applyAlignment="1">
      <alignment horizontal="left"/>
    </xf>
    <xf numFmtId="0" fontId="6" fillId="0" borderId="0" xfId="0" quotePrefix="1" applyFont="1" applyBorder="1" applyAlignment="1">
      <alignment horizontal="left" wrapText="1"/>
    </xf>
    <xf numFmtId="0" fontId="6" fillId="194" borderId="14" xfId="0" applyFont="1" applyFill="1" applyBorder="1" applyAlignment="1">
      <alignment horizontal="left"/>
    </xf>
    <xf numFmtId="0" fontId="6" fillId="194" borderId="3" xfId="0" applyFont="1" applyFill="1" applyBorder="1" applyAlignment="1">
      <alignment horizontal="left"/>
    </xf>
    <xf numFmtId="0" fontId="6" fillId="194" borderId="13" xfId="0" applyFont="1" applyFill="1" applyBorder="1" applyAlignment="1">
      <alignment horizontal="left"/>
    </xf>
    <xf numFmtId="0" fontId="7" fillId="4" borderId="16" xfId="0" applyFont="1" applyFill="1" applyBorder="1" applyAlignment="1">
      <alignment horizontal="left" wrapText="1"/>
    </xf>
    <xf numFmtId="0" fontId="7" fillId="4" borderId="17" xfId="0" applyFont="1" applyFill="1" applyBorder="1" applyAlignment="1">
      <alignment horizontal="left" wrapText="1"/>
    </xf>
    <xf numFmtId="0" fontId="20" fillId="0" borderId="14" xfId="0" applyFont="1" applyBorder="1" applyAlignment="1">
      <alignment horizontal="center"/>
    </xf>
    <xf numFmtId="0" fontId="20" fillId="0" borderId="3" xfId="0" applyFont="1" applyBorder="1" applyAlignment="1">
      <alignment horizontal="center"/>
    </xf>
    <xf numFmtId="0" fontId="20" fillId="0" borderId="13" xfId="0" applyFont="1" applyBorder="1" applyAlignment="1">
      <alignment horizontal="center"/>
    </xf>
    <xf numFmtId="0" fontId="3" fillId="193" borderId="5" xfId="0" applyFont="1" applyFill="1" applyBorder="1" applyAlignment="1">
      <alignment horizontal="center"/>
    </xf>
    <xf numFmtId="0" fontId="2" fillId="4" borderId="14" xfId="0" applyFont="1" applyFill="1" applyBorder="1" applyAlignment="1">
      <alignment horizontal="center" vertical="top" textRotation="255"/>
    </xf>
    <xf numFmtId="0" fontId="2" fillId="196" borderId="14" xfId="0" applyFont="1" applyFill="1" applyBorder="1" applyAlignment="1">
      <alignment horizontal="center" textRotation="255"/>
    </xf>
    <xf numFmtId="0" fontId="0" fillId="0" borderId="1" xfId="0" applyBorder="1" applyAlignment="1">
      <alignment horizontal="center"/>
    </xf>
    <xf numFmtId="0" fontId="3" fillId="193" borderId="1" xfId="0" applyFont="1" applyFill="1" applyBorder="1" applyAlignment="1">
      <alignment horizontal="center" vertical="center"/>
    </xf>
    <xf numFmtId="0" fontId="3" fillId="193" borderId="27" xfId="0" applyFont="1" applyFill="1" applyBorder="1" applyAlignment="1">
      <alignment horizontal="left" wrapText="1"/>
    </xf>
    <xf numFmtId="0" fontId="3" fillId="193" borderId="28" xfId="0" applyFont="1" applyFill="1" applyBorder="1" applyAlignment="1">
      <alignment horizontal="left" wrapText="1"/>
    </xf>
    <xf numFmtId="0" fontId="3" fillId="193" borderId="29" xfId="0" applyFont="1" applyFill="1" applyBorder="1" applyAlignment="1">
      <alignment horizontal="left" wrapText="1"/>
    </xf>
    <xf numFmtId="0" fontId="6" fillId="0" borderId="6" xfId="0" applyFont="1" applyBorder="1" applyAlignment="1">
      <alignment horizontal="center"/>
    </xf>
    <xf numFmtId="0" fontId="6" fillId="0" borderId="7" xfId="0" applyFont="1" applyBorder="1" applyAlignment="1">
      <alignment horizontal="center"/>
    </xf>
    <xf numFmtId="0" fontId="25" fillId="607" borderId="0" xfId="0" applyFont="1" applyFill="1" applyBorder="1" applyAlignment="1"/>
    <xf numFmtId="0" fontId="26" fillId="608" borderId="0" xfId="0" applyFont="1" applyFill="1" applyBorder="1" applyAlignment="1">
      <alignment horizontal="left"/>
    </xf>
    <xf numFmtId="0" fontId="25" fillId="609" borderId="0" xfId="0" applyFont="1" applyFill="1" applyBorder="1" applyAlignment="1"/>
    <xf numFmtId="0" fontId="26" fillId="3" borderId="0" xfId="0" applyFont="1" applyFill="1" applyBorder="1" applyAlignment="1">
      <alignment horizontal="left"/>
    </xf>
    <xf numFmtId="0" fontId="12" fillId="0" borderId="0" xfId="0" applyFont="1" applyBorder="1" applyAlignment="1">
      <alignment horizontal="center" vertical="center"/>
    </xf>
    <xf numFmtId="0" fontId="12" fillId="0" borderId="0" xfId="0" applyFont="1" applyBorder="1" applyAlignment="1">
      <alignment horizontal="center" vertical="center"/>
    </xf>
    <xf numFmtId="0" fontId="6" fillId="610" borderId="0" xfId="0" applyFont="1" applyFill="1" applyBorder="1" applyAlignment="1">
      <alignment vertical="center"/>
    </xf>
    <xf numFmtId="0" fontId="12" fillId="610" borderId="21" xfId="0" applyFont="1" applyFill="1" applyBorder="1" applyAlignment="1">
      <alignment vertical="center"/>
    </xf>
    <xf numFmtId="0" fontId="12" fillId="610" borderId="0" xfId="0" applyFont="1" applyFill="1" applyBorder="1" applyAlignment="1">
      <alignment vertical="center"/>
    </xf>
    <xf numFmtId="0" fontId="12" fillId="610" borderId="0" xfId="0" applyFont="1" applyFill="1" applyBorder="1" applyAlignment="1">
      <alignment horizontal="left" vertical="center" wrapText="1"/>
    </xf>
    <xf numFmtId="0" fontId="12" fillId="610" borderId="0" xfId="0" applyFont="1" applyFill="1" applyBorder="1" applyAlignment="1">
      <alignment horizontal="left" vertical="center"/>
    </xf>
    <xf numFmtId="0" fontId="12" fillId="610" borderId="0" xfId="0" applyFont="1" applyFill="1" applyBorder="1" applyAlignment="1">
      <alignment horizontal="left" vertical="center"/>
    </xf>
    <xf numFmtId="0" fontId="6" fillId="0" borderId="0" xfId="0" applyFont="1" applyBorder="1" applyAlignment="1">
      <alignment horizontal="center" vertical="center"/>
    </xf>
    <xf numFmtId="0" fontId="7" fillId="4" borderId="0" xfId="0" quotePrefix="1" applyFont="1" applyFill="1" applyBorder="1" applyAlignment="1">
      <alignment horizontal="left" vertical="center" wrapText="1"/>
    </xf>
  </cellXfs>
  <cellStyles count="3">
    <cellStyle name="Hyperlink" xfId="2" builtinId="8"/>
    <cellStyle name="Normal" xfId="0" builtinId="0"/>
    <cellStyle name="Percent" xfId="1" builtinId="5"/>
  </cellStyles>
  <dxfs count="0"/>
  <tableStyles count="0" defaultTableStyle="TableStyleMedium2" defaultPivotStyle="PivotStyleLight16"/>
  <colors>
    <mruColors>
      <color rgb="FF0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16.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20.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&lt;&lt; Points |$C$25:$C$34|$B$448 &gt;&gt;</c:v>
          </c:tx>
          <c:spPr>
            <a:solidFill>
              <a:srgbClr val="FFFFFF"/>
            </a:solidFill>
            <a:ln w="25400">
              <a:noFill/>
            </a:ln>
            <a:effectLst/>
          </c:spPr>
          <c:marker>
            <c:spPr>
              <a:solidFill>
                <a:srgbClr val="000000"/>
              </a:solidFill>
              <a:ln w="12700">
                <a:solidFill>
                  <a:srgbClr val="000000"/>
                </a:solidFill>
                <a:prstDash val="solid"/>
              </a:ln>
              <a:effectLst/>
            </c:spPr>
          </c:marker>
          <c:xVal>
            <c:numRef>
              <c:f>Tutorial!$B$25:$B$34</c:f>
              <c:numCache>
                <c:formatCode>General</c:formatCode>
                <c:ptCount val="10"/>
                <c:pt idx="0">
                  <c:v>1</c:v>
                </c:pt>
                <c:pt idx="1">
                  <c:v>2</c:v>
                </c:pt>
                <c:pt idx="2">
                  <c:v>3</c:v>
                </c:pt>
                <c:pt idx="3">
                  <c:v>4</c:v>
                </c:pt>
                <c:pt idx="4">
                  <c:v>5</c:v>
                </c:pt>
                <c:pt idx="5">
                  <c:v>6</c:v>
                </c:pt>
                <c:pt idx="6">
                  <c:v>7</c:v>
                </c:pt>
                <c:pt idx="7">
                  <c:v>8</c:v>
                </c:pt>
                <c:pt idx="8">
                  <c:v>9</c:v>
                </c:pt>
                <c:pt idx="9">
                  <c:v>10</c:v>
                </c:pt>
              </c:numCache>
            </c:numRef>
          </c:xVal>
          <c:yVal>
            <c:numRef>
              <c:f>Tutorial!$C$25:$C$34</c:f>
              <c:numCache>
                <c:formatCode>0.00</c:formatCode>
                <c:ptCount val="10"/>
                <c:pt idx="0">
                  <c:v>-2.0104505705240729</c:v>
                </c:pt>
                <c:pt idx="1">
                  <c:v>-0.82664925981617587</c:v>
                </c:pt>
                <c:pt idx="2">
                  <c:v>-1.0525984485611717</c:v>
                </c:pt>
                <c:pt idx="3">
                  <c:v>-2.0298527226372656</c:v>
                </c:pt>
                <c:pt idx="4">
                  <c:v>-1.6711925147681923</c:v>
                </c:pt>
                <c:pt idx="5">
                  <c:v>-0.88861426571088831</c:v>
                </c:pt>
                <c:pt idx="6">
                  <c:v>-0.66545648150113457</c:v>
                </c:pt>
                <c:pt idx="7">
                  <c:v>-1.8508986797116986</c:v>
                </c:pt>
                <c:pt idx="8">
                  <c:v>-1.810189530158125</c:v>
                </c:pt>
                <c:pt idx="9">
                  <c:v>-2.3847943930030837</c:v>
                </c:pt>
              </c:numCache>
            </c:numRef>
          </c:yVal>
          <c:smooth val="0"/>
          <c:extLst>
            <c:ext xmlns:c16="http://schemas.microsoft.com/office/drawing/2014/chart" uri="{C3380CC4-5D6E-409C-BE32-E72D297353CC}">
              <c16:uniqueId val="{0000004E-C8D6-46CF-B2D5-699C9D40525C}"/>
            </c:ext>
          </c:extLst>
        </c:ser>
        <c:ser>
          <c:idx val="1"/>
          <c:order val="1"/>
          <c:tx>
            <c:v>&lt;&lt; Points |$B$144:$B$153|$B$448 &gt;&gt;</c:v>
          </c:tx>
          <c:spPr>
            <a:solidFill>
              <a:srgbClr val="FFFFFF"/>
            </a:solidFill>
            <a:ln w="25400">
              <a:noFill/>
            </a:ln>
            <a:effectLst/>
          </c:spPr>
          <c:marker>
            <c:spPr>
              <a:solidFill>
                <a:srgbClr val="000000"/>
              </a:solidFill>
              <a:ln w="12700">
                <a:solidFill>
                  <a:srgbClr val="000000"/>
                </a:solidFill>
                <a:prstDash val="solid"/>
              </a:ln>
              <a:effectLst/>
            </c:spPr>
          </c:marker>
          <c:xVal>
            <c:numRef>
              <c:f>Tutorial!$B$25:$B$34</c:f>
              <c:numCache>
                <c:formatCode>General</c:formatCode>
                <c:ptCount val="10"/>
                <c:pt idx="0">
                  <c:v>1</c:v>
                </c:pt>
                <c:pt idx="1">
                  <c:v>2</c:v>
                </c:pt>
                <c:pt idx="2">
                  <c:v>3</c:v>
                </c:pt>
                <c:pt idx="3">
                  <c:v>4</c:v>
                </c:pt>
                <c:pt idx="4">
                  <c:v>5</c:v>
                </c:pt>
                <c:pt idx="5">
                  <c:v>6</c:v>
                </c:pt>
                <c:pt idx="6">
                  <c:v>7</c:v>
                </c:pt>
                <c:pt idx="7">
                  <c:v>8</c:v>
                </c:pt>
                <c:pt idx="8">
                  <c:v>9</c:v>
                </c:pt>
                <c:pt idx="9">
                  <c:v>10</c:v>
                </c:pt>
              </c:numCache>
            </c:numRef>
          </c:xVal>
          <c:yVal>
            <c:numRef>
              <c:f>Tutorial!$B$144:$B$153</c:f>
              <c:numCache>
                <c:formatCode>General</c:formatCode>
                <c:ptCount val="10"/>
                <c:pt idx="0">
                  <c:v>0.12886021132744796</c:v>
                </c:pt>
                <c:pt idx="1">
                  <c:v>-1.5359296198805543</c:v>
                </c:pt>
                <c:pt idx="2">
                  <c:v>-0.70236567214330137</c:v>
                </c:pt>
                <c:pt idx="3">
                  <c:v>-0.83847298324953723</c:v>
                </c:pt>
                <c:pt idx="4">
                  <c:v>-1.5939280240432498</c:v>
                </c:pt>
                <c:pt idx="5">
                  <c:v>-1.3525721107857231</c:v>
                </c:pt>
                <c:pt idx="6">
                  <c:v>-0.74170887398102292</c:v>
                </c:pt>
                <c:pt idx="7">
                  <c:v>-0.54335470012905551</c:v>
                </c:pt>
                <c:pt idx="8">
                  <c:v>-1.4435453839411188</c:v>
                </c:pt>
                <c:pt idx="9">
                  <c:v>-1.4524556676811251</c:v>
                </c:pt>
              </c:numCache>
            </c:numRef>
          </c:yVal>
          <c:smooth val="0"/>
          <c:extLst>
            <c:ext xmlns:c16="http://schemas.microsoft.com/office/drawing/2014/chart" uri="{C3380CC4-5D6E-409C-BE32-E72D297353CC}">
              <c16:uniqueId val="{0000004F-C8D6-46CF-B2D5-699C9D40525C}"/>
            </c:ext>
          </c:extLst>
        </c:ser>
        <c:dLbls>
          <c:showLegendKey val="0"/>
          <c:showVal val="0"/>
          <c:showCatName val="0"/>
          <c:showSerName val="0"/>
          <c:showPercent val="0"/>
          <c:showBubbleSize val="0"/>
        </c:dLbls>
        <c:axId val="1795817951"/>
        <c:axId val="1788256591"/>
      </c:scatterChart>
      <c:valAx>
        <c:axId val="1795817951"/>
        <c:scaling>
          <c:orientation val="minMax"/>
          <c:max val="10"/>
          <c:min val="0"/>
        </c:scaling>
        <c:delete val="0"/>
        <c:axPos val="b"/>
        <c:majorGridlines>
          <c:spPr>
            <a:ln w="12700" cap="flat" cmpd="sng" algn="ctr">
              <a:solidFill>
                <a:srgbClr val="F2F2F2">
                  <a:lumMod val="100000"/>
                  <a:alpha val="80000"/>
                </a:srgbClr>
              </a:solidFill>
              <a:prstDash val="dash"/>
              <a:round/>
              <a:headEnd type="none" w="med" len="med"/>
              <a:tailEnd type="none" w="med" len="med"/>
            </a:ln>
          </c:spPr>
        </c:majorGridlines>
        <c:numFmt formatCode="General" sourceLinked="1"/>
        <c:majorTickMark val="out"/>
        <c:minorTickMark val="none"/>
        <c:tickLblPos val="nextTo"/>
        <c:spPr>
          <a:ln>
            <a:solidFill>
              <a:schemeClr val="tx1"/>
            </a:solidFill>
          </a:ln>
        </c:spPr>
        <c:txPr>
          <a:bodyPr/>
          <a:lstStyle/>
          <a:p>
            <a:pPr>
              <a:defRPr>
                <a:solidFill>
                  <a:srgbClr val="A6A6A6"/>
                </a:solidFill>
                <a:latin typeface="Times New Roman"/>
                <a:ea typeface="Times New Roman"/>
                <a:cs typeface="Times New Roman"/>
              </a:defRPr>
            </a:pPr>
            <a:endParaRPr lang="en-US"/>
          </a:p>
        </c:txPr>
        <c:crossAx val="1788256591"/>
        <c:crosses val="min"/>
        <c:crossBetween val="midCat"/>
      </c:valAx>
      <c:valAx>
        <c:axId val="1788256591"/>
        <c:scaling>
          <c:orientation val="minMax"/>
        </c:scaling>
        <c:delete val="0"/>
        <c:axPos val="l"/>
        <c:majorGridlines>
          <c:spPr>
            <a:ln w="12700" cap="flat" cmpd="sng" algn="ctr">
              <a:solidFill>
                <a:srgbClr val="F2F2F2">
                  <a:lumMod val="100000"/>
                  <a:alpha val="80000"/>
                </a:srgbClr>
              </a:solidFill>
              <a:prstDash val="dash"/>
              <a:round/>
              <a:headEnd type="none" w="med" len="med"/>
              <a:tailEnd type="none" w="med" len="med"/>
            </a:ln>
          </c:spPr>
        </c:majorGridlines>
        <c:numFmt formatCode="0.00" sourceLinked="1"/>
        <c:majorTickMark val="out"/>
        <c:minorTickMark val="none"/>
        <c:tickLblPos val="nextTo"/>
        <c:spPr>
          <a:ln>
            <a:solidFill>
              <a:schemeClr val="tx1"/>
            </a:solidFill>
          </a:ln>
        </c:spPr>
        <c:txPr>
          <a:bodyPr/>
          <a:lstStyle/>
          <a:p>
            <a:pPr>
              <a:defRPr>
                <a:solidFill>
                  <a:srgbClr val="A6A6A6"/>
                </a:solidFill>
                <a:latin typeface="Times New Roman"/>
                <a:ea typeface="Times New Roman"/>
                <a:cs typeface="Times New Roman"/>
              </a:defRPr>
            </a:pPr>
            <a:endParaRPr lang="en-US"/>
          </a:p>
        </c:txPr>
        <c:crossAx val="1795817951"/>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&lt;&lt; Line |$V$4:$V$122|$B$310 &gt;&gt;</c:v>
          </c:tx>
          <c:spPr>
            <a:ln w="25400" cap="rnd" cmpd="sng" algn="ctr">
              <a:solidFill>
                <a:srgbClr val="FFFFFF"/>
              </a:solidFill>
              <a:prstDash val="solid"/>
              <a:round/>
              <a:headEnd type="none" w="med" len="med"/>
              <a:tailEnd type="none" w="med" len="med"/>
            </a:ln>
            <a:effectLst/>
          </c:spPr>
          <c:marker>
            <c:symbol val="none"/>
          </c:marker>
          <c:xVal>
            <c:numRef>
              <c:f>DATA!$H$4:$H$122</c:f>
              <c:numCache>
                <c:formatCode>General</c:formatCode>
                <c:ptCount val="1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numCache>
            </c:numRef>
          </c:xVal>
          <c:yVal>
            <c:numRef>
              <c:f>DATA!$V$4:$V$122</c:f>
              <c:numCache>
                <c:formatCode>0.00</c:formatCode>
                <c:ptCount val="119"/>
                <c:pt idx="0">
                  <c:v>-1.2747657362147315</c:v>
                </c:pt>
                <c:pt idx="1">
                  <c:v>-0.58724017764884762</c:v>
                </c:pt>
                <c:pt idx="2">
                  <c:v>-0.1694593810733076</c:v>
                </c:pt>
                <c:pt idx="3">
                  <c:v>0.54003213171776809</c:v>
                </c:pt>
                <c:pt idx="4">
                  <c:v>0.75767073663420426</c:v>
                </c:pt>
                <c:pt idx="5">
                  <c:v>-1.4271301852737119</c:v>
                </c:pt>
                <c:pt idx="6">
                  <c:v>-0.88407325459892738</c:v>
                </c:pt>
                <c:pt idx="7">
                  <c:v>0.72683273132563908</c:v>
                </c:pt>
                <c:pt idx="8">
                  <c:v>-0.52524877123880975</c:v>
                </c:pt>
                <c:pt idx="9">
                  <c:v>-1.0745962838628447</c:v>
                </c:pt>
                <c:pt idx="10">
                  <c:v>-0.91372867219850329</c:v>
                </c:pt>
                <c:pt idx="11">
                  <c:v>-0.27294962194640016</c:v>
                </c:pt>
                <c:pt idx="12">
                  <c:v>-1.3076137039668494</c:v>
                </c:pt>
                <c:pt idx="13">
                  <c:v>-0.81002903087426459</c:v>
                </c:pt>
                <c:pt idx="14">
                  <c:v>-1.0155132695837403</c:v>
                </c:pt>
                <c:pt idx="15">
                  <c:v>-1.9795032991544872</c:v>
                </c:pt>
                <c:pt idx="16">
                  <c:v>-2.1128216646769244</c:v>
                </c:pt>
                <c:pt idx="17">
                  <c:v>-3.9107573349670437</c:v>
                </c:pt>
                <c:pt idx="18">
                  <c:v>-2.851948736645423</c:v>
                </c:pt>
                <c:pt idx="19">
                  <c:v>-2.433897902267145</c:v>
                </c:pt>
                <c:pt idx="20">
                  <c:v>-3.401167080894143</c:v>
                </c:pt>
                <c:pt idx="21">
                  <c:v>-1.6651840440922494</c:v>
                </c:pt>
                <c:pt idx="22">
                  <c:v>-1.6037287453589824</c:v>
                </c:pt>
                <c:pt idx="23">
                  <c:v>-0.49141651495841543</c:v>
                </c:pt>
                <c:pt idx="24">
                  <c:v>1.0929251936013265</c:v>
                </c:pt>
                <c:pt idx="25">
                  <c:v>1.8269570549114655</c:v>
                </c:pt>
                <c:pt idx="26">
                  <c:v>1.7019251655417815</c:v>
                </c:pt>
                <c:pt idx="27">
                  <c:v>1.1208010159316135</c:v>
                </c:pt>
                <c:pt idx="28">
                  <c:v>1.3120640875788538</c:v>
                </c:pt>
                <c:pt idx="29">
                  <c:v>-0.25708783523314782</c:v>
                </c:pt>
                <c:pt idx="30">
                  <c:v>-1.9748878200437268</c:v>
                </c:pt>
                <c:pt idx="31">
                  <c:v>-1.9789268278625922</c:v>
                </c:pt>
                <c:pt idx="32">
                  <c:v>-2.2163099355003517</c:v>
                </c:pt>
                <c:pt idx="33">
                  <c:v>-2.175511392493465</c:v>
                </c:pt>
                <c:pt idx="34">
                  <c:v>-0.27539239690308381</c:v>
                </c:pt>
                <c:pt idx="35">
                  <c:v>-1.394638293448889</c:v>
                </c:pt>
                <c:pt idx="36">
                  <c:v>-1.386350233226191</c:v>
                </c:pt>
                <c:pt idx="37">
                  <c:v>-2.4221698087498744</c:v>
                </c:pt>
                <c:pt idx="38">
                  <c:v>-3.1193149187007068</c:v>
                </c:pt>
                <c:pt idx="39">
                  <c:v>-0.58087719654276526</c:v>
                </c:pt>
                <c:pt idx="40">
                  <c:v>-0.96487011088896812</c:v>
                </c:pt>
                <c:pt idx="41">
                  <c:v>-1.5005599823695857</c:v>
                </c:pt>
                <c:pt idx="42">
                  <c:v>-2.6477345514766668</c:v>
                </c:pt>
                <c:pt idx="43">
                  <c:v>-1.417356303892942</c:v>
                </c:pt>
                <c:pt idx="44">
                  <c:v>-2.3368992745231654</c:v>
                </c:pt>
                <c:pt idx="45">
                  <c:v>-3.7876707992166341</c:v>
                </c:pt>
                <c:pt idx="46">
                  <c:v>-2.5735688853242373</c:v>
                </c:pt>
                <c:pt idx="47">
                  <c:v>-1.3321273911875402</c:v>
                </c:pt>
                <c:pt idx="48">
                  <c:v>-1.4393469105989065</c:v>
                </c:pt>
                <c:pt idx="49">
                  <c:v>-1.3224994326264514</c:v>
                </c:pt>
                <c:pt idx="50">
                  <c:v>-2.2910015729417332</c:v>
                </c:pt>
                <c:pt idx="51">
                  <c:v>-0.48713583477618494</c:v>
                </c:pt>
                <c:pt idx="52">
                  <c:v>-1.4060352152021469</c:v>
                </c:pt>
                <c:pt idx="53">
                  <c:v>-1.0676034686265934</c:v>
                </c:pt>
                <c:pt idx="54">
                  <c:v>-0.46764235639181961</c:v>
                </c:pt>
                <c:pt idx="55">
                  <c:v>-2.1021603873908354</c:v>
                </c:pt>
                <c:pt idx="56">
                  <c:v>-1.5881953057684706</c:v>
                </c:pt>
                <c:pt idx="57">
                  <c:v>0.80906013015780287</c:v>
                </c:pt>
                <c:pt idx="58">
                  <c:v>1.4196875827706474</c:v>
                </c:pt>
                <c:pt idx="59">
                  <c:v>-0.61195500739519648</c:v>
                </c:pt>
                <c:pt idx="60">
                  <c:v>-1.1957990515473442</c:v>
                </c:pt>
                <c:pt idx="61">
                  <c:v>-2.7678216109410001</c:v>
                </c:pt>
                <c:pt idx="62">
                  <c:v>-1.777007001453585</c:v>
                </c:pt>
                <c:pt idx="63">
                  <c:v>-1.0035749687193094</c:v>
                </c:pt>
                <c:pt idx="64">
                  <c:v>-1.4139525182954045</c:v>
                </c:pt>
                <c:pt idx="65">
                  <c:v>-1.330250829675991</c:v>
                </c:pt>
                <c:pt idx="66">
                  <c:v>-1.5491284059365564</c:v>
                </c:pt>
                <c:pt idx="67">
                  <c:v>-1.5401038817841395</c:v>
                </c:pt>
                <c:pt idx="68">
                  <c:v>-1.606289025020065</c:v>
                </c:pt>
                <c:pt idx="69">
                  <c:v>-0.54888022666981739</c:v>
                </c:pt>
                <c:pt idx="70">
                  <c:v>-1.0269296597623376</c:v>
                </c:pt>
                <c:pt idx="71">
                  <c:v>-1.3154813760429491</c:v>
                </c:pt>
                <c:pt idx="72">
                  <c:v>-1.463161671361235</c:v>
                </c:pt>
                <c:pt idx="73">
                  <c:v>-0.14089939234442017</c:v>
                </c:pt>
                <c:pt idx="74">
                  <c:v>0.39263818450661292</c:v>
                </c:pt>
                <c:pt idx="75">
                  <c:v>-4.2617855081737654E-2</c:v>
                </c:pt>
                <c:pt idx="76">
                  <c:v>0.49244027663403472</c:v>
                </c:pt>
                <c:pt idx="77">
                  <c:v>-1.3654569359648017</c:v>
                </c:pt>
                <c:pt idx="78">
                  <c:v>-0.44469564278857132</c:v>
                </c:pt>
                <c:pt idx="79">
                  <c:v>-3.2491599424698125</c:v>
                </c:pt>
                <c:pt idx="80">
                  <c:v>-1.6905545291171455</c:v>
                </c:pt>
                <c:pt idx="81">
                  <c:v>-0.64466222549423868</c:v>
                </c:pt>
                <c:pt idx="82">
                  <c:v>-1.227390141771681</c:v>
                </c:pt>
                <c:pt idx="83">
                  <c:v>-1.0419854616374036</c:v>
                </c:pt>
                <c:pt idx="84">
                  <c:v>0.44135826841527892</c:v>
                </c:pt>
                <c:pt idx="85">
                  <c:v>-0.59432635984425319</c:v>
                </c:pt>
                <c:pt idx="86">
                  <c:v>-0.11142822994069745</c:v>
                </c:pt>
                <c:pt idx="87">
                  <c:v>-0.44243836781686008</c:v>
                </c:pt>
                <c:pt idx="88">
                  <c:v>-2.3152803739725409</c:v>
                </c:pt>
                <c:pt idx="89">
                  <c:v>-2.0855734450785808</c:v>
                </c:pt>
                <c:pt idx="90">
                  <c:v>-1.6351591104198195</c:v>
                </c:pt>
                <c:pt idx="91">
                  <c:v>-1.8789472419560236</c:v>
                </c:pt>
                <c:pt idx="92">
                  <c:v>-1.1439773155796322</c:v>
                </c:pt>
                <c:pt idx="93">
                  <c:v>-1.8433335386028491</c:v>
                </c:pt>
                <c:pt idx="94">
                  <c:v>-0.58657474252975361</c:v>
                </c:pt>
                <c:pt idx="95">
                  <c:v>-2.1258556581180725</c:v>
                </c:pt>
                <c:pt idx="96">
                  <c:v>-0.98580400117561584</c:v>
                </c:pt>
                <c:pt idx="97">
                  <c:v>-0.94426964942557245</c:v>
                </c:pt>
                <c:pt idx="98">
                  <c:v>-1.3640841351702329</c:v>
                </c:pt>
                <c:pt idx="99">
                  <c:v>-1.4200919877513098</c:v>
                </c:pt>
                <c:pt idx="100">
                  <c:v>-0.68227553889207726</c:v>
                </c:pt>
                <c:pt idx="101">
                  <c:v>1.126843828434031</c:v>
                </c:pt>
                <c:pt idx="102">
                  <c:v>2.3943124777757614</c:v>
                </c:pt>
                <c:pt idx="103">
                  <c:v>3.2648238986011182</c:v>
                </c:pt>
                <c:pt idx="104">
                  <c:v>1.8226268625589421</c:v>
                </c:pt>
                <c:pt idx="105">
                  <c:v>3.8942137459302648</c:v>
                </c:pt>
                <c:pt idx="106">
                  <c:v>4.1814279683958668</c:v>
                </c:pt>
                <c:pt idx="107">
                  <c:v>1.7689299933494633</c:v>
                </c:pt>
                <c:pt idx="108">
                  <c:v>8.0528712550017589E-2</c:v>
                </c:pt>
                <c:pt idx="109">
                  <c:v>-2.0104505705240729</c:v>
                </c:pt>
                <c:pt idx="110">
                  <c:v>-0.82664925981617587</c:v>
                </c:pt>
                <c:pt idx="111">
                  <c:v>-1.0525984485611717</c:v>
                </c:pt>
                <c:pt idx="112">
                  <c:v>-2.0298527226372656</c:v>
                </c:pt>
                <c:pt idx="113">
                  <c:v>-1.6711925147681923</c:v>
                </c:pt>
                <c:pt idx="114">
                  <c:v>-0.88861426571088831</c:v>
                </c:pt>
                <c:pt idx="115">
                  <c:v>-0.66545648150113457</c:v>
                </c:pt>
                <c:pt idx="116">
                  <c:v>-1.8508986797116986</c:v>
                </c:pt>
                <c:pt idx="117">
                  <c:v>-1.810189530158125</c:v>
                </c:pt>
                <c:pt idx="118">
                  <c:v>-2.3847943930030837</c:v>
                </c:pt>
              </c:numCache>
            </c:numRef>
          </c:yVal>
          <c:smooth val="0"/>
          <c:extLst>
            <c:ext xmlns:c16="http://schemas.microsoft.com/office/drawing/2014/chart" uri="{C3380CC4-5D6E-409C-BE32-E72D297353CC}">
              <c16:uniqueId val="{00000139-31D6-4C55-8DA6-34322E2DE57C}"/>
            </c:ext>
          </c:extLst>
        </c:ser>
        <c:dLbls>
          <c:showLegendKey val="0"/>
          <c:showVal val="0"/>
          <c:showCatName val="0"/>
          <c:showSerName val="0"/>
          <c:showPercent val="0"/>
          <c:showBubbleSize val="0"/>
        </c:dLbls>
        <c:axId val="1795813951"/>
        <c:axId val="1788268239"/>
      </c:scatterChart>
      <c:valAx>
        <c:axId val="1795813951"/>
        <c:scaling>
          <c:orientation val="minMax"/>
          <c:max val="134"/>
          <c:min val="1"/>
        </c:scaling>
        <c:delete val="0"/>
        <c:axPos val="b"/>
        <c:majorGridlines>
          <c:spPr>
            <a:ln w="12700" cap="flat" cmpd="sng" algn="ctr">
              <a:solidFill>
                <a:srgbClr val="F2F2F2">
                  <a:lumMod val="100000"/>
                  <a:alpha val="80000"/>
                </a:srgbClr>
              </a:solidFill>
              <a:prstDash val="dash"/>
              <a:round/>
              <a:headEnd type="none" w="med" len="med"/>
              <a:tailEnd type="none" w="med" len="med"/>
            </a:ln>
          </c:spPr>
        </c:majorGridlines>
        <c:numFmt formatCode="General" sourceLinked="1"/>
        <c:majorTickMark val="out"/>
        <c:minorTickMark val="none"/>
        <c:tickLblPos val="nextTo"/>
        <c:spPr>
          <a:ln>
            <a:solidFill>
              <a:schemeClr val="tx1"/>
            </a:solidFill>
          </a:ln>
        </c:spPr>
        <c:txPr>
          <a:bodyPr/>
          <a:lstStyle/>
          <a:p>
            <a:pPr>
              <a:defRPr>
                <a:solidFill>
                  <a:srgbClr val="A6A6A6"/>
                </a:solidFill>
                <a:latin typeface="Times New Roman"/>
                <a:ea typeface="Times New Roman"/>
                <a:cs typeface="Times New Roman"/>
              </a:defRPr>
            </a:pPr>
            <a:endParaRPr lang="en-US"/>
          </a:p>
        </c:txPr>
        <c:crossAx val="1788268239"/>
        <c:crosses val="min"/>
        <c:crossBetween val="midCat"/>
      </c:valAx>
      <c:valAx>
        <c:axId val="1788268239"/>
        <c:scaling>
          <c:orientation val="minMax"/>
          <c:min val="-5.7543803657962549"/>
        </c:scaling>
        <c:delete val="0"/>
        <c:axPos val="l"/>
        <c:majorGridlines>
          <c:spPr>
            <a:ln w="12700" cap="flat" cmpd="sng" algn="ctr">
              <a:solidFill>
                <a:srgbClr val="F2F2F2">
                  <a:lumMod val="100000"/>
                  <a:alpha val="80000"/>
                </a:srgbClr>
              </a:solidFill>
              <a:prstDash val="dash"/>
              <a:round/>
              <a:headEnd type="none" w="med" len="med"/>
              <a:tailEnd type="none" w="med" len="med"/>
            </a:ln>
          </c:spPr>
        </c:majorGridlines>
        <c:numFmt formatCode="0.00" sourceLinked="1"/>
        <c:majorTickMark val="out"/>
        <c:minorTickMark val="none"/>
        <c:tickLblPos val="nextTo"/>
        <c:spPr>
          <a:ln>
            <a:solidFill>
              <a:schemeClr val="tx1"/>
            </a:solidFill>
          </a:ln>
        </c:spPr>
        <c:txPr>
          <a:bodyPr/>
          <a:lstStyle/>
          <a:p>
            <a:pPr>
              <a:defRPr>
                <a:solidFill>
                  <a:srgbClr val="A6A6A6"/>
                </a:solidFill>
                <a:latin typeface="Times New Roman"/>
                <a:ea typeface="Times New Roman"/>
                <a:cs typeface="Times New Roman"/>
              </a:defRPr>
            </a:pPr>
            <a:endParaRPr lang="en-US"/>
          </a:p>
        </c:txPr>
        <c:crossAx val="1795813951"/>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&lt;&lt; Line |$C$25:$C$34|$B$268 &gt;&gt;</c:v>
          </c:tx>
          <c:spPr>
            <a:ln w="12700" cap="rnd" cmpd="sng" algn="ctr">
              <a:solidFill>
                <a:srgbClr val="000000"/>
              </a:solidFill>
              <a:prstDash val="solid"/>
              <a:round/>
              <a:headEnd type="none" w="med" len="med"/>
              <a:tailEnd type="none" w="med" len="med"/>
            </a:ln>
            <a:effectLst/>
          </c:spPr>
          <c:marker>
            <c:symbol val="none"/>
          </c:marker>
          <c:xVal>
            <c:numRef>
              <c:f>Tutorial!$B$25:$B$34</c:f>
              <c:numCache>
                <c:formatCode>General</c:formatCode>
                <c:ptCount val="10"/>
                <c:pt idx="0">
                  <c:v>1</c:v>
                </c:pt>
                <c:pt idx="1">
                  <c:v>2</c:v>
                </c:pt>
                <c:pt idx="2">
                  <c:v>3</c:v>
                </c:pt>
                <c:pt idx="3">
                  <c:v>4</c:v>
                </c:pt>
                <c:pt idx="4">
                  <c:v>5</c:v>
                </c:pt>
                <c:pt idx="5">
                  <c:v>6</c:v>
                </c:pt>
                <c:pt idx="6">
                  <c:v>7</c:v>
                </c:pt>
                <c:pt idx="7">
                  <c:v>8</c:v>
                </c:pt>
                <c:pt idx="8">
                  <c:v>9</c:v>
                </c:pt>
                <c:pt idx="9">
                  <c:v>10</c:v>
                </c:pt>
              </c:numCache>
            </c:numRef>
          </c:xVal>
          <c:yVal>
            <c:numRef>
              <c:f>Tutorial!$C$25:$C$34</c:f>
              <c:numCache>
                <c:formatCode>0.00</c:formatCode>
                <c:ptCount val="10"/>
                <c:pt idx="0">
                  <c:v>-2.0104505705240729</c:v>
                </c:pt>
                <c:pt idx="1">
                  <c:v>-0.82664925981617587</c:v>
                </c:pt>
                <c:pt idx="2">
                  <c:v>-1.0525984485611717</c:v>
                </c:pt>
                <c:pt idx="3">
                  <c:v>-2.0298527226372656</c:v>
                </c:pt>
                <c:pt idx="4">
                  <c:v>-1.6711925147681923</c:v>
                </c:pt>
                <c:pt idx="5">
                  <c:v>-0.88861426571088831</c:v>
                </c:pt>
                <c:pt idx="6">
                  <c:v>-0.66545648150113457</c:v>
                </c:pt>
                <c:pt idx="7">
                  <c:v>-1.8508986797116986</c:v>
                </c:pt>
                <c:pt idx="8">
                  <c:v>-1.810189530158125</c:v>
                </c:pt>
                <c:pt idx="9">
                  <c:v>-2.3847943930030837</c:v>
                </c:pt>
              </c:numCache>
            </c:numRef>
          </c:yVal>
          <c:smooth val="0"/>
          <c:extLst>
            <c:ext xmlns:c16="http://schemas.microsoft.com/office/drawing/2014/chart" uri="{C3380CC4-5D6E-409C-BE32-E72D297353CC}">
              <c16:uniqueId val="{00000123-DF5E-4EF5-BED7-1D20678C66CB}"/>
            </c:ext>
          </c:extLst>
        </c:ser>
        <c:dLbls>
          <c:showLegendKey val="0"/>
          <c:showVal val="0"/>
          <c:showCatName val="0"/>
          <c:showSerName val="0"/>
          <c:showPercent val="0"/>
          <c:showBubbleSize val="0"/>
        </c:dLbls>
        <c:axId val="1795821951"/>
        <c:axId val="1788244527"/>
      </c:scatterChart>
      <c:valAx>
        <c:axId val="1795821951"/>
        <c:scaling>
          <c:orientation val="minMax"/>
          <c:max val="20"/>
          <c:min val="1"/>
        </c:scaling>
        <c:delete val="0"/>
        <c:axPos val="b"/>
        <c:majorGridlines>
          <c:spPr>
            <a:ln w="12700" cap="flat" cmpd="sng" algn="ctr">
              <a:solidFill>
                <a:srgbClr val="F2F2F2">
                  <a:lumMod val="100000"/>
                  <a:alpha val="80000"/>
                </a:srgbClr>
              </a:solidFill>
              <a:prstDash val="dash"/>
              <a:round/>
              <a:headEnd type="none" w="med" len="med"/>
              <a:tailEnd type="none" w="med" len="med"/>
            </a:ln>
          </c:spPr>
        </c:majorGridlines>
        <c:numFmt formatCode="General" sourceLinked="1"/>
        <c:majorTickMark val="out"/>
        <c:minorTickMark val="none"/>
        <c:tickLblPos val="nextTo"/>
        <c:spPr>
          <a:ln>
            <a:solidFill>
              <a:schemeClr val="tx1"/>
            </a:solidFill>
          </a:ln>
        </c:spPr>
        <c:txPr>
          <a:bodyPr/>
          <a:lstStyle/>
          <a:p>
            <a:pPr>
              <a:defRPr>
                <a:solidFill>
                  <a:srgbClr val="A6A6A6"/>
                </a:solidFill>
                <a:latin typeface="Times New Roman"/>
                <a:ea typeface="Times New Roman"/>
                <a:cs typeface="Times New Roman"/>
              </a:defRPr>
            </a:pPr>
            <a:endParaRPr lang="en-US"/>
          </a:p>
        </c:txPr>
        <c:crossAx val="1788244527"/>
        <c:crosses val="min"/>
        <c:crossBetween val="midCat"/>
      </c:valAx>
      <c:valAx>
        <c:axId val="1788244527"/>
        <c:scaling>
          <c:orientation val="minMax"/>
          <c:max val="2.5138334646081439"/>
          <c:min val="-3.6931504971148752"/>
        </c:scaling>
        <c:delete val="0"/>
        <c:axPos val="l"/>
        <c:majorGridlines>
          <c:spPr>
            <a:ln w="12700" cap="flat" cmpd="sng" algn="ctr">
              <a:solidFill>
                <a:srgbClr val="F2F2F2">
                  <a:lumMod val="100000"/>
                  <a:alpha val="80000"/>
                </a:srgbClr>
              </a:solidFill>
              <a:prstDash val="dash"/>
              <a:round/>
              <a:headEnd type="none" w="med" len="med"/>
              <a:tailEnd type="none" w="med" len="med"/>
            </a:ln>
          </c:spPr>
        </c:majorGridlines>
        <c:numFmt formatCode="0.00" sourceLinked="1"/>
        <c:majorTickMark val="out"/>
        <c:minorTickMark val="none"/>
        <c:tickLblPos val="nextTo"/>
        <c:spPr>
          <a:ln>
            <a:solidFill>
              <a:schemeClr val="tx1"/>
            </a:solidFill>
          </a:ln>
        </c:spPr>
        <c:txPr>
          <a:bodyPr/>
          <a:lstStyle/>
          <a:p>
            <a:pPr>
              <a:defRPr>
                <a:solidFill>
                  <a:srgbClr val="A6A6A6"/>
                </a:solidFill>
                <a:latin typeface="Times New Roman"/>
                <a:ea typeface="Times New Roman"/>
                <a:cs typeface="Times New Roman"/>
              </a:defRPr>
            </a:pPr>
            <a:endParaRPr lang="en-US"/>
          </a:p>
        </c:txPr>
        <c:crossAx val="1795821951"/>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&lt;&lt; Line |$C$25:$C$34|$B$282 &gt;&gt;</c:v>
          </c:tx>
          <c:spPr>
            <a:ln w="12700" cap="rnd" cmpd="sng" algn="ctr">
              <a:solidFill>
                <a:srgbClr val="000000"/>
              </a:solidFill>
              <a:prstDash val="solid"/>
              <a:round/>
              <a:headEnd type="none" w="med" len="med"/>
              <a:tailEnd type="none" w="med" len="med"/>
            </a:ln>
            <a:effectLst>
              <a:glow rad="50800">
                <a:srgbClr val="00C78C">
                  <a:alpha val="70000"/>
                </a:srgbClr>
              </a:glow>
            </a:effectLst>
          </c:spPr>
          <c:marker>
            <c:symbol val="none"/>
          </c:marker>
          <c:xVal>
            <c:numRef>
              <c:f>Tutorial!$B$25:$B$34</c:f>
              <c:numCache>
                <c:formatCode>General</c:formatCode>
                <c:ptCount val="10"/>
                <c:pt idx="0">
                  <c:v>1</c:v>
                </c:pt>
                <c:pt idx="1">
                  <c:v>2</c:v>
                </c:pt>
                <c:pt idx="2">
                  <c:v>3</c:v>
                </c:pt>
                <c:pt idx="3">
                  <c:v>4</c:v>
                </c:pt>
                <c:pt idx="4">
                  <c:v>5</c:v>
                </c:pt>
                <c:pt idx="5">
                  <c:v>6</c:v>
                </c:pt>
                <c:pt idx="6">
                  <c:v>7</c:v>
                </c:pt>
                <c:pt idx="7">
                  <c:v>8</c:v>
                </c:pt>
                <c:pt idx="8">
                  <c:v>9</c:v>
                </c:pt>
                <c:pt idx="9">
                  <c:v>10</c:v>
                </c:pt>
              </c:numCache>
            </c:numRef>
          </c:xVal>
          <c:yVal>
            <c:numRef>
              <c:f>Tutorial!$C$25:$C$34</c:f>
              <c:numCache>
                <c:formatCode>0.00</c:formatCode>
                <c:ptCount val="10"/>
                <c:pt idx="0">
                  <c:v>-2.0104505705240729</c:v>
                </c:pt>
                <c:pt idx="1">
                  <c:v>-0.82664925981617587</c:v>
                </c:pt>
                <c:pt idx="2">
                  <c:v>-1.0525984485611717</c:v>
                </c:pt>
                <c:pt idx="3">
                  <c:v>-2.0298527226372656</c:v>
                </c:pt>
                <c:pt idx="4">
                  <c:v>-1.6711925147681923</c:v>
                </c:pt>
                <c:pt idx="5">
                  <c:v>-0.88861426571088831</c:v>
                </c:pt>
                <c:pt idx="6">
                  <c:v>-0.66545648150113457</c:v>
                </c:pt>
                <c:pt idx="7">
                  <c:v>-1.8508986797116986</c:v>
                </c:pt>
                <c:pt idx="8">
                  <c:v>-1.810189530158125</c:v>
                </c:pt>
                <c:pt idx="9">
                  <c:v>-2.3847943930030837</c:v>
                </c:pt>
              </c:numCache>
            </c:numRef>
          </c:yVal>
          <c:smooth val="0"/>
          <c:extLst>
            <c:ext xmlns:c16="http://schemas.microsoft.com/office/drawing/2014/chart" uri="{C3380CC4-5D6E-409C-BE32-E72D297353CC}">
              <c16:uniqueId val="{00000243-F848-4F1B-AA4E-F5B734153D89}"/>
            </c:ext>
          </c:extLst>
        </c:ser>
        <c:ser>
          <c:idx val="1"/>
          <c:order val="1"/>
          <c:tx>
            <c:v>&lt;&lt; Line |$B$144:$B$153|$B$282 &gt;&gt;</c:v>
          </c:tx>
          <c:spPr>
            <a:ln w="12700" cap="rnd" cmpd="sng" algn="ctr">
              <a:solidFill>
                <a:srgbClr val="000000"/>
              </a:solidFill>
              <a:prstDash val="solid"/>
              <a:round/>
              <a:headEnd type="none" w="med" len="med"/>
              <a:tailEnd type="none" w="med" len="med"/>
            </a:ln>
            <a:effectLst>
              <a:glow rad="50800">
                <a:srgbClr val="1E90FF">
                  <a:alpha val="40000"/>
                </a:srgbClr>
              </a:glow>
            </a:effectLst>
          </c:spPr>
          <c:marker>
            <c:symbol val="none"/>
          </c:marker>
          <c:xVal>
            <c:numRef>
              <c:f>Tutorial!$B$25:$B$34</c:f>
              <c:numCache>
                <c:formatCode>General</c:formatCode>
                <c:ptCount val="10"/>
                <c:pt idx="0">
                  <c:v>1</c:v>
                </c:pt>
                <c:pt idx="1">
                  <c:v>2</c:v>
                </c:pt>
                <c:pt idx="2">
                  <c:v>3</c:v>
                </c:pt>
                <c:pt idx="3">
                  <c:v>4</c:v>
                </c:pt>
                <c:pt idx="4">
                  <c:v>5</c:v>
                </c:pt>
                <c:pt idx="5">
                  <c:v>6</c:v>
                </c:pt>
                <c:pt idx="6">
                  <c:v>7</c:v>
                </c:pt>
                <c:pt idx="7">
                  <c:v>8</c:v>
                </c:pt>
                <c:pt idx="8">
                  <c:v>9</c:v>
                </c:pt>
                <c:pt idx="9">
                  <c:v>10</c:v>
                </c:pt>
              </c:numCache>
            </c:numRef>
          </c:xVal>
          <c:yVal>
            <c:numRef>
              <c:f>Tutorial!$B$144:$B$153</c:f>
              <c:numCache>
                <c:formatCode>General</c:formatCode>
                <c:ptCount val="10"/>
                <c:pt idx="0">
                  <c:v>0.12886021132744796</c:v>
                </c:pt>
                <c:pt idx="1">
                  <c:v>-1.5359296198805543</c:v>
                </c:pt>
                <c:pt idx="2">
                  <c:v>-0.70236567214330137</c:v>
                </c:pt>
                <c:pt idx="3">
                  <c:v>-0.83847298324953723</c:v>
                </c:pt>
                <c:pt idx="4">
                  <c:v>-1.5939280240432498</c:v>
                </c:pt>
                <c:pt idx="5">
                  <c:v>-1.3525721107857231</c:v>
                </c:pt>
                <c:pt idx="6">
                  <c:v>-0.74170887398102292</c:v>
                </c:pt>
                <c:pt idx="7">
                  <c:v>-0.54335470012905551</c:v>
                </c:pt>
                <c:pt idx="8">
                  <c:v>-1.4435453839411188</c:v>
                </c:pt>
                <c:pt idx="9">
                  <c:v>-1.4524556676811251</c:v>
                </c:pt>
              </c:numCache>
            </c:numRef>
          </c:yVal>
          <c:smooth val="0"/>
          <c:extLst>
            <c:ext xmlns:c16="http://schemas.microsoft.com/office/drawing/2014/chart" uri="{C3380CC4-5D6E-409C-BE32-E72D297353CC}">
              <c16:uniqueId val="{00000244-F848-4F1B-AA4E-F5B734153D89}"/>
            </c:ext>
          </c:extLst>
        </c:ser>
        <c:dLbls>
          <c:showLegendKey val="0"/>
          <c:showVal val="0"/>
          <c:showCatName val="0"/>
          <c:showSerName val="0"/>
          <c:showPercent val="0"/>
          <c:showBubbleSize val="0"/>
        </c:dLbls>
        <c:axId val="1795809151"/>
        <c:axId val="1788292367"/>
      </c:scatterChart>
      <c:valAx>
        <c:axId val="1795809151"/>
        <c:scaling>
          <c:orientation val="minMax"/>
          <c:max val="20"/>
          <c:min val="1"/>
        </c:scaling>
        <c:delete val="0"/>
        <c:axPos val="b"/>
        <c:majorGridlines>
          <c:spPr>
            <a:ln w="12700" cap="flat" cmpd="sng" algn="ctr">
              <a:solidFill>
                <a:srgbClr val="F2F2F2">
                  <a:lumMod val="100000"/>
                  <a:alpha val="80000"/>
                </a:srgbClr>
              </a:solidFill>
              <a:prstDash val="dash"/>
              <a:round/>
              <a:headEnd type="none" w="med" len="med"/>
              <a:tailEnd type="none" w="med" len="med"/>
            </a:ln>
          </c:spPr>
        </c:majorGridlines>
        <c:numFmt formatCode="General" sourceLinked="1"/>
        <c:majorTickMark val="out"/>
        <c:minorTickMark val="none"/>
        <c:tickLblPos val="nextTo"/>
        <c:spPr>
          <a:ln>
            <a:solidFill>
              <a:schemeClr val="tx1"/>
            </a:solidFill>
          </a:ln>
        </c:spPr>
        <c:txPr>
          <a:bodyPr/>
          <a:lstStyle/>
          <a:p>
            <a:pPr>
              <a:defRPr>
                <a:solidFill>
                  <a:srgbClr val="A6A6A6"/>
                </a:solidFill>
                <a:latin typeface="Times New Roman"/>
                <a:ea typeface="Times New Roman"/>
                <a:cs typeface="Times New Roman"/>
              </a:defRPr>
            </a:pPr>
            <a:endParaRPr lang="en-US"/>
          </a:p>
        </c:txPr>
        <c:crossAx val="1788292367"/>
        <c:crosses val="min"/>
        <c:crossBetween val="midCat"/>
      </c:valAx>
      <c:valAx>
        <c:axId val="1788292367"/>
        <c:scaling>
          <c:orientation val="minMax"/>
          <c:max val="2.5138334646081439"/>
          <c:min val="-3.6931504971148752"/>
        </c:scaling>
        <c:delete val="0"/>
        <c:axPos val="l"/>
        <c:majorGridlines>
          <c:spPr>
            <a:ln w="12700" cap="flat" cmpd="sng" algn="ctr">
              <a:solidFill>
                <a:srgbClr val="F2F2F2">
                  <a:lumMod val="100000"/>
                  <a:alpha val="80000"/>
                </a:srgbClr>
              </a:solidFill>
              <a:prstDash val="dash"/>
              <a:round/>
              <a:headEnd type="none" w="med" len="med"/>
              <a:tailEnd type="none" w="med" len="med"/>
            </a:ln>
          </c:spPr>
        </c:majorGridlines>
        <c:numFmt formatCode="0.00" sourceLinked="1"/>
        <c:majorTickMark val="out"/>
        <c:minorTickMark val="none"/>
        <c:tickLblPos val="nextTo"/>
        <c:spPr>
          <a:ln>
            <a:solidFill>
              <a:schemeClr val="tx1"/>
            </a:solidFill>
          </a:ln>
        </c:spPr>
        <c:txPr>
          <a:bodyPr/>
          <a:lstStyle/>
          <a:p>
            <a:pPr>
              <a:defRPr>
                <a:solidFill>
                  <a:srgbClr val="A6A6A6"/>
                </a:solidFill>
                <a:latin typeface="Times New Roman"/>
                <a:ea typeface="Times New Roman"/>
                <a:cs typeface="Times New Roman"/>
              </a:defRPr>
            </a:pPr>
            <a:endParaRPr lang="en-US"/>
          </a:p>
        </c:txPr>
        <c:crossAx val="1795809151"/>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&lt;&lt; Line |$C$25:$C$34|$F$268 &gt;&gt;</c:v>
          </c:tx>
          <c:spPr>
            <a:ln w="12700" cap="rnd" cmpd="sng" algn="ctr">
              <a:solidFill>
                <a:srgbClr val="000000"/>
              </a:solidFill>
              <a:prstDash val="solid"/>
              <a:round/>
              <a:headEnd type="none" w="med" len="med"/>
              <a:tailEnd type="none" w="med" len="med"/>
            </a:ln>
            <a:effectLst/>
          </c:spPr>
          <c:marker>
            <c:symbol val="none"/>
          </c:marker>
          <c:xVal>
            <c:numRef>
              <c:f>Tutorial!$B$25:$B$34</c:f>
              <c:numCache>
                <c:formatCode>General</c:formatCode>
                <c:ptCount val="10"/>
                <c:pt idx="0">
                  <c:v>1</c:v>
                </c:pt>
                <c:pt idx="1">
                  <c:v>2</c:v>
                </c:pt>
                <c:pt idx="2">
                  <c:v>3</c:v>
                </c:pt>
                <c:pt idx="3">
                  <c:v>4</c:v>
                </c:pt>
                <c:pt idx="4">
                  <c:v>5</c:v>
                </c:pt>
                <c:pt idx="5">
                  <c:v>6</c:v>
                </c:pt>
                <c:pt idx="6">
                  <c:v>7</c:v>
                </c:pt>
                <c:pt idx="7">
                  <c:v>8</c:v>
                </c:pt>
                <c:pt idx="8">
                  <c:v>9</c:v>
                </c:pt>
                <c:pt idx="9">
                  <c:v>10</c:v>
                </c:pt>
              </c:numCache>
            </c:numRef>
          </c:xVal>
          <c:yVal>
            <c:numRef>
              <c:f>Tutorial!$C$25:$C$34</c:f>
              <c:numCache>
                <c:formatCode>0.00</c:formatCode>
                <c:ptCount val="10"/>
                <c:pt idx="0">
                  <c:v>-2.0104505705240729</c:v>
                </c:pt>
                <c:pt idx="1">
                  <c:v>-0.82664925981617587</c:v>
                </c:pt>
                <c:pt idx="2">
                  <c:v>-1.0525984485611717</c:v>
                </c:pt>
                <c:pt idx="3">
                  <c:v>-2.0298527226372656</c:v>
                </c:pt>
                <c:pt idx="4">
                  <c:v>-1.6711925147681923</c:v>
                </c:pt>
                <c:pt idx="5">
                  <c:v>-0.88861426571088831</c:v>
                </c:pt>
                <c:pt idx="6">
                  <c:v>-0.66545648150113457</c:v>
                </c:pt>
                <c:pt idx="7">
                  <c:v>-1.8508986797116986</c:v>
                </c:pt>
                <c:pt idx="8">
                  <c:v>-1.810189530158125</c:v>
                </c:pt>
                <c:pt idx="9">
                  <c:v>-2.3847943930030837</c:v>
                </c:pt>
              </c:numCache>
            </c:numRef>
          </c:yVal>
          <c:smooth val="0"/>
          <c:extLst>
            <c:ext xmlns:c16="http://schemas.microsoft.com/office/drawing/2014/chart" uri="{C3380CC4-5D6E-409C-BE32-E72D297353CC}">
              <c16:uniqueId val="{00000123-4097-4B3B-94D4-11BE64E91DD2}"/>
            </c:ext>
          </c:extLst>
        </c:ser>
        <c:dLbls>
          <c:showLegendKey val="0"/>
          <c:showVal val="0"/>
          <c:showCatName val="0"/>
          <c:showSerName val="0"/>
          <c:showPercent val="0"/>
          <c:showBubbleSize val="0"/>
        </c:dLbls>
        <c:axId val="1795836351"/>
        <c:axId val="1788293615"/>
      </c:scatterChart>
      <c:valAx>
        <c:axId val="1795836351"/>
        <c:scaling>
          <c:orientation val="minMax"/>
          <c:max val="20"/>
          <c:min val="1"/>
        </c:scaling>
        <c:delete val="0"/>
        <c:axPos val="b"/>
        <c:majorGridlines>
          <c:spPr>
            <a:ln w="12700" cap="flat" cmpd="sng" algn="ctr">
              <a:solidFill>
                <a:srgbClr val="F2F2F2">
                  <a:lumMod val="100000"/>
                  <a:alpha val="80000"/>
                </a:srgbClr>
              </a:solidFill>
              <a:prstDash val="dash"/>
              <a:round/>
              <a:headEnd type="none" w="med" len="med"/>
              <a:tailEnd type="none" w="med" len="med"/>
            </a:ln>
          </c:spPr>
        </c:majorGridlines>
        <c:numFmt formatCode="General" sourceLinked="1"/>
        <c:majorTickMark val="out"/>
        <c:minorTickMark val="none"/>
        <c:tickLblPos val="nextTo"/>
        <c:spPr>
          <a:ln>
            <a:solidFill>
              <a:schemeClr val="tx1"/>
            </a:solidFill>
          </a:ln>
        </c:spPr>
        <c:txPr>
          <a:bodyPr/>
          <a:lstStyle/>
          <a:p>
            <a:pPr>
              <a:defRPr>
                <a:solidFill>
                  <a:srgbClr val="A6A6A6"/>
                </a:solidFill>
                <a:latin typeface="Times New Roman"/>
                <a:ea typeface="Times New Roman"/>
                <a:cs typeface="Times New Roman"/>
              </a:defRPr>
            </a:pPr>
            <a:endParaRPr lang="en-US"/>
          </a:p>
        </c:txPr>
        <c:crossAx val="1788293615"/>
        <c:crosses val="min"/>
        <c:crossBetween val="midCat"/>
      </c:valAx>
      <c:valAx>
        <c:axId val="1788293615"/>
        <c:scaling>
          <c:orientation val="minMax"/>
          <c:max val="2.5138334646081439"/>
          <c:min val="-3.6931504971148752"/>
        </c:scaling>
        <c:delete val="0"/>
        <c:axPos val="l"/>
        <c:majorGridlines>
          <c:spPr>
            <a:ln w="12700" cap="flat" cmpd="sng" algn="ctr">
              <a:solidFill>
                <a:srgbClr val="F2F2F2">
                  <a:lumMod val="100000"/>
                  <a:alpha val="80000"/>
                </a:srgbClr>
              </a:solidFill>
              <a:prstDash val="dash"/>
              <a:round/>
              <a:headEnd type="none" w="med" len="med"/>
              <a:tailEnd type="none" w="med" len="med"/>
            </a:ln>
          </c:spPr>
        </c:majorGridlines>
        <c:numFmt formatCode="0.00" sourceLinked="1"/>
        <c:majorTickMark val="out"/>
        <c:minorTickMark val="none"/>
        <c:tickLblPos val="nextTo"/>
        <c:spPr>
          <a:ln>
            <a:solidFill>
              <a:schemeClr val="tx1"/>
            </a:solidFill>
          </a:ln>
        </c:spPr>
        <c:txPr>
          <a:bodyPr/>
          <a:lstStyle/>
          <a:p>
            <a:pPr>
              <a:defRPr>
                <a:solidFill>
                  <a:srgbClr val="A6A6A6"/>
                </a:solidFill>
                <a:latin typeface="Times New Roman"/>
                <a:ea typeface="Times New Roman"/>
                <a:cs typeface="Times New Roman"/>
              </a:defRPr>
            </a:pPr>
            <a:endParaRPr lang="en-US"/>
          </a:p>
        </c:txPr>
        <c:crossAx val="1795836351"/>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&lt;&lt; Line |$C$25:$C$34|$G$38 &gt;&gt;</c:v>
          </c:tx>
          <c:spPr>
            <a:ln w="12700" cap="rnd" cmpd="sng" algn="ctr">
              <a:solidFill>
                <a:srgbClr val="000000"/>
              </a:solidFill>
              <a:prstDash val="solid"/>
              <a:round/>
              <a:headEnd type="none" w="med" len="med"/>
              <a:tailEnd type="none" w="med" len="med"/>
            </a:ln>
            <a:effectLst/>
          </c:spPr>
          <c:marker>
            <c:symbol val="none"/>
          </c:marker>
          <c:xVal>
            <c:numRef>
              <c:f>Tutorial!$B$25:$B$34</c:f>
              <c:numCache>
                <c:formatCode>General</c:formatCode>
                <c:ptCount val="10"/>
                <c:pt idx="0">
                  <c:v>1</c:v>
                </c:pt>
                <c:pt idx="1">
                  <c:v>2</c:v>
                </c:pt>
                <c:pt idx="2">
                  <c:v>3</c:v>
                </c:pt>
                <c:pt idx="3">
                  <c:v>4</c:v>
                </c:pt>
                <c:pt idx="4">
                  <c:v>5</c:v>
                </c:pt>
                <c:pt idx="5">
                  <c:v>6</c:v>
                </c:pt>
                <c:pt idx="6">
                  <c:v>7</c:v>
                </c:pt>
                <c:pt idx="7">
                  <c:v>8</c:v>
                </c:pt>
                <c:pt idx="8">
                  <c:v>9</c:v>
                </c:pt>
                <c:pt idx="9">
                  <c:v>10</c:v>
                </c:pt>
              </c:numCache>
            </c:numRef>
          </c:xVal>
          <c:yVal>
            <c:numRef>
              <c:f>Tutorial!$C$25:$C$34</c:f>
              <c:numCache>
                <c:formatCode>0.00</c:formatCode>
                <c:ptCount val="10"/>
                <c:pt idx="0">
                  <c:v>-2.0104505705240729</c:v>
                </c:pt>
                <c:pt idx="1">
                  <c:v>-0.82664925981617587</c:v>
                </c:pt>
                <c:pt idx="2">
                  <c:v>-1.0525984485611717</c:v>
                </c:pt>
                <c:pt idx="3">
                  <c:v>-2.0298527226372656</c:v>
                </c:pt>
                <c:pt idx="4">
                  <c:v>-1.6711925147681923</c:v>
                </c:pt>
                <c:pt idx="5">
                  <c:v>-0.88861426571088831</c:v>
                </c:pt>
                <c:pt idx="6">
                  <c:v>-0.66545648150113457</c:v>
                </c:pt>
                <c:pt idx="7">
                  <c:v>-1.8508986797116986</c:v>
                </c:pt>
                <c:pt idx="8">
                  <c:v>-1.810189530158125</c:v>
                </c:pt>
                <c:pt idx="9">
                  <c:v>-2.3847943930030837</c:v>
                </c:pt>
              </c:numCache>
            </c:numRef>
          </c:yVal>
          <c:smooth val="0"/>
          <c:extLst>
            <c:ext xmlns:c16="http://schemas.microsoft.com/office/drawing/2014/chart" uri="{C3380CC4-5D6E-409C-BE32-E72D297353CC}">
              <c16:uniqueId val="{00000023-1E0E-49E2-B0DB-B78B698F731B}"/>
            </c:ext>
          </c:extLst>
        </c:ser>
        <c:dLbls>
          <c:showLegendKey val="0"/>
          <c:showVal val="0"/>
          <c:showCatName val="0"/>
          <c:showSerName val="0"/>
          <c:showPercent val="0"/>
          <c:showBubbleSize val="0"/>
        </c:dLbls>
        <c:axId val="1795788751"/>
        <c:axId val="1788256175"/>
      </c:scatterChart>
      <c:valAx>
        <c:axId val="1795788751"/>
        <c:scaling>
          <c:orientation val="minMax"/>
          <c:max val="10"/>
          <c:min val="1"/>
        </c:scaling>
        <c:delete val="0"/>
        <c:axPos val="b"/>
        <c:majorGridlines>
          <c:spPr>
            <a:ln w="12700" cap="flat" cmpd="sng" algn="ctr">
              <a:solidFill>
                <a:srgbClr val="F2F2F2">
                  <a:lumMod val="100000"/>
                  <a:alpha val="80000"/>
                </a:srgbClr>
              </a:solidFill>
              <a:prstDash val="dash"/>
              <a:round/>
              <a:headEnd type="none" w="med" len="med"/>
              <a:tailEnd type="none" w="med" len="med"/>
            </a:ln>
          </c:spPr>
        </c:majorGridlines>
        <c:numFmt formatCode="General" sourceLinked="1"/>
        <c:majorTickMark val="out"/>
        <c:minorTickMark val="none"/>
        <c:tickLblPos val="nextTo"/>
        <c:spPr>
          <a:ln>
            <a:solidFill>
              <a:schemeClr val="tx1"/>
            </a:solidFill>
          </a:ln>
        </c:spPr>
        <c:txPr>
          <a:bodyPr/>
          <a:lstStyle/>
          <a:p>
            <a:pPr>
              <a:defRPr>
                <a:solidFill>
                  <a:srgbClr val="A6A6A6"/>
                </a:solidFill>
                <a:latin typeface="Times New Roman"/>
                <a:ea typeface="Times New Roman"/>
                <a:cs typeface="Times New Roman"/>
              </a:defRPr>
            </a:pPr>
            <a:endParaRPr lang="en-US"/>
          </a:p>
        </c:txPr>
        <c:crossAx val="1788256175"/>
        <c:crosses val="min"/>
        <c:crossBetween val="midCat"/>
      </c:valAx>
      <c:valAx>
        <c:axId val="1788256175"/>
        <c:scaling>
          <c:orientation val="minMax"/>
        </c:scaling>
        <c:delete val="0"/>
        <c:axPos val="l"/>
        <c:majorGridlines>
          <c:spPr>
            <a:ln w="12700" cap="flat" cmpd="sng" algn="ctr">
              <a:solidFill>
                <a:srgbClr val="F2F2F2">
                  <a:lumMod val="100000"/>
                  <a:alpha val="80000"/>
                </a:srgbClr>
              </a:solidFill>
              <a:prstDash val="dash"/>
              <a:round/>
              <a:headEnd type="none" w="med" len="med"/>
              <a:tailEnd type="none" w="med" len="med"/>
            </a:ln>
          </c:spPr>
        </c:majorGridlines>
        <c:numFmt formatCode="0.00" sourceLinked="1"/>
        <c:majorTickMark val="out"/>
        <c:minorTickMark val="none"/>
        <c:tickLblPos val="nextTo"/>
        <c:spPr>
          <a:ln>
            <a:solidFill>
              <a:schemeClr val="tx1"/>
            </a:solidFill>
          </a:ln>
        </c:spPr>
        <c:txPr>
          <a:bodyPr/>
          <a:lstStyle/>
          <a:p>
            <a:pPr>
              <a:defRPr>
                <a:solidFill>
                  <a:srgbClr val="A6A6A6"/>
                </a:solidFill>
                <a:latin typeface="Times New Roman"/>
                <a:ea typeface="Times New Roman"/>
                <a:cs typeface="Times New Roman"/>
              </a:defRPr>
            </a:pPr>
            <a:endParaRPr lang="en-US"/>
          </a:p>
        </c:txPr>
        <c:crossAx val="1795788751"/>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solidFill>
        <a:srgbClr val="000000"/>
      </a:solidFill>
    </a:ln>
    <a:extLst>
      <a:ext uri="{909E8E84-426E-40DD-AFC4-6F175D3DCCD1}">
        <a14:hiddenFill xmlns:a14="http://schemas.microsoft.com/office/drawing/2010/main">
          <a:solidFill>
            <a:sysClr val="window" lastClr="FFFFFF"/>
          </a:solidFill>
        </a14:hiddenFill>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&lt;&lt; Line |$B$4:$B$2517|$B$330 &gt;&gt;</c:v>
          </c:tx>
          <c:spPr>
            <a:ln w="12700" cap="rnd" cmpd="sng" algn="ctr">
              <a:solidFill>
                <a:srgbClr val="000000"/>
              </a:solidFill>
              <a:prstDash val="solid"/>
              <a:round/>
              <a:headEnd type="none" w="med" len="med"/>
              <a:tailEnd type="none" w="med" len="med"/>
            </a:ln>
            <a:effectLst/>
          </c:spPr>
          <c:marker>
            <c:symbol val="none"/>
          </c:marker>
          <c:xVal>
            <c:numRef>
              <c:f>DATA!$A$4:$A$2517</c:f>
              <c:numCache>
                <c:formatCode>d\-mmm\-yy</c:formatCode>
                <c:ptCount val="2514"/>
                <c:pt idx="0">
                  <c:v>36892</c:v>
                </c:pt>
                <c:pt idx="1">
                  <c:v>36893</c:v>
                </c:pt>
                <c:pt idx="2">
                  <c:v>36894</c:v>
                </c:pt>
                <c:pt idx="3">
                  <c:v>36895</c:v>
                </c:pt>
                <c:pt idx="4">
                  <c:v>36896</c:v>
                </c:pt>
                <c:pt idx="5">
                  <c:v>36899</c:v>
                </c:pt>
                <c:pt idx="6">
                  <c:v>36900</c:v>
                </c:pt>
                <c:pt idx="7">
                  <c:v>36901</c:v>
                </c:pt>
                <c:pt idx="8">
                  <c:v>36902</c:v>
                </c:pt>
                <c:pt idx="9">
                  <c:v>36903</c:v>
                </c:pt>
                <c:pt idx="10">
                  <c:v>36907</c:v>
                </c:pt>
                <c:pt idx="11">
                  <c:v>36908</c:v>
                </c:pt>
                <c:pt idx="12">
                  <c:v>36909</c:v>
                </c:pt>
                <c:pt idx="13">
                  <c:v>36910</c:v>
                </c:pt>
                <c:pt idx="14">
                  <c:v>36913</c:v>
                </c:pt>
                <c:pt idx="15">
                  <c:v>36914</c:v>
                </c:pt>
                <c:pt idx="16">
                  <c:v>36915</c:v>
                </c:pt>
                <c:pt idx="17">
                  <c:v>36916</c:v>
                </c:pt>
                <c:pt idx="18">
                  <c:v>36917</c:v>
                </c:pt>
                <c:pt idx="19">
                  <c:v>36920</c:v>
                </c:pt>
                <c:pt idx="20">
                  <c:v>36921</c:v>
                </c:pt>
                <c:pt idx="21">
                  <c:v>36922</c:v>
                </c:pt>
                <c:pt idx="22">
                  <c:v>36923</c:v>
                </c:pt>
                <c:pt idx="23">
                  <c:v>36924</c:v>
                </c:pt>
                <c:pt idx="24">
                  <c:v>36927</c:v>
                </c:pt>
                <c:pt idx="25">
                  <c:v>36928</c:v>
                </c:pt>
                <c:pt idx="26">
                  <c:v>36929</c:v>
                </c:pt>
                <c:pt idx="27">
                  <c:v>36930</c:v>
                </c:pt>
                <c:pt idx="28">
                  <c:v>36931</c:v>
                </c:pt>
                <c:pt idx="29">
                  <c:v>36934</c:v>
                </c:pt>
                <c:pt idx="30">
                  <c:v>36935</c:v>
                </c:pt>
                <c:pt idx="31">
                  <c:v>36936</c:v>
                </c:pt>
                <c:pt idx="32">
                  <c:v>36937</c:v>
                </c:pt>
                <c:pt idx="33">
                  <c:v>36938</c:v>
                </c:pt>
                <c:pt idx="34">
                  <c:v>36942</c:v>
                </c:pt>
                <c:pt idx="35">
                  <c:v>36943</c:v>
                </c:pt>
                <c:pt idx="36">
                  <c:v>36944</c:v>
                </c:pt>
                <c:pt idx="37">
                  <c:v>36945</c:v>
                </c:pt>
                <c:pt idx="38">
                  <c:v>36948</c:v>
                </c:pt>
                <c:pt idx="39">
                  <c:v>36949</c:v>
                </c:pt>
                <c:pt idx="40">
                  <c:v>36950</c:v>
                </c:pt>
                <c:pt idx="41">
                  <c:v>36951</c:v>
                </c:pt>
                <c:pt idx="42">
                  <c:v>36952</c:v>
                </c:pt>
                <c:pt idx="43">
                  <c:v>36955</c:v>
                </c:pt>
                <c:pt idx="44">
                  <c:v>36956</c:v>
                </c:pt>
                <c:pt idx="45">
                  <c:v>36957</c:v>
                </c:pt>
                <c:pt idx="46">
                  <c:v>36958</c:v>
                </c:pt>
                <c:pt idx="47">
                  <c:v>36959</c:v>
                </c:pt>
                <c:pt idx="48">
                  <c:v>36962</c:v>
                </c:pt>
                <c:pt idx="49">
                  <c:v>36963</c:v>
                </c:pt>
                <c:pt idx="50">
                  <c:v>36964</c:v>
                </c:pt>
                <c:pt idx="51">
                  <c:v>36965</c:v>
                </c:pt>
                <c:pt idx="52">
                  <c:v>36966</c:v>
                </c:pt>
                <c:pt idx="53">
                  <c:v>36969</c:v>
                </c:pt>
                <c:pt idx="54">
                  <c:v>36970</c:v>
                </c:pt>
                <c:pt idx="55">
                  <c:v>36971</c:v>
                </c:pt>
                <c:pt idx="56">
                  <c:v>36972</c:v>
                </c:pt>
                <c:pt idx="57">
                  <c:v>36973</c:v>
                </c:pt>
                <c:pt idx="58">
                  <c:v>36976</c:v>
                </c:pt>
                <c:pt idx="59">
                  <c:v>36977</c:v>
                </c:pt>
                <c:pt idx="60">
                  <c:v>36978</c:v>
                </c:pt>
                <c:pt idx="61">
                  <c:v>36979</c:v>
                </c:pt>
                <c:pt idx="62">
                  <c:v>36980</c:v>
                </c:pt>
                <c:pt idx="63">
                  <c:v>36983</c:v>
                </c:pt>
                <c:pt idx="64">
                  <c:v>36984</c:v>
                </c:pt>
                <c:pt idx="65">
                  <c:v>36985</c:v>
                </c:pt>
                <c:pt idx="66">
                  <c:v>36986</c:v>
                </c:pt>
                <c:pt idx="67">
                  <c:v>36987</c:v>
                </c:pt>
                <c:pt idx="68">
                  <c:v>36990</c:v>
                </c:pt>
                <c:pt idx="69">
                  <c:v>36991</c:v>
                </c:pt>
                <c:pt idx="70">
                  <c:v>36992</c:v>
                </c:pt>
                <c:pt idx="71">
                  <c:v>36993</c:v>
                </c:pt>
                <c:pt idx="72">
                  <c:v>36997</c:v>
                </c:pt>
                <c:pt idx="73">
                  <c:v>36998</c:v>
                </c:pt>
                <c:pt idx="74">
                  <c:v>36999</c:v>
                </c:pt>
                <c:pt idx="75">
                  <c:v>37000</c:v>
                </c:pt>
                <c:pt idx="76">
                  <c:v>37001</c:v>
                </c:pt>
                <c:pt idx="77">
                  <c:v>37004</c:v>
                </c:pt>
                <c:pt idx="78">
                  <c:v>37005</c:v>
                </c:pt>
                <c:pt idx="79">
                  <c:v>37006</c:v>
                </c:pt>
                <c:pt idx="80">
                  <c:v>37007</c:v>
                </c:pt>
                <c:pt idx="81">
                  <c:v>37008</c:v>
                </c:pt>
                <c:pt idx="82">
                  <c:v>37011</c:v>
                </c:pt>
                <c:pt idx="83">
                  <c:v>37012</c:v>
                </c:pt>
                <c:pt idx="84">
                  <c:v>37013</c:v>
                </c:pt>
                <c:pt idx="85">
                  <c:v>37014</c:v>
                </c:pt>
                <c:pt idx="86">
                  <c:v>37015</c:v>
                </c:pt>
                <c:pt idx="87">
                  <c:v>37018</c:v>
                </c:pt>
                <c:pt idx="88">
                  <c:v>37019</c:v>
                </c:pt>
                <c:pt idx="89">
                  <c:v>37020</c:v>
                </c:pt>
                <c:pt idx="90">
                  <c:v>37021</c:v>
                </c:pt>
                <c:pt idx="91">
                  <c:v>37022</c:v>
                </c:pt>
                <c:pt idx="92">
                  <c:v>37025</c:v>
                </c:pt>
                <c:pt idx="93">
                  <c:v>37026</c:v>
                </c:pt>
                <c:pt idx="94">
                  <c:v>37027</c:v>
                </c:pt>
                <c:pt idx="95">
                  <c:v>37028</c:v>
                </c:pt>
                <c:pt idx="96">
                  <c:v>37029</c:v>
                </c:pt>
                <c:pt idx="97">
                  <c:v>37032</c:v>
                </c:pt>
                <c:pt idx="98">
                  <c:v>37033</c:v>
                </c:pt>
                <c:pt idx="99">
                  <c:v>37034</c:v>
                </c:pt>
                <c:pt idx="100">
                  <c:v>37035</c:v>
                </c:pt>
                <c:pt idx="101">
                  <c:v>37036</c:v>
                </c:pt>
                <c:pt idx="102">
                  <c:v>37040</c:v>
                </c:pt>
                <c:pt idx="103">
                  <c:v>37041</c:v>
                </c:pt>
                <c:pt idx="104">
                  <c:v>37042</c:v>
                </c:pt>
                <c:pt idx="105">
                  <c:v>37043</c:v>
                </c:pt>
                <c:pt idx="106">
                  <c:v>37046</c:v>
                </c:pt>
                <c:pt idx="107">
                  <c:v>37047</c:v>
                </c:pt>
                <c:pt idx="108">
                  <c:v>37048</c:v>
                </c:pt>
                <c:pt idx="109">
                  <c:v>37049</c:v>
                </c:pt>
                <c:pt idx="110">
                  <c:v>37050</c:v>
                </c:pt>
                <c:pt idx="111">
                  <c:v>37053</c:v>
                </c:pt>
                <c:pt idx="112">
                  <c:v>37054</c:v>
                </c:pt>
                <c:pt idx="113">
                  <c:v>37055</c:v>
                </c:pt>
                <c:pt idx="114">
                  <c:v>37056</c:v>
                </c:pt>
                <c:pt idx="115">
                  <c:v>37057</c:v>
                </c:pt>
                <c:pt idx="116">
                  <c:v>37060</c:v>
                </c:pt>
                <c:pt idx="117">
                  <c:v>37061</c:v>
                </c:pt>
                <c:pt idx="118">
                  <c:v>37062</c:v>
                </c:pt>
                <c:pt idx="119">
                  <c:v>37063</c:v>
                </c:pt>
                <c:pt idx="120">
                  <c:v>37064</c:v>
                </c:pt>
                <c:pt idx="121">
                  <c:v>37067</c:v>
                </c:pt>
                <c:pt idx="122">
                  <c:v>37068</c:v>
                </c:pt>
                <c:pt idx="123">
                  <c:v>37069</c:v>
                </c:pt>
                <c:pt idx="124">
                  <c:v>37070</c:v>
                </c:pt>
                <c:pt idx="125">
                  <c:v>37071</c:v>
                </c:pt>
                <c:pt idx="126">
                  <c:v>37074</c:v>
                </c:pt>
                <c:pt idx="127">
                  <c:v>37075</c:v>
                </c:pt>
                <c:pt idx="128">
                  <c:v>37077</c:v>
                </c:pt>
                <c:pt idx="129">
                  <c:v>37078</c:v>
                </c:pt>
                <c:pt idx="130">
                  <c:v>37081</c:v>
                </c:pt>
                <c:pt idx="131">
                  <c:v>37082</c:v>
                </c:pt>
                <c:pt idx="132">
                  <c:v>37083</c:v>
                </c:pt>
                <c:pt idx="133">
                  <c:v>37084</c:v>
                </c:pt>
                <c:pt idx="134">
                  <c:v>37085</c:v>
                </c:pt>
                <c:pt idx="135">
                  <c:v>37088</c:v>
                </c:pt>
                <c:pt idx="136">
                  <c:v>37089</c:v>
                </c:pt>
                <c:pt idx="137">
                  <c:v>37090</c:v>
                </c:pt>
                <c:pt idx="138">
                  <c:v>37091</c:v>
                </c:pt>
                <c:pt idx="139">
                  <c:v>37092</c:v>
                </c:pt>
                <c:pt idx="140">
                  <c:v>37095</c:v>
                </c:pt>
                <c:pt idx="141">
                  <c:v>37096</c:v>
                </c:pt>
                <c:pt idx="142">
                  <c:v>37097</c:v>
                </c:pt>
                <c:pt idx="143">
                  <c:v>37098</c:v>
                </c:pt>
                <c:pt idx="144">
                  <c:v>37099</c:v>
                </c:pt>
                <c:pt idx="145">
                  <c:v>37102</c:v>
                </c:pt>
                <c:pt idx="146">
                  <c:v>37103</c:v>
                </c:pt>
                <c:pt idx="147">
                  <c:v>37104</c:v>
                </c:pt>
                <c:pt idx="148">
                  <c:v>37105</c:v>
                </c:pt>
                <c:pt idx="149">
                  <c:v>37106</c:v>
                </c:pt>
                <c:pt idx="150">
                  <c:v>37109</c:v>
                </c:pt>
                <c:pt idx="151">
                  <c:v>37110</c:v>
                </c:pt>
                <c:pt idx="152">
                  <c:v>37111</c:v>
                </c:pt>
                <c:pt idx="153">
                  <c:v>37112</c:v>
                </c:pt>
                <c:pt idx="154">
                  <c:v>37113</c:v>
                </c:pt>
                <c:pt idx="155">
                  <c:v>37116</c:v>
                </c:pt>
                <c:pt idx="156">
                  <c:v>37117</c:v>
                </c:pt>
                <c:pt idx="157">
                  <c:v>37118</c:v>
                </c:pt>
                <c:pt idx="158">
                  <c:v>37119</c:v>
                </c:pt>
                <c:pt idx="159">
                  <c:v>37120</c:v>
                </c:pt>
                <c:pt idx="160">
                  <c:v>37123</c:v>
                </c:pt>
                <c:pt idx="161">
                  <c:v>37124</c:v>
                </c:pt>
                <c:pt idx="162">
                  <c:v>37125</c:v>
                </c:pt>
                <c:pt idx="163">
                  <c:v>37126</c:v>
                </c:pt>
                <c:pt idx="164">
                  <c:v>37127</c:v>
                </c:pt>
                <c:pt idx="165">
                  <c:v>37130</c:v>
                </c:pt>
                <c:pt idx="166">
                  <c:v>37131</c:v>
                </c:pt>
                <c:pt idx="167">
                  <c:v>37132</c:v>
                </c:pt>
                <c:pt idx="168">
                  <c:v>37133</c:v>
                </c:pt>
                <c:pt idx="169">
                  <c:v>37134</c:v>
                </c:pt>
                <c:pt idx="170">
                  <c:v>37138</c:v>
                </c:pt>
                <c:pt idx="171">
                  <c:v>37139</c:v>
                </c:pt>
                <c:pt idx="172">
                  <c:v>37140</c:v>
                </c:pt>
                <c:pt idx="173">
                  <c:v>37141</c:v>
                </c:pt>
                <c:pt idx="174">
                  <c:v>37144</c:v>
                </c:pt>
                <c:pt idx="175">
                  <c:v>37151</c:v>
                </c:pt>
                <c:pt idx="176">
                  <c:v>37152</c:v>
                </c:pt>
                <c:pt idx="177">
                  <c:v>37153</c:v>
                </c:pt>
                <c:pt idx="178">
                  <c:v>37154</c:v>
                </c:pt>
                <c:pt idx="179">
                  <c:v>37155</c:v>
                </c:pt>
                <c:pt idx="180">
                  <c:v>37158</c:v>
                </c:pt>
                <c:pt idx="181">
                  <c:v>37159</c:v>
                </c:pt>
                <c:pt idx="182">
                  <c:v>37160</c:v>
                </c:pt>
                <c:pt idx="183">
                  <c:v>37161</c:v>
                </c:pt>
                <c:pt idx="184">
                  <c:v>37162</c:v>
                </c:pt>
                <c:pt idx="185">
                  <c:v>37165</c:v>
                </c:pt>
                <c:pt idx="186">
                  <c:v>37166</c:v>
                </c:pt>
                <c:pt idx="187">
                  <c:v>37167</c:v>
                </c:pt>
                <c:pt idx="188">
                  <c:v>37168</c:v>
                </c:pt>
                <c:pt idx="189">
                  <c:v>37169</c:v>
                </c:pt>
                <c:pt idx="190">
                  <c:v>37172</c:v>
                </c:pt>
                <c:pt idx="191">
                  <c:v>37173</c:v>
                </c:pt>
                <c:pt idx="192">
                  <c:v>37174</c:v>
                </c:pt>
                <c:pt idx="193">
                  <c:v>37175</c:v>
                </c:pt>
                <c:pt idx="194">
                  <c:v>37176</c:v>
                </c:pt>
                <c:pt idx="195">
                  <c:v>37179</c:v>
                </c:pt>
                <c:pt idx="196">
                  <c:v>37180</c:v>
                </c:pt>
                <c:pt idx="197">
                  <c:v>37181</c:v>
                </c:pt>
                <c:pt idx="198">
                  <c:v>37182</c:v>
                </c:pt>
                <c:pt idx="199">
                  <c:v>37183</c:v>
                </c:pt>
                <c:pt idx="200">
                  <c:v>37186</c:v>
                </c:pt>
                <c:pt idx="201">
                  <c:v>37187</c:v>
                </c:pt>
                <c:pt idx="202">
                  <c:v>37188</c:v>
                </c:pt>
                <c:pt idx="203">
                  <c:v>37189</c:v>
                </c:pt>
                <c:pt idx="204">
                  <c:v>37190</c:v>
                </c:pt>
                <c:pt idx="205">
                  <c:v>37193</c:v>
                </c:pt>
                <c:pt idx="206">
                  <c:v>37194</c:v>
                </c:pt>
                <c:pt idx="207">
                  <c:v>37195</c:v>
                </c:pt>
                <c:pt idx="208">
                  <c:v>37196</c:v>
                </c:pt>
                <c:pt idx="209">
                  <c:v>37197</c:v>
                </c:pt>
                <c:pt idx="210">
                  <c:v>37200</c:v>
                </c:pt>
                <c:pt idx="211">
                  <c:v>37201</c:v>
                </c:pt>
                <c:pt idx="212">
                  <c:v>37202</c:v>
                </c:pt>
                <c:pt idx="213">
                  <c:v>37203</c:v>
                </c:pt>
                <c:pt idx="214">
                  <c:v>37204</c:v>
                </c:pt>
                <c:pt idx="215">
                  <c:v>37207</c:v>
                </c:pt>
                <c:pt idx="216">
                  <c:v>37208</c:v>
                </c:pt>
                <c:pt idx="217">
                  <c:v>37209</c:v>
                </c:pt>
                <c:pt idx="218">
                  <c:v>37210</c:v>
                </c:pt>
                <c:pt idx="219">
                  <c:v>37211</c:v>
                </c:pt>
                <c:pt idx="220">
                  <c:v>37214</c:v>
                </c:pt>
                <c:pt idx="221">
                  <c:v>37215</c:v>
                </c:pt>
                <c:pt idx="222">
                  <c:v>37216</c:v>
                </c:pt>
                <c:pt idx="223">
                  <c:v>37218</c:v>
                </c:pt>
                <c:pt idx="224">
                  <c:v>37221</c:v>
                </c:pt>
                <c:pt idx="225">
                  <c:v>37222</c:v>
                </c:pt>
                <c:pt idx="226">
                  <c:v>37223</c:v>
                </c:pt>
                <c:pt idx="227">
                  <c:v>37224</c:v>
                </c:pt>
                <c:pt idx="228">
                  <c:v>37225</c:v>
                </c:pt>
                <c:pt idx="229">
                  <c:v>37228</c:v>
                </c:pt>
                <c:pt idx="230">
                  <c:v>37229</c:v>
                </c:pt>
                <c:pt idx="231">
                  <c:v>37230</c:v>
                </c:pt>
                <c:pt idx="232">
                  <c:v>37231</c:v>
                </c:pt>
                <c:pt idx="233">
                  <c:v>37232</c:v>
                </c:pt>
                <c:pt idx="234">
                  <c:v>37235</c:v>
                </c:pt>
                <c:pt idx="235">
                  <c:v>37236</c:v>
                </c:pt>
                <c:pt idx="236">
                  <c:v>37237</c:v>
                </c:pt>
                <c:pt idx="237">
                  <c:v>37238</c:v>
                </c:pt>
                <c:pt idx="238">
                  <c:v>37239</c:v>
                </c:pt>
                <c:pt idx="239">
                  <c:v>37242</c:v>
                </c:pt>
                <c:pt idx="240">
                  <c:v>37243</c:v>
                </c:pt>
                <c:pt idx="241">
                  <c:v>37244</c:v>
                </c:pt>
                <c:pt idx="242">
                  <c:v>37245</c:v>
                </c:pt>
                <c:pt idx="243">
                  <c:v>37246</c:v>
                </c:pt>
                <c:pt idx="244">
                  <c:v>37249</c:v>
                </c:pt>
                <c:pt idx="245">
                  <c:v>37251</c:v>
                </c:pt>
                <c:pt idx="246">
                  <c:v>37252</c:v>
                </c:pt>
                <c:pt idx="247">
                  <c:v>37253</c:v>
                </c:pt>
                <c:pt idx="248">
                  <c:v>37256</c:v>
                </c:pt>
                <c:pt idx="249">
                  <c:v>37258</c:v>
                </c:pt>
                <c:pt idx="250">
                  <c:v>37259</c:v>
                </c:pt>
                <c:pt idx="251">
                  <c:v>37260</c:v>
                </c:pt>
                <c:pt idx="252">
                  <c:v>37263</c:v>
                </c:pt>
                <c:pt idx="253">
                  <c:v>37264</c:v>
                </c:pt>
                <c:pt idx="254">
                  <c:v>37265</c:v>
                </c:pt>
                <c:pt idx="255">
                  <c:v>37266</c:v>
                </c:pt>
                <c:pt idx="256">
                  <c:v>37267</c:v>
                </c:pt>
                <c:pt idx="257">
                  <c:v>37270</c:v>
                </c:pt>
                <c:pt idx="258">
                  <c:v>37271</c:v>
                </c:pt>
                <c:pt idx="259">
                  <c:v>37272</c:v>
                </c:pt>
                <c:pt idx="260">
                  <c:v>37273</c:v>
                </c:pt>
                <c:pt idx="261">
                  <c:v>37274</c:v>
                </c:pt>
                <c:pt idx="262">
                  <c:v>37278</c:v>
                </c:pt>
                <c:pt idx="263">
                  <c:v>37279</c:v>
                </c:pt>
                <c:pt idx="264">
                  <c:v>37280</c:v>
                </c:pt>
                <c:pt idx="265">
                  <c:v>37281</c:v>
                </c:pt>
                <c:pt idx="266">
                  <c:v>37284</c:v>
                </c:pt>
                <c:pt idx="267">
                  <c:v>37285</c:v>
                </c:pt>
                <c:pt idx="268">
                  <c:v>37286</c:v>
                </c:pt>
                <c:pt idx="269">
                  <c:v>37287</c:v>
                </c:pt>
                <c:pt idx="270">
                  <c:v>37288</c:v>
                </c:pt>
                <c:pt idx="271">
                  <c:v>37291</c:v>
                </c:pt>
                <c:pt idx="272">
                  <c:v>37292</c:v>
                </c:pt>
                <c:pt idx="273">
                  <c:v>37293</c:v>
                </c:pt>
                <c:pt idx="274">
                  <c:v>37294</c:v>
                </c:pt>
                <c:pt idx="275">
                  <c:v>37295</c:v>
                </c:pt>
                <c:pt idx="276">
                  <c:v>37298</c:v>
                </c:pt>
                <c:pt idx="277">
                  <c:v>37299</c:v>
                </c:pt>
                <c:pt idx="278">
                  <c:v>37300</c:v>
                </c:pt>
                <c:pt idx="279">
                  <c:v>37301</c:v>
                </c:pt>
                <c:pt idx="280">
                  <c:v>37302</c:v>
                </c:pt>
                <c:pt idx="281">
                  <c:v>37306</c:v>
                </c:pt>
                <c:pt idx="282">
                  <c:v>37307</c:v>
                </c:pt>
                <c:pt idx="283">
                  <c:v>37308</c:v>
                </c:pt>
                <c:pt idx="284">
                  <c:v>37309</c:v>
                </c:pt>
                <c:pt idx="285">
                  <c:v>37312</c:v>
                </c:pt>
                <c:pt idx="286">
                  <c:v>37313</c:v>
                </c:pt>
                <c:pt idx="287">
                  <c:v>37314</c:v>
                </c:pt>
                <c:pt idx="288">
                  <c:v>37315</c:v>
                </c:pt>
                <c:pt idx="289">
                  <c:v>37316</c:v>
                </c:pt>
                <c:pt idx="290">
                  <c:v>37319</c:v>
                </c:pt>
                <c:pt idx="291">
                  <c:v>37320</c:v>
                </c:pt>
                <c:pt idx="292">
                  <c:v>37321</c:v>
                </c:pt>
                <c:pt idx="293">
                  <c:v>37322</c:v>
                </c:pt>
                <c:pt idx="294">
                  <c:v>37323</c:v>
                </c:pt>
                <c:pt idx="295">
                  <c:v>37326</c:v>
                </c:pt>
                <c:pt idx="296">
                  <c:v>37327</c:v>
                </c:pt>
                <c:pt idx="297">
                  <c:v>37328</c:v>
                </c:pt>
                <c:pt idx="298">
                  <c:v>37329</c:v>
                </c:pt>
                <c:pt idx="299">
                  <c:v>37330</c:v>
                </c:pt>
                <c:pt idx="300">
                  <c:v>37333</c:v>
                </c:pt>
                <c:pt idx="301">
                  <c:v>37334</c:v>
                </c:pt>
                <c:pt idx="302">
                  <c:v>37335</c:v>
                </c:pt>
                <c:pt idx="303">
                  <c:v>37336</c:v>
                </c:pt>
                <c:pt idx="304">
                  <c:v>37337</c:v>
                </c:pt>
                <c:pt idx="305">
                  <c:v>37340</c:v>
                </c:pt>
                <c:pt idx="306">
                  <c:v>37341</c:v>
                </c:pt>
                <c:pt idx="307">
                  <c:v>37342</c:v>
                </c:pt>
                <c:pt idx="308">
                  <c:v>37343</c:v>
                </c:pt>
                <c:pt idx="309">
                  <c:v>37347</c:v>
                </c:pt>
                <c:pt idx="310">
                  <c:v>37348</c:v>
                </c:pt>
                <c:pt idx="311">
                  <c:v>37349</c:v>
                </c:pt>
                <c:pt idx="312">
                  <c:v>37350</c:v>
                </c:pt>
                <c:pt idx="313">
                  <c:v>37351</c:v>
                </c:pt>
                <c:pt idx="314">
                  <c:v>37354</c:v>
                </c:pt>
                <c:pt idx="315">
                  <c:v>37355</c:v>
                </c:pt>
                <c:pt idx="316">
                  <c:v>37356</c:v>
                </c:pt>
                <c:pt idx="317">
                  <c:v>37357</c:v>
                </c:pt>
                <c:pt idx="318">
                  <c:v>37358</c:v>
                </c:pt>
                <c:pt idx="319">
                  <c:v>37361</c:v>
                </c:pt>
                <c:pt idx="320">
                  <c:v>37362</c:v>
                </c:pt>
                <c:pt idx="321">
                  <c:v>37363</c:v>
                </c:pt>
                <c:pt idx="322">
                  <c:v>37364</c:v>
                </c:pt>
                <c:pt idx="323">
                  <c:v>37365</c:v>
                </c:pt>
                <c:pt idx="324">
                  <c:v>37368</c:v>
                </c:pt>
                <c:pt idx="325">
                  <c:v>37369</c:v>
                </c:pt>
                <c:pt idx="326">
                  <c:v>37370</c:v>
                </c:pt>
                <c:pt idx="327">
                  <c:v>37371</c:v>
                </c:pt>
                <c:pt idx="328">
                  <c:v>37372</c:v>
                </c:pt>
                <c:pt idx="329">
                  <c:v>37375</c:v>
                </c:pt>
                <c:pt idx="330">
                  <c:v>37376</c:v>
                </c:pt>
                <c:pt idx="331">
                  <c:v>37377</c:v>
                </c:pt>
                <c:pt idx="332">
                  <c:v>37378</c:v>
                </c:pt>
                <c:pt idx="333">
                  <c:v>37379</c:v>
                </c:pt>
                <c:pt idx="334">
                  <c:v>37382</c:v>
                </c:pt>
                <c:pt idx="335">
                  <c:v>37383</c:v>
                </c:pt>
                <c:pt idx="336">
                  <c:v>37384</c:v>
                </c:pt>
                <c:pt idx="337">
                  <c:v>37385</c:v>
                </c:pt>
                <c:pt idx="338">
                  <c:v>37386</c:v>
                </c:pt>
                <c:pt idx="339">
                  <c:v>37389</c:v>
                </c:pt>
                <c:pt idx="340">
                  <c:v>37390</c:v>
                </c:pt>
                <c:pt idx="341">
                  <c:v>37391</c:v>
                </c:pt>
                <c:pt idx="342">
                  <c:v>37392</c:v>
                </c:pt>
                <c:pt idx="343">
                  <c:v>37393</c:v>
                </c:pt>
                <c:pt idx="344">
                  <c:v>37396</c:v>
                </c:pt>
                <c:pt idx="345">
                  <c:v>37397</c:v>
                </c:pt>
                <c:pt idx="346">
                  <c:v>37398</c:v>
                </c:pt>
                <c:pt idx="347">
                  <c:v>37399</c:v>
                </c:pt>
                <c:pt idx="348">
                  <c:v>37400</c:v>
                </c:pt>
                <c:pt idx="349">
                  <c:v>37404</c:v>
                </c:pt>
                <c:pt idx="350">
                  <c:v>37405</c:v>
                </c:pt>
                <c:pt idx="351">
                  <c:v>37406</c:v>
                </c:pt>
                <c:pt idx="352">
                  <c:v>37407</c:v>
                </c:pt>
                <c:pt idx="353">
                  <c:v>37410</c:v>
                </c:pt>
                <c:pt idx="354">
                  <c:v>37411</c:v>
                </c:pt>
                <c:pt idx="355">
                  <c:v>37412</c:v>
                </c:pt>
                <c:pt idx="356">
                  <c:v>37413</c:v>
                </c:pt>
                <c:pt idx="357">
                  <c:v>37414</c:v>
                </c:pt>
                <c:pt idx="358">
                  <c:v>37417</c:v>
                </c:pt>
                <c:pt idx="359">
                  <c:v>37418</c:v>
                </c:pt>
                <c:pt idx="360">
                  <c:v>37419</c:v>
                </c:pt>
                <c:pt idx="361">
                  <c:v>37420</c:v>
                </c:pt>
                <c:pt idx="362">
                  <c:v>37421</c:v>
                </c:pt>
                <c:pt idx="363">
                  <c:v>37424</c:v>
                </c:pt>
                <c:pt idx="364">
                  <c:v>37425</c:v>
                </c:pt>
                <c:pt idx="365">
                  <c:v>37426</c:v>
                </c:pt>
                <c:pt idx="366">
                  <c:v>37427</c:v>
                </c:pt>
                <c:pt idx="367">
                  <c:v>37428</c:v>
                </c:pt>
                <c:pt idx="368">
                  <c:v>37431</c:v>
                </c:pt>
                <c:pt idx="369">
                  <c:v>37432</c:v>
                </c:pt>
                <c:pt idx="370">
                  <c:v>37433</c:v>
                </c:pt>
                <c:pt idx="371">
                  <c:v>37434</c:v>
                </c:pt>
                <c:pt idx="372">
                  <c:v>37435</c:v>
                </c:pt>
                <c:pt idx="373">
                  <c:v>37438</c:v>
                </c:pt>
                <c:pt idx="374">
                  <c:v>37439</c:v>
                </c:pt>
                <c:pt idx="375">
                  <c:v>37440</c:v>
                </c:pt>
                <c:pt idx="376">
                  <c:v>37442</c:v>
                </c:pt>
                <c:pt idx="377">
                  <c:v>37445</c:v>
                </c:pt>
                <c:pt idx="378">
                  <c:v>37446</c:v>
                </c:pt>
                <c:pt idx="379">
                  <c:v>37447</c:v>
                </c:pt>
                <c:pt idx="380">
                  <c:v>37448</c:v>
                </c:pt>
                <c:pt idx="381">
                  <c:v>37449</c:v>
                </c:pt>
                <c:pt idx="382">
                  <c:v>37452</c:v>
                </c:pt>
                <c:pt idx="383">
                  <c:v>37453</c:v>
                </c:pt>
                <c:pt idx="384">
                  <c:v>37454</c:v>
                </c:pt>
                <c:pt idx="385">
                  <c:v>37455</c:v>
                </c:pt>
                <c:pt idx="386">
                  <c:v>37456</c:v>
                </c:pt>
                <c:pt idx="387">
                  <c:v>37459</c:v>
                </c:pt>
                <c:pt idx="388">
                  <c:v>37460</c:v>
                </c:pt>
                <c:pt idx="389">
                  <c:v>37461</c:v>
                </c:pt>
                <c:pt idx="390">
                  <c:v>37462</c:v>
                </c:pt>
                <c:pt idx="391">
                  <c:v>37463</c:v>
                </c:pt>
                <c:pt idx="392">
                  <c:v>37466</c:v>
                </c:pt>
                <c:pt idx="393">
                  <c:v>37467</c:v>
                </c:pt>
                <c:pt idx="394">
                  <c:v>37468</c:v>
                </c:pt>
                <c:pt idx="395">
                  <c:v>37469</c:v>
                </c:pt>
                <c:pt idx="396">
                  <c:v>37470</c:v>
                </c:pt>
                <c:pt idx="397">
                  <c:v>37473</c:v>
                </c:pt>
                <c:pt idx="398">
                  <c:v>37474</c:v>
                </c:pt>
                <c:pt idx="399">
                  <c:v>37475</c:v>
                </c:pt>
                <c:pt idx="400">
                  <c:v>37476</c:v>
                </c:pt>
                <c:pt idx="401">
                  <c:v>37477</c:v>
                </c:pt>
                <c:pt idx="402">
                  <c:v>37480</c:v>
                </c:pt>
                <c:pt idx="403">
                  <c:v>37481</c:v>
                </c:pt>
                <c:pt idx="404">
                  <c:v>37482</c:v>
                </c:pt>
                <c:pt idx="405">
                  <c:v>37483</c:v>
                </c:pt>
                <c:pt idx="406">
                  <c:v>37484</c:v>
                </c:pt>
                <c:pt idx="407">
                  <c:v>37487</c:v>
                </c:pt>
                <c:pt idx="408">
                  <c:v>37488</c:v>
                </c:pt>
                <c:pt idx="409">
                  <c:v>37489</c:v>
                </c:pt>
                <c:pt idx="410">
                  <c:v>37490</c:v>
                </c:pt>
                <c:pt idx="411">
                  <c:v>37491</c:v>
                </c:pt>
                <c:pt idx="412">
                  <c:v>37494</c:v>
                </c:pt>
                <c:pt idx="413">
                  <c:v>37495</c:v>
                </c:pt>
                <c:pt idx="414">
                  <c:v>37496</c:v>
                </c:pt>
                <c:pt idx="415">
                  <c:v>37498</c:v>
                </c:pt>
                <c:pt idx="416">
                  <c:v>37502</c:v>
                </c:pt>
                <c:pt idx="417">
                  <c:v>37503</c:v>
                </c:pt>
                <c:pt idx="418">
                  <c:v>37504</c:v>
                </c:pt>
                <c:pt idx="419">
                  <c:v>37505</c:v>
                </c:pt>
                <c:pt idx="420">
                  <c:v>37508</c:v>
                </c:pt>
                <c:pt idx="421">
                  <c:v>37509</c:v>
                </c:pt>
                <c:pt idx="422">
                  <c:v>37510</c:v>
                </c:pt>
                <c:pt idx="423">
                  <c:v>37511</c:v>
                </c:pt>
                <c:pt idx="424">
                  <c:v>37512</c:v>
                </c:pt>
                <c:pt idx="425">
                  <c:v>37515</c:v>
                </c:pt>
                <c:pt idx="426">
                  <c:v>37516</c:v>
                </c:pt>
                <c:pt idx="427">
                  <c:v>37517</c:v>
                </c:pt>
                <c:pt idx="428">
                  <c:v>37518</c:v>
                </c:pt>
                <c:pt idx="429">
                  <c:v>37519</c:v>
                </c:pt>
                <c:pt idx="430">
                  <c:v>37522</c:v>
                </c:pt>
                <c:pt idx="431">
                  <c:v>37523</c:v>
                </c:pt>
                <c:pt idx="432">
                  <c:v>37524</c:v>
                </c:pt>
                <c:pt idx="433">
                  <c:v>37525</c:v>
                </c:pt>
                <c:pt idx="434">
                  <c:v>37526</c:v>
                </c:pt>
                <c:pt idx="435">
                  <c:v>37529</c:v>
                </c:pt>
                <c:pt idx="436">
                  <c:v>37530</c:v>
                </c:pt>
                <c:pt idx="437">
                  <c:v>37531</c:v>
                </c:pt>
                <c:pt idx="438">
                  <c:v>37532</c:v>
                </c:pt>
                <c:pt idx="439">
                  <c:v>37533</c:v>
                </c:pt>
                <c:pt idx="440">
                  <c:v>37536</c:v>
                </c:pt>
                <c:pt idx="441">
                  <c:v>37537</c:v>
                </c:pt>
                <c:pt idx="442">
                  <c:v>37538</c:v>
                </c:pt>
                <c:pt idx="443">
                  <c:v>37539</c:v>
                </c:pt>
                <c:pt idx="444">
                  <c:v>37540</c:v>
                </c:pt>
                <c:pt idx="445">
                  <c:v>37543</c:v>
                </c:pt>
                <c:pt idx="446">
                  <c:v>37544</c:v>
                </c:pt>
                <c:pt idx="447">
                  <c:v>37545</c:v>
                </c:pt>
                <c:pt idx="448">
                  <c:v>37546</c:v>
                </c:pt>
                <c:pt idx="449">
                  <c:v>37547</c:v>
                </c:pt>
                <c:pt idx="450">
                  <c:v>37550</c:v>
                </c:pt>
                <c:pt idx="451">
                  <c:v>37551</c:v>
                </c:pt>
                <c:pt idx="452">
                  <c:v>37552</c:v>
                </c:pt>
                <c:pt idx="453">
                  <c:v>37553</c:v>
                </c:pt>
                <c:pt idx="454">
                  <c:v>37554</c:v>
                </c:pt>
                <c:pt idx="455">
                  <c:v>37557</c:v>
                </c:pt>
                <c:pt idx="456">
                  <c:v>37558</c:v>
                </c:pt>
                <c:pt idx="457">
                  <c:v>37559</c:v>
                </c:pt>
                <c:pt idx="458">
                  <c:v>37560</c:v>
                </c:pt>
                <c:pt idx="459">
                  <c:v>37561</c:v>
                </c:pt>
                <c:pt idx="460">
                  <c:v>37564</c:v>
                </c:pt>
                <c:pt idx="461">
                  <c:v>37565</c:v>
                </c:pt>
                <c:pt idx="462">
                  <c:v>37566</c:v>
                </c:pt>
                <c:pt idx="463">
                  <c:v>37567</c:v>
                </c:pt>
                <c:pt idx="464">
                  <c:v>37568</c:v>
                </c:pt>
                <c:pt idx="465">
                  <c:v>37571</c:v>
                </c:pt>
                <c:pt idx="466">
                  <c:v>37572</c:v>
                </c:pt>
                <c:pt idx="467">
                  <c:v>37573</c:v>
                </c:pt>
                <c:pt idx="468">
                  <c:v>37574</c:v>
                </c:pt>
                <c:pt idx="469">
                  <c:v>37575</c:v>
                </c:pt>
                <c:pt idx="470">
                  <c:v>37578</c:v>
                </c:pt>
                <c:pt idx="471">
                  <c:v>37579</c:v>
                </c:pt>
                <c:pt idx="472">
                  <c:v>37580</c:v>
                </c:pt>
                <c:pt idx="473">
                  <c:v>37581</c:v>
                </c:pt>
                <c:pt idx="474">
                  <c:v>37582</c:v>
                </c:pt>
                <c:pt idx="475">
                  <c:v>37585</c:v>
                </c:pt>
                <c:pt idx="476">
                  <c:v>37586</c:v>
                </c:pt>
                <c:pt idx="477">
                  <c:v>37587</c:v>
                </c:pt>
                <c:pt idx="478">
                  <c:v>37589</c:v>
                </c:pt>
                <c:pt idx="479">
                  <c:v>37592</c:v>
                </c:pt>
                <c:pt idx="480">
                  <c:v>37593</c:v>
                </c:pt>
                <c:pt idx="481">
                  <c:v>37594</c:v>
                </c:pt>
                <c:pt idx="482">
                  <c:v>37595</c:v>
                </c:pt>
                <c:pt idx="483">
                  <c:v>37596</c:v>
                </c:pt>
                <c:pt idx="484">
                  <c:v>37599</c:v>
                </c:pt>
                <c:pt idx="485">
                  <c:v>37600</c:v>
                </c:pt>
                <c:pt idx="486">
                  <c:v>37601</c:v>
                </c:pt>
                <c:pt idx="487">
                  <c:v>37602</c:v>
                </c:pt>
                <c:pt idx="488">
                  <c:v>37603</c:v>
                </c:pt>
                <c:pt idx="489">
                  <c:v>37606</c:v>
                </c:pt>
                <c:pt idx="490">
                  <c:v>37607</c:v>
                </c:pt>
                <c:pt idx="491">
                  <c:v>37608</c:v>
                </c:pt>
                <c:pt idx="492">
                  <c:v>37609</c:v>
                </c:pt>
                <c:pt idx="493">
                  <c:v>37610</c:v>
                </c:pt>
                <c:pt idx="494">
                  <c:v>37613</c:v>
                </c:pt>
                <c:pt idx="495">
                  <c:v>37614</c:v>
                </c:pt>
                <c:pt idx="496">
                  <c:v>37616</c:v>
                </c:pt>
                <c:pt idx="497">
                  <c:v>37617</c:v>
                </c:pt>
                <c:pt idx="498">
                  <c:v>37620</c:v>
                </c:pt>
                <c:pt idx="499">
                  <c:v>37621</c:v>
                </c:pt>
                <c:pt idx="500">
                  <c:v>37623</c:v>
                </c:pt>
                <c:pt idx="501">
                  <c:v>37624</c:v>
                </c:pt>
                <c:pt idx="502">
                  <c:v>37627</c:v>
                </c:pt>
                <c:pt idx="503">
                  <c:v>37628</c:v>
                </c:pt>
                <c:pt idx="504">
                  <c:v>37629</c:v>
                </c:pt>
                <c:pt idx="505">
                  <c:v>37630</c:v>
                </c:pt>
                <c:pt idx="506">
                  <c:v>37631</c:v>
                </c:pt>
                <c:pt idx="507">
                  <c:v>37634</c:v>
                </c:pt>
                <c:pt idx="508">
                  <c:v>37635</c:v>
                </c:pt>
                <c:pt idx="509">
                  <c:v>37636</c:v>
                </c:pt>
                <c:pt idx="510">
                  <c:v>37637</c:v>
                </c:pt>
                <c:pt idx="511">
                  <c:v>37638</c:v>
                </c:pt>
                <c:pt idx="512">
                  <c:v>37642</c:v>
                </c:pt>
                <c:pt idx="513">
                  <c:v>37643</c:v>
                </c:pt>
                <c:pt idx="514">
                  <c:v>37644</c:v>
                </c:pt>
                <c:pt idx="515">
                  <c:v>37645</c:v>
                </c:pt>
                <c:pt idx="516">
                  <c:v>37648</c:v>
                </c:pt>
                <c:pt idx="517">
                  <c:v>37649</c:v>
                </c:pt>
                <c:pt idx="518">
                  <c:v>37650</c:v>
                </c:pt>
                <c:pt idx="519">
                  <c:v>37651</c:v>
                </c:pt>
                <c:pt idx="520">
                  <c:v>37652</c:v>
                </c:pt>
                <c:pt idx="521">
                  <c:v>37655</c:v>
                </c:pt>
                <c:pt idx="522">
                  <c:v>37656</c:v>
                </c:pt>
                <c:pt idx="523">
                  <c:v>37657</c:v>
                </c:pt>
                <c:pt idx="524">
                  <c:v>37658</c:v>
                </c:pt>
                <c:pt idx="525">
                  <c:v>37659</c:v>
                </c:pt>
                <c:pt idx="526">
                  <c:v>37662</c:v>
                </c:pt>
                <c:pt idx="527">
                  <c:v>37663</c:v>
                </c:pt>
                <c:pt idx="528">
                  <c:v>37664</c:v>
                </c:pt>
                <c:pt idx="529">
                  <c:v>37665</c:v>
                </c:pt>
                <c:pt idx="530">
                  <c:v>37666</c:v>
                </c:pt>
                <c:pt idx="531">
                  <c:v>37670</c:v>
                </c:pt>
                <c:pt idx="532">
                  <c:v>37671</c:v>
                </c:pt>
                <c:pt idx="533">
                  <c:v>37672</c:v>
                </c:pt>
                <c:pt idx="534">
                  <c:v>37673</c:v>
                </c:pt>
                <c:pt idx="535">
                  <c:v>37676</c:v>
                </c:pt>
                <c:pt idx="536">
                  <c:v>37677</c:v>
                </c:pt>
                <c:pt idx="537">
                  <c:v>37678</c:v>
                </c:pt>
                <c:pt idx="538">
                  <c:v>37679</c:v>
                </c:pt>
                <c:pt idx="539">
                  <c:v>37680</c:v>
                </c:pt>
                <c:pt idx="540">
                  <c:v>37683</c:v>
                </c:pt>
                <c:pt idx="541">
                  <c:v>37684</c:v>
                </c:pt>
                <c:pt idx="542">
                  <c:v>37685</c:v>
                </c:pt>
                <c:pt idx="543">
                  <c:v>37686</c:v>
                </c:pt>
                <c:pt idx="544">
                  <c:v>37687</c:v>
                </c:pt>
                <c:pt idx="545">
                  <c:v>37690</c:v>
                </c:pt>
                <c:pt idx="546">
                  <c:v>37691</c:v>
                </c:pt>
                <c:pt idx="547">
                  <c:v>37692</c:v>
                </c:pt>
                <c:pt idx="548">
                  <c:v>37693</c:v>
                </c:pt>
                <c:pt idx="549">
                  <c:v>37694</c:v>
                </c:pt>
                <c:pt idx="550">
                  <c:v>37697</c:v>
                </c:pt>
                <c:pt idx="551">
                  <c:v>37698</c:v>
                </c:pt>
                <c:pt idx="552">
                  <c:v>37699</c:v>
                </c:pt>
                <c:pt idx="553">
                  <c:v>37700</c:v>
                </c:pt>
                <c:pt idx="554">
                  <c:v>37701</c:v>
                </c:pt>
                <c:pt idx="555">
                  <c:v>37704</c:v>
                </c:pt>
                <c:pt idx="556">
                  <c:v>37705</c:v>
                </c:pt>
                <c:pt idx="557">
                  <c:v>37706</c:v>
                </c:pt>
                <c:pt idx="558">
                  <c:v>37707</c:v>
                </c:pt>
                <c:pt idx="559">
                  <c:v>37708</c:v>
                </c:pt>
                <c:pt idx="560">
                  <c:v>37711</c:v>
                </c:pt>
                <c:pt idx="561">
                  <c:v>37712</c:v>
                </c:pt>
                <c:pt idx="562">
                  <c:v>37713</c:v>
                </c:pt>
                <c:pt idx="563">
                  <c:v>37714</c:v>
                </c:pt>
                <c:pt idx="564">
                  <c:v>37715</c:v>
                </c:pt>
                <c:pt idx="565">
                  <c:v>37718</c:v>
                </c:pt>
                <c:pt idx="566">
                  <c:v>37719</c:v>
                </c:pt>
                <c:pt idx="567">
                  <c:v>37720</c:v>
                </c:pt>
                <c:pt idx="568">
                  <c:v>37721</c:v>
                </c:pt>
                <c:pt idx="569">
                  <c:v>37722</c:v>
                </c:pt>
                <c:pt idx="570">
                  <c:v>37725</c:v>
                </c:pt>
                <c:pt idx="571">
                  <c:v>37726</c:v>
                </c:pt>
                <c:pt idx="572">
                  <c:v>37727</c:v>
                </c:pt>
                <c:pt idx="573">
                  <c:v>37728</c:v>
                </c:pt>
                <c:pt idx="574">
                  <c:v>37732</c:v>
                </c:pt>
                <c:pt idx="575">
                  <c:v>37733</c:v>
                </c:pt>
                <c:pt idx="576">
                  <c:v>37734</c:v>
                </c:pt>
                <c:pt idx="577">
                  <c:v>37735</c:v>
                </c:pt>
                <c:pt idx="578">
                  <c:v>37736</c:v>
                </c:pt>
                <c:pt idx="579">
                  <c:v>37739</c:v>
                </c:pt>
                <c:pt idx="580">
                  <c:v>37740</c:v>
                </c:pt>
                <c:pt idx="581">
                  <c:v>37741</c:v>
                </c:pt>
                <c:pt idx="582">
                  <c:v>37742</c:v>
                </c:pt>
                <c:pt idx="583">
                  <c:v>37743</c:v>
                </c:pt>
                <c:pt idx="584">
                  <c:v>37746</c:v>
                </c:pt>
                <c:pt idx="585">
                  <c:v>37747</c:v>
                </c:pt>
                <c:pt idx="586">
                  <c:v>37748</c:v>
                </c:pt>
                <c:pt idx="587">
                  <c:v>37749</c:v>
                </c:pt>
                <c:pt idx="588">
                  <c:v>37750</c:v>
                </c:pt>
                <c:pt idx="589">
                  <c:v>37753</c:v>
                </c:pt>
                <c:pt idx="590">
                  <c:v>37754</c:v>
                </c:pt>
                <c:pt idx="591">
                  <c:v>37755</c:v>
                </c:pt>
                <c:pt idx="592">
                  <c:v>37756</c:v>
                </c:pt>
                <c:pt idx="593">
                  <c:v>37757</c:v>
                </c:pt>
                <c:pt idx="594">
                  <c:v>37760</c:v>
                </c:pt>
                <c:pt idx="595">
                  <c:v>37761</c:v>
                </c:pt>
                <c:pt idx="596">
                  <c:v>37762</c:v>
                </c:pt>
                <c:pt idx="597">
                  <c:v>37763</c:v>
                </c:pt>
                <c:pt idx="598">
                  <c:v>37764</c:v>
                </c:pt>
                <c:pt idx="599">
                  <c:v>37768</c:v>
                </c:pt>
                <c:pt idx="600">
                  <c:v>37769</c:v>
                </c:pt>
                <c:pt idx="601">
                  <c:v>37770</c:v>
                </c:pt>
                <c:pt idx="602">
                  <c:v>37771</c:v>
                </c:pt>
                <c:pt idx="603">
                  <c:v>37774</c:v>
                </c:pt>
                <c:pt idx="604">
                  <c:v>37775</c:v>
                </c:pt>
                <c:pt idx="605">
                  <c:v>37776</c:v>
                </c:pt>
                <c:pt idx="606">
                  <c:v>37777</c:v>
                </c:pt>
                <c:pt idx="607">
                  <c:v>37778</c:v>
                </c:pt>
                <c:pt idx="608">
                  <c:v>37781</c:v>
                </c:pt>
                <c:pt idx="609">
                  <c:v>37782</c:v>
                </c:pt>
                <c:pt idx="610">
                  <c:v>37783</c:v>
                </c:pt>
                <c:pt idx="611">
                  <c:v>37784</c:v>
                </c:pt>
                <c:pt idx="612">
                  <c:v>37785</c:v>
                </c:pt>
                <c:pt idx="613">
                  <c:v>37788</c:v>
                </c:pt>
                <c:pt idx="614">
                  <c:v>37789</c:v>
                </c:pt>
                <c:pt idx="615">
                  <c:v>37790</c:v>
                </c:pt>
                <c:pt idx="616">
                  <c:v>37791</c:v>
                </c:pt>
                <c:pt idx="617">
                  <c:v>37792</c:v>
                </c:pt>
                <c:pt idx="618">
                  <c:v>37795</c:v>
                </c:pt>
                <c:pt idx="619">
                  <c:v>37796</c:v>
                </c:pt>
                <c:pt idx="620">
                  <c:v>37797</c:v>
                </c:pt>
                <c:pt idx="621">
                  <c:v>37798</c:v>
                </c:pt>
                <c:pt idx="622">
                  <c:v>37799</c:v>
                </c:pt>
                <c:pt idx="623">
                  <c:v>37802</c:v>
                </c:pt>
                <c:pt idx="624">
                  <c:v>37803</c:v>
                </c:pt>
                <c:pt idx="625">
                  <c:v>37804</c:v>
                </c:pt>
                <c:pt idx="626">
                  <c:v>37805</c:v>
                </c:pt>
                <c:pt idx="627">
                  <c:v>37809</c:v>
                </c:pt>
                <c:pt idx="628">
                  <c:v>37810</c:v>
                </c:pt>
                <c:pt idx="629">
                  <c:v>37811</c:v>
                </c:pt>
                <c:pt idx="630">
                  <c:v>37812</c:v>
                </c:pt>
                <c:pt idx="631">
                  <c:v>37813</c:v>
                </c:pt>
                <c:pt idx="632">
                  <c:v>37816</c:v>
                </c:pt>
                <c:pt idx="633">
                  <c:v>37817</c:v>
                </c:pt>
                <c:pt idx="634">
                  <c:v>37818</c:v>
                </c:pt>
                <c:pt idx="635">
                  <c:v>37819</c:v>
                </c:pt>
                <c:pt idx="636">
                  <c:v>37820</c:v>
                </c:pt>
                <c:pt idx="637">
                  <c:v>37823</c:v>
                </c:pt>
                <c:pt idx="638">
                  <c:v>37824</c:v>
                </c:pt>
                <c:pt idx="639">
                  <c:v>37825</c:v>
                </c:pt>
                <c:pt idx="640">
                  <c:v>37826</c:v>
                </c:pt>
                <c:pt idx="641">
                  <c:v>37827</c:v>
                </c:pt>
                <c:pt idx="642">
                  <c:v>37830</c:v>
                </c:pt>
                <c:pt idx="643">
                  <c:v>37831</c:v>
                </c:pt>
                <c:pt idx="644">
                  <c:v>37832</c:v>
                </c:pt>
                <c:pt idx="645">
                  <c:v>37833</c:v>
                </c:pt>
                <c:pt idx="646">
                  <c:v>37834</c:v>
                </c:pt>
                <c:pt idx="647">
                  <c:v>37837</c:v>
                </c:pt>
                <c:pt idx="648">
                  <c:v>37838</c:v>
                </c:pt>
                <c:pt idx="649">
                  <c:v>37839</c:v>
                </c:pt>
                <c:pt idx="650">
                  <c:v>37840</c:v>
                </c:pt>
                <c:pt idx="651">
                  <c:v>37841</c:v>
                </c:pt>
                <c:pt idx="652">
                  <c:v>37844</c:v>
                </c:pt>
                <c:pt idx="653">
                  <c:v>37845</c:v>
                </c:pt>
                <c:pt idx="654">
                  <c:v>37846</c:v>
                </c:pt>
                <c:pt idx="655">
                  <c:v>37847</c:v>
                </c:pt>
                <c:pt idx="656">
                  <c:v>37848</c:v>
                </c:pt>
                <c:pt idx="657">
                  <c:v>37851</c:v>
                </c:pt>
                <c:pt idx="658">
                  <c:v>37852</c:v>
                </c:pt>
                <c:pt idx="659">
                  <c:v>37853</c:v>
                </c:pt>
                <c:pt idx="660">
                  <c:v>37854</c:v>
                </c:pt>
                <c:pt idx="661">
                  <c:v>37855</c:v>
                </c:pt>
                <c:pt idx="662">
                  <c:v>37858</c:v>
                </c:pt>
                <c:pt idx="663">
                  <c:v>37859</c:v>
                </c:pt>
                <c:pt idx="664">
                  <c:v>37860</c:v>
                </c:pt>
                <c:pt idx="665">
                  <c:v>37861</c:v>
                </c:pt>
                <c:pt idx="666">
                  <c:v>37862</c:v>
                </c:pt>
                <c:pt idx="667">
                  <c:v>37866</c:v>
                </c:pt>
                <c:pt idx="668">
                  <c:v>37867</c:v>
                </c:pt>
                <c:pt idx="669">
                  <c:v>37868</c:v>
                </c:pt>
                <c:pt idx="670">
                  <c:v>37869</c:v>
                </c:pt>
                <c:pt idx="671">
                  <c:v>37872</c:v>
                </c:pt>
                <c:pt idx="672">
                  <c:v>37873</c:v>
                </c:pt>
                <c:pt idx="673">
                  <c:v>37874</c:v>
                </c:pt>
                <c:pt idx="674">
                  <c:v>37875</c:v>
                </c:pt>
                <c:pt idx="675">
                  <c:v>37876</c:v>
                </c:pt>
                <c:pt idx="676">
                  <c:v>37879</c:v>
                </c:pt>
                <c:pt idx="677">
                  <c:v>37880</c:v>
                </c:pt>
                <c:pt idx="678">
                  <c:v>37881</c:v>
                </c:pt>
                <c:pt idx="679">
                  <c:v>37882</c:v>
                </c:pt>
                <c:pt idx="680">
                  <c:v>37883</c:v>
                </c:pt>
                <c:pt idx="681">
                  <c:v>37886</c:v>
                </c:pt>
                <c:pt idx="682">
                  <c:v>37887</c:v>
                </c:pt>
                <c:pt idx="683">
                  <c:v>37888</c:v>
                </c:pt>
                <c:pt idx="684">
                  <c:v>37889</c:v>
                </c:pt>
                <c:pt idx="685">
                  <c:v>37890</c:v>
                </c:pt>
                <c:pt idx="686">
                  <c:v>37893</c:v>
                </c:pt>
                <c:pt idx="687">
                  <c:v>37894</c:v>
                </c:pt>
                <c:pt idx="688">
                  <c:v>37895</c:v>
                </c:pt>
                <c:pt idx="689">
                  <c:v>37896</c:v>
                </c:pt>
                <c:pt idx="690">
                  <c:v>37897</c:v>
                </c:pt>
                <c:pt idx="691">
                  <c:v>37900</c:v>
                </c:pt>
                <c:pt idx="692">
                  <c:v>37901</c:v>
                </c:pt>
                <c:pt idx="693">
                  <c:v>37902</c:v>
                </c:pt>
                <c:pt idx="694">
                  <c:v>37903</c:v>
                </c:pt>
                <c:pt idx="695">
                  <c:v>37904</c:v>
                </c:pt>
                <c:pt idx="696">
                  <c:v>37907</c:v>
                </c:pt>
                <c:pt idx="697">
                  <c:v>37908</c:v>
                </c:pt>
                <c:pt idx="698">
                  <c:v>37909</c:v>
                </c:pt>
                <c:pt idx="699">
                  <c:v>37910</c:v>
                </c:pt>
                <c:pt idx="700">
                  <c:v>37911</c:v>
                </c:pt>
                <c:pt idx="701">
                  <c:v>37914</c:v>
                </c:pt>
                <c:pt idx="702">
                  <c:v>37915</c:v>
                </c:pt>
                <c:pt idx="703">
                  <c:v>37916</c:v>
                </c:pt>
                <c:pt idx="704">
                  <c:v>37917</c:v>
                </c:pt>
                <c:pt idx="705">
                  <c:v>37918</c:v>
                </c:pt>
                <c:pt idx="706">
                  <c:v>37921</c:v>
                </c:pt>
                <c:pt idx="707">
                  <c:v>37922</c:v>
                </c:pt>
                <c:pt idx="708">
                  <c:v>37923</c:v>
                </c:pt>
                <c:pt idx="709">
                  <c:v>37924</c:v>
                </c:pt>
                <c:pt idx="710">
                  <c:v>37925</c:v>
                </c:pt>
                <c:pt idx="711">
                  <c:v>37928</c:v>
                </c:pt>
                <c:pt idx="712">
                  <c:v>37929</c:v>
                </c:pt>
                <c:pt idx="713">
                  <c:v>37930</c:v>
                </c:pt>
                <c:pt idx="714">
                  <c:v>37931</c:v>
                </c:pt>
                <c:pt idx="715">
                  <c:v>37932</c:v>
                </c:pt>
                <c:pt idx="716">
                  <c:v>37935</c:v>
                </c:pt>
                <c:pt idx="717">
                  <c:v>37936</c:v>
                </c:pt>
                <c:pt idx="718">
                  <c:v>37937</c:v>
                </c:pt>
                <c:pt idx="719">
                  <c:v>37938</c:v>
                </c:pt>
                <c:pt idx="720">
                  <c:v>37939</c:v>
                </c:pt>
                <c:pt idx="721">
                  <c:v>37942</c:v>
                </c:pt>
                <c:pt idx="722">
                  <c:v>37943</c:v>
                </c:pt>
                <c:pt idx="723">
                  <c:v>37944</c:v>
                </c:pt>
                <c:pt idx="724">
                  <c:v>37945</c:v>
                </c:pt>
                <c:pt idx="725">
                  <c:v>37946</c:v>
                </c:pt>
                <c:pt idx="726">
                  <c:v>37949</c:v>
                </c:pt>
                <c:pt idx="727">
                  <c:v>37950</c:v>
                </c:pt>
                <c:pt idx="728">
                  <c:v>37951</c:v>
                </c:pt>
                <c:pt idx="729">
                  <c:v>37953</c:v>
                </c:pt>
                <c:pt idx="730">
                  <c:v>37956</c:v>
                </c:pt>
                <c:pt idx="731">
                  <c:v>37957</c:v>
                </c:pt>
                <c:pt idx="732">
                  <c:v>37958</c:v>
                </c:pt>
                <c:pt idx="733">
                  <c:v>37959</c:v>
                </c:pt>
                <c:pt idx="734">
                  <c:v>37960</c:v>
                </c:pt>
                <c:pt idx="735">
                  <c:v>37963</c:v>
                </c:pt>
                <c:pt idx="736">
                  <c:v>37964</c:v>
                </c:pt>
                <c:pt idx="737">
                  <c:v>37965</c:v>
                </c:pt>
                <c:pt idx="738">
                  <c:v>37966</c:v>
                </c:pt>
                <c:pt idx="739">
                  <c:v>37967</c:v>
                </c:pt>
                <c:pt idx="740">
                  <c:v>37970</c:v>
                </c:pt>
                <c:pt idx="741">
                  <c:v>37971</c:v>
                </c:pt>
                <c:pt idx="742">
                  <c:v>37972</c:v>
                </c:pt>
                <c:pt idx="743">
                  <c:v>37973</c:v>
                </c:pt>
                <c:pt idx="744">
                  <c:v>37974</c:v>
                </c:pt>
                <c:pt idx="745">
                  <c:v>37977</c:v>
                </c:pt>
                <c:pt idx="746">
                  <c:v>37978</c:v>
                </c:pt>
                <c:pt idx="747">
                  <c:v>37979</c:v>
                </c:pt>
                <c:pt idx="748">
                  <c:v>37981</c:v>
                </c:pt>
                <c:pt idx="749">
                  <c:v>37984</c:v>
                </c:pt>
                <c:pt idx="750">
                  <c:v>37985</c:v>
                </c:pt>
                <c:pt idx="751">
                  <c:v>37986</c:v>
                </c:pt>
                <c:pt idx="752">
                  <c:v>37988</c:v>
                </c:pt>
                <c:pt idx="753">
                  <c:v>37991</c:v>
                </c:pt>
                <c:pt idx="754">
                  <c:v>37992</c:v>
                </c:pt>
                <c:pt idx="755">
                  <c:v>37993</c:v>
                </c:pt>
                <c:pt idx="756">
                  <c:v>37994</c:v>
                </c:pt>
                <c:pt idx="757">
                  <c:v>37995</c:v>
                </c:pt>
                <c:pt idx="758">
                  <c:v>37998</c:v>
                </c:pt>
                <c:pt idx="759">
                  <c:v>37999</c:v>
                </c:pt>
                <c:pt idx="760">
                  <c:v>38000</c:v>
                </c:pt>
                <c:pt idx="761">
                  <c:v>38001</c:v>
                </c:pt>
                <c:pt idx="762">
                  <c:v>38002</c:v>
                </c:pt>
                <c:pt idx="763">
                  <c:v>38006</c:v>
                </c:pt>
                <c:pt idx="764">
                  <c:v>38007</c:v>
                </c:pt>
                <c:pt idx="765">
                  <c:v>38008</c:v>
                </c:pt>
                <c:pt idx="766">
                  <c:v>38009</c:v>
                </c:pt>
                <c:pt idx="767">
                  <c:v>38012</c:v>
                </c:pt>
                <c:pt idx="768">
                  <c:v>38013</c:v>
                </c:pt>
                <c:pt idx="769">
                  <c:v>38014</c:v>
                </c:pt>
                <c:pt idx="770">
                  <c:v>38015</c:v>
                </c:pt>
                <c:pt idx="771">
                  <c:v>38016</c:v>
                </c:pt>
                <c:pt idx="772">
                  <c:v>38019</c:v>
                </c:pt>
                <c:pt idx="773">
                  <c:v>38020</c:v>
                </c:pt>
                <c:pt idx="774">
                  <c:v>38021</c:v>
                </c:pt>
                <c:pt idx="775">
                  <c:v>38022</c:v>
                </c:pt>
                <c:pt idx="776">
                  <c:v>38023</c:v>
                </c:pt>
                <c:pt idx="777">
                  <c:v>38026</c:v>
                </c:pt>
                <c:pt idx="778">
                  <c:v>38027</c:v>
                </c:pt>
                <c:pt idx="779">
                  <c:v>38028</c:v>
                </c:pt>
                <c:pt idx="780">
                  <c:v>38029</c:v>
                </c:pt>
                <c:pt idx="781">
                  <c:v>38030</c:v>
                </c:pt>
                <c:pt idx="782">
                  <c:v>38034</c:v>
                </c:pt>
                <c:pt idx="783">
                  <c:v>38035</c:v>
                </c:pt>
                <c:pt idx="784">
                  <c:v>38036</c:v>
                </c:pt>
                <c:pt idx="785">
                  <c:v>38037</c:v>
                </c:pt>
                <c:pt idx="786">
                  <c:v>38040</c:v>
                </c:pt>
                <c:pt idx="787">
                  <c:v>38041</c:v>
                </c:pt>
                <c:pt idx="788">
                  <c:v>38042</c:v>
                </c:pt>
                <c:pt idx="789">
                  <c:v>38043</c:v>
                </c:pt>
                <c:pt idx="790">
                  <c:v>38044</c:v>
                </c:pt>
                <c:pt idx="791">
                  <c:v>38047</c:v>
                </c:pt>
                <c:pt idx="792">
                  <c:v>38048</c:v>
                </c:pt>
                <c:pt idx="793">
                  <c:v>38049</c:v>
                </c:pt>
                <c:pt idx="794">
                  <c:v>38050</c:v>
                </c:pt>
                <c:pt idx="795">
                  <c:v>38051</c:v>
                </c:pt>
                <c:pt idx="796">
                  <c:v>38054</c:v>
                </c:pt>
                <c:pt idx="797">
                  <c:v>38055</c:v>
                </c:pt>
                <c:pt idx="798">
                  <c:v>38056</c:v>
                </c:pt>
                <c:pt idx="799">
                  <c:v>38057</c:v>
                </c:pt>
                <c:pt idx="800">
                  <c:v>38058</c:v>
                </c:pt>
                <c:pt idx="801">
                  <c:v>38061</c:v>
                </c:pt>
                <c:pt idx="802">
                  <c:v>38062</c:v>
                </c:pt>
                <c:pt idx="803">
                  <c:v>38063</c:v>
                </c:pt>
                <c:pt idx="804">
                  <c:v>38064</c:v>
                </c:pt>
                <c:pt idx="805">
                  <c:v>38065</c:v>
                </c:pt>
                <c:pt idx="806">
                  <c:v>38068</c:v>
                </c:pt>
                <c:pt idx="807">
                  <c:v>38069</c:v>
                </c:pt>
                <c:pt idx="808">
                  <c:v>38070</c:v>
                </c:pt>
                <c:pt idx="809">
                  <c:v>38071</c:v>
                </c:pt>
                <c:pt idx="810">
                  <c:v>38072</c:v>
                </c:pt>
                <c:pt idx="811">
                  <c:v>38075</c:v>
                </c:pt>
                <c:pt idx="812">
                  <c:v>38076</c:v>
                </c:pt>
                <c:pt idx="813">
                  <c:v>38077</c:v>
                </c:pt>
                <c:pt idx="814">
                  <c:v>38078</c:v>
                </c:pt>
                <c:pt idx="815">
                  <c:v>38079</c:v>
                </c:pt>
                <c:pt idx="816">
                  <c:v>38082</c:v>
                </c:pt>
                <c:pt idx="817">
                  <c:v>38083</c:v>
                </c:pt>
                <c:pt idx="818">
                  <c:v>38084</c:v>
                </c:pt>
                <c:pt idx="819">
                  <c:v>38085</c:v>
                </c:pt>
                <c:pt idx="820">
                  <c:v>38089</c:v>
                </c:pt>
                <c:pt idx="821">
                  <c:v>38090</c:v>
                </c:pt>
                <c:pt idx="822">
                  <c:v>38091</c:v>
                </c:pt>
                <c:pt idx="823">
                  <c:v>38092</c:v>
                </c:pt>
                <c:pt idx="824">
                  <c:v>38093</c:v>
                </c:pt>
                <c:pt idx="825">
                  <c:v>38096</c:v>
                </c:pt>
                <c:pt idx="826">
                  <c:v>38097</c:v>
                </c:pt>
                <c:pt idx="827">
                  <c:v>38098</c:v>
                </c:pt>
                <c:pt idx="828">
                  <c:v>38099</c:v>
                </c:pt>
                <c:pt idx="829">
                  <c:v>38100</c:v>
                </c:pt>
                <c:pt idx="830">
                  <c:v>38103</c:v>
                </c:pt>
                <c:pt idx="831">
                  <c:v>38104</c:v>
                </c:pt>
                <c:pt idx="832">
                  <c:v>38105</c:v>
                </c:pt>
                <c:pt idx="833">
                  <c:v>38106</c:v>
                </c:pt>
                <c:pt idx="834">
                  <c:v>38107</c:v>
                </c:pt>
                <c:pt idx="835">
                  <c:v>38110</c:v>
                </c:pt>
                <c:pt idx="836">
                  <c:v>38111</c:v>
                </c:pt>
                <c:pt idx="837">
                  <c:v>38112</c:v>
                </c:pt>
                <c:pt idx="838">
                  <c:v>38113</c:v>
                </c:pt>
                <c:pt idx="839">
                  <c:v>38114</c:v>
                </c:pt>
                <c:pt idx="840">
                  <c:v>38117</c:v>
                </c:pt>
                <c:pt idx="841">
                  <c:v>38118</c:v>
                </c:pt>
                <c:pt idx="842">
                  <c:v>38119</c:v>
                </c:pt>
                <c:pt idx="843">
                  <c:v>38120</c:v>
                </c:pt>
                <c:pt idx="844">
                  <c:v>38121</c:v>
                </c:pt>
                <c:pt idx="845">
                  <c:v>38124</c:v>
                </c:pt>
                <c:pt idx="846">
                  <c:v>38125</c:v>
                </c:pt>
                <c:pt idx="847">
                  <c:v>38126</c:v>
                </c:pt>
                <c:pt idx="848">
                  <c:v>38127</c:v>
                </c:pt>
                <c:pt idx="849">
                  <c:v>38128</c:v>
                </c:pt>
                <c:pt idx="850">
                  <c:v>38131</c:v>
                </c:pt>
                <c:pt idx="851">
                  <c:v>38132</c:v>
                </c:pt>
                <c:pt idx="852">
                  <c:v>38133</c:v>
                </c:pt>
                <c:pt idx="853">
                  <c:v>38134</c:v>
                </c:pt>
                <c:pt idx="854">
                  <c:v>38135</c:v>
                </c:pt>
                <c:pt idx="855">
                  <c:v>38139</c:v>
                </c:pt>
                <c:pt idx="856">
                  <c:v>38140</c:v>
                </c:pt>
                <c:pt idx="857">
                  <c:v>38141</c:v>
                </c:pt>
                <c:pt idx="858">
                  <c:v>38142</c:v>
                </c:pt>
                <c:pt idx="859">
                  <c:v>38145</c:v>
                </c:pt>
                <c:pt idx="860">
                  <c:v>38146</c:v>
                </c:pt>
                <c:pt idx="861">
                  <c:v>38147</c:v>
                </c:pt>
                <c:pt idx="862">
                  <c:v>38148</c:v>
                </c:pt>
                <c:pt idx="863">
                  <c:v>38152</c:v>
                </c:pt>
                <c:pt idx="864">
                  <c:v>38153</c:v>
                </c:pt>
                <c:pt idx="865">
                  <c:v>38154</c:v>
                </c:pt>
                <c:pt idx="866">
                  <c:v>38155</c:v>
                </c:pt>
                <c:pt idx="867">
                  <c:v>38156</c:v>
                </c:pt>
                <c:pt idx="868">
                  <c:v>38159</c:v>
                </c:pt>
                <c:pt idx="869">
                  <c:v>38160</c:v>
                </c:pt>
                <c:pt idx="870">
                  <c:v>38161</c:v>
                </c:pt>
                <c:pt idx="871">
                  <c:v>38162</c:v>
                </c:pt>
                <c:pt idx="872">
                  <c:v>38163</c:v>
                </c:pt>
                <c:pt idx="873">
                  <c:v>38166</c:v>
                </c:pt>
                <c:pt idx="874">
                  <c:v>38167</c:v>
                </c:pt>
                <c:pt idx="875">
                  <c:v>38168</c:v>
                </c:pt>
                <c:pt idx="876">
                  <c:v>38169</c:v>
                </c:pt>
                <c:pt idx="877">
                  <c:v>38170</c:v>
                </c:pt>
                <c:pt idx="878">
                  <c:v>38174</c:v>
                </c:pt>
                <c:pt idx="879">
                  <c:v>38175</c:v>
                </c:pt>
                <c:pt idx="880">
                  <c:v>38176</c:v>
                </c:pt>
                <c:pt idx="881">
                  <c:v>38177</c:v>
                </c:pt>
                <c:pt idx="882">
                  <c:v>38180</c:v>
                </c:pt>
                <c:pt idx="883">
                  <c:v>38181</c:v>
                </c:pt>
                <c:pt idx="884">
                  <c:v>38182</c:v>
                </c:pt>
                <c:pt idx="885">
                  <c:v>38183</c:v>
                </c:pt>
                <c:pt idx="886">
                  <c:v>38184</c:v>
                </c:pt>
                <c:pt idx="887">
                  <c:v>38187</c:v>
                </c:pt>
                <c:pt idx="888">
                  <c:v>38188</c:v>
                </c:pt>
                <c:pt idx="889">
                  <c:v>38189</c:v>
                </c:pt>
                <c:pt idx="890">
                  <c:v>38190</c:v>
                </c:pt>
                <c:pt idx="891">
                  <c:v>38191</c:v>
                </c:pt>
                <c:pt idx="892">
                  <c:v>38194</c:v>
                </c:pt>
                <c:pt idx="893">
                  <c:v>38195</c:v>
                </c:pt>
                <c:pt idx="894">
                  <c:v>38196</c:v>
                </c:pt>
                <c:pt idx="895">
                  <c:v>38197</c:v>
                </c:pt>
                <c:pt idx="896">
                  <c:v>38198</c:v>
                </c:pt>
                <c:pt idx="897">
                  <c:v>38201</c:v>
                </c:pt>
                <c:pt idx="898">
                  <c:v>38202</c:v>
                </c:pt>
                <c:pt idx="899">
                  <c:v>38203</c:v>
                </c:pt>
                <c:pt idx="900">
                  <c:v>38204</c:v>
                </c:pt>
                <c:pt idx="901">
                  <c:v>38205</c:v>
                </c:pt>
                <c:pt idx="902">
                  <c:v>38208</c:v>
                </c:pt>
                <c:pt idx="903">
                  <c:v>38209</c:v>
                </c:pt>
                <c:pt idx="904">
                  <c:v>38210</c:v>
                </c:pt>
                <c:pt idx="905">
                  <c:v>38211</c:v>
                </c:pt>
                <c:pt idx="906">
                  <c:v>38212</c:v>
                </c:pt>
                <c:pt idx="907">
                  <c:v>38215</c:v>
                </c:pt>
                <c:pt idx="908">
                  <c:v>38216</c:v>
                </c:pt>
                <c:pt idx="909">
                  <c:v>38217</c:v>
                </c:pt>
                <c:pt idx="910">
                  <c:v>38218</c:v>
                </c:pt>
                <c:pt idx="911">
                  <c:v>38219</c:v>
                </c:pt>
                <c:pt idx="912">
                  <c:v>38222</c:v>
                </c:pt>
                <c:pt idx="913">
                  <c:v>38223</c:v>
                </c:pt>
                <c:pt idx="914">
                  <c:v>38224</c:v>
                </c:pt>
                <c:pt idx="915">
                  <c:v>38225</c:v>
                </c:pt>
                <c:pt idx="916">
                  <c:v>38226</c:v>
                </c:pt>
                <c:pt idx="917">
                  <c:v>38229</c:v>
                </c:pt>
                <c:pt idx="918">
                  <c:v>38230</c:v>
                </c:pt>
                <c:pt idx="919">
                  <c:v>38231</c:v>
                </c:pt>
                <c:pt idx="920">
                  <c:v>38232</c:v>
                </c:pt>
                <c:pt idx="921">
                  <c:v>38233</c:v>
                </c:pt>
                <c:pt idx="922">
                  <c:v>38237</c:v>
                </c:pt>
                <c:pt idx="923">
                  <c:v>38238</c:v>
                </c:pt>
                <c:pt idx="924">
                  <c:v>38239</c:v>
                </c:pt>
                <c:pt idx="925">
                  <c:v>38240</c:v>
                </c:pt>
                <c:pt idx="926">
                  <c:v>38243</c:v>
                </c:pt>
                <c:pt idx="927">
                  <c:v>38244</c:v>
                </c:pt>
                <c:pt idx="928">
                  <c:v>38245</c:v>
                </c:pt>
                <c:pt idx="929">
                  <c:v>38246</c:v>
                </c:pt>
                <c:pt idx="930">
                  <c:v>38247</c:v>
                </c:pt>
                <c:pt idx="931">
                  <c:v>38250</c:v>
                </c:pt>
                <c:pt idx="932">
                  <c:v>38251</c:v>
                </c:pt>
                <c:pt idx="933">
                  <c:v>38252</c:v>
                </c:pt>
                <c:pt idx="934">
                  <c:v>38253</c:v>
                </c:pt>
                <c:pt idx="935">
                  <c:v>38254</c:v>
                </c:pt>
                <c:pt idx="936">
                  <c:v>38257</c:v>
                </c:pt>
                <c:pt idx="937">
                  <c:v>38258</c:v>
                </c:pt>
                <c:pt idx="938">
                  <c:v>38259</c:v>
                </c:pt>
                <c:pt idx="939">
                  <c:v>38260</c:v>
                </c:pt>
                <c:pt idx="940">
                  <c:v>38261</c:v>
                </c:pt>
                <c:pt idx="941">
                  <c:v>38264</c:v>
                </c:pt>
                <c:pt idx="942">
                  <c:v>38265</c:v>
                </c:pt>
                <c:pt idx="943">
                  <c:v>38266</c:v>
                </c:pt>
                <c:pt idx="944">
                  <c:v>38267</c:v>
                </c:pt>
                <c:pt idx="945">
                  <c:v>38268</c:v>
                </c:pt>
                <c:pt idx="946">
                  <c:v>38271</c:v>
                </c:pt>
                <c:pt idx="947">
                  <c:v>38272</c:v>
                </c:pt>
                <c:pt idx="948">
                  <c:v>38273</c:v>
                </c:pt>
                <c:pt idx="949">
                  <c:v>38274</c:v>
                </c:pt>
                <c:pt idx="950">
                  <c:v>38275</c:v>
                </c:pt>
                <c:pt idx="951">
                  <c:v>38278</c:v>
                </c:pt>
                <c:pt idx="952">
                  <c:v>38279</c:v>
                </c:pt>
                <c:pt idx="953">
                  <c:v>38280</c:v>
                </c:pt>
                <c:pt idx="954">
                  <c:v>38281</c:v>
                </c:pt>
                <c:pt idx="955">
                  <c:v>38282</c:v>
                </c:pt>
                <c:pt idx="956">
                  <c:v>38285</c:v>
                </c:pt>
                <c:pt idx="957">
                  <c:v>38286</c:v>
                </c:pt>
                <c:pt idx="958">
                  <c:v>38287</c:v>
                </c:pt>
                <c:pt idx="959">
                  <c:v>38288</c:v>
                </c:pt>
                <c:pt idx="960">
                  <c:v>38289</c:v>
                </c:pt>
                <c:pt idx="961">
                  <c:v>38292</c:v>
                </c:pt>
                <c:pt idx="962">
                  <c:v>38293</c:v>
                </c:pt>
                <c:pt idx="963">
                  <c:v>38294</c:v>
                </c:pt>
                <c:pt idx="964">
                  <c:v>38295</c:v>
                </c:pt>
                <c:pt idx="965">
                  <c:v>38296</c:v>
                </c:pt>
                <c:pt idx="966">
                  <c:v>38299</c:v>
                </c:pt>
                <c:pt idx="967">
                  <c:v>38300</c:v>
                </c:pt>
                <c:pt idx="968">
                  <c:v>38301</c:v>
                </c:pt>
                <c:pt idx="969">
                  <c:v>38302</c:v>
                </c:pt>
                <c:pt idx="970">
                  <c:v>38303</c:v>
                </c:pt>
                <c:pt idx="971">
                  <c:v>38306</c:v>
                </c:pt>
                <c:pt idx="972">
                  <c:v>38307</c:v>
                </c:pt>
                <c:pt idx="973">
                  <c:v>38308</c:v>
                </c:pt>
                <c:pt idx="974">
                  <c:v>38309</c:v>
                </c:pt>
                <c:pt idx="975">
                  <c:v>38310</c:v>
                </c:pt>
                <c:pt idx="976">
                  <c:v>38313</c:v>
                </c:pt>
                <c:pt idx="977">
                  <c:v>38314</c:v>
                </c:pt>
                <c:pt idx="978">
                  <c:v>38315</c:v>
                </c:pt>
                <c:pt idx="979">
                  <c:v>38317</c:v>
                </c:pt>
                <c:pt idx="980">
                  <c:v>38320</c:v>
                </c:pt>
                <c:pt idx="981">
                  <c:v>38321</c:v>
                </c:pt>
                <c:pt idx="982">
                  <c:v>38322</c:v>
                </c:pt>
                <c:pt idx="983">
                  <c:v>38323</c:v>
                </c:pt>
                <c:pt idx="984">
                  <c:v>38324</c:v>
                </c:pt>
                <c:pt idx="985">
                  <c:v>38327</c:v>
                </c:pt>
                <c:pt idx="986">
                  <c:v>38328</c:v>
                </c:pt>
                <c:pt idx="987">
                  <c:v>38329</c:v>
                </c:pt>
                <c:pt idx="988">
                  <c:v>38330</c:v>
                </c:pt>
                <c:pt idx="989">
                  <c:v>38331</c:v>
                </c:pt>
                <c:pt idx="990">
                  <c:v>38334</c:v>
                </c:pt>
                <c:pt idx="991">
                  <c:v>38335</c:v>
                </c:pt>
                <c:pt idx="992">
                  <c:v>38336</c:v>
                </c:pt>
                <c:pt idx="993">
                  <c:v>38337</c:v>
                </c:pt>
                <c:pt idx="994">
                  <c:v>38338</c:v>
                </c:pt>
                <c:pt idx="995">
                  <c:v>38341</c:v>
                </c:pt>
                <c:pt idx="996">
                  <c:v>38342</c:v>
                </c:pt>
                <c:pt idx="997">
                  <c:v>38343</c:v>
                </c:pt>
                <c:pt idx="998">
                  <c:v>38344</c:v>
                </c:pt>
                <c:pt idx="999">
                  <c:v>38348</c:v>
                </c:pt>
                <c:pt idx="1000">
                  <c:v>38349</c:v>
                </c:pt>
                <c:pt idx="1001">
                  <c:v>38350</c:v>
                </c:pt>
                <c:pt idx="1002">
                  <c:v>38351</c:v>
                </c:pt>
                <c:pt idx="1003">
                  <c:v>38352</c:v>
                </c:pt>
                <c:pt idx="1004">
                  <c:v>38355</c:v>
                </c:pt>
                <c:pt idx="1005">
                  <c:v>38356</c:v>
                </c:pt>
                <c:pt idx="1006">
                  <c:v>38357</c:v>
                </c:pt>
                <c:pt idx="1007">
                  <c:v>38358</c:v>
                </c:pt>
                <c:pt idx="1008">
                  <c:v>38359</c:v>
                </c:pt>
                <c:pt idx="1009">
                  <c:v>38362</c:v>
                </c:pt>
                <c:pt idx="1010">
                  <c:v>38363</c:v>
                </c:pt>
                <c:pt idx="1011">
                  <c:v>38364</c:v>
                </c:pt>
                <c:pt idx="1012">
                  <c:v>38365</c:v>
                </c:pt>
                <c:pt idx="1013">
                  <c:v>38366</c:v>
                </c:pt>
                <c:pt idx="1014">
                  <c:v>38370</c:v>
                </c:pt>
                <c:pt idx="1015">
                  <c:v>38371</c:v>
                </c:pt>
                <c:pt idx="1016">
                  <c:v>38372</c:v>
                </c:pt>
                <c:pt idx="1017">
                  <c:v>38373</c:v>
                </c:pt>
                <c:pt idx="1018">
                  <c:v>38376</c:v>
                </c:pt>
                <c:pt idx="1019">
                  <c:v>38377</c:v>
                </c:pt>
                <c:pt idx="1020">
                  <c:v>38378</c:v>
                </c:pt>
                <c:pt idx="1021">
                  <c:v>38379</c:v>
                </c:pt>
                <c:pt idx="1022">
                  <c:v>38380</c:v>
                </c:pt>
                <c:pt idx="1023">
                  <c:v>38383</c:v>
                </c:pt>
                <c:pt idx="1024">
                  <c:v>38384</c:v>
                </c:pt>
                <c:pt idx="1025">
                  <c:v>38385</c:v>
                </c:pt>
                <c:pt idx="1026">
                  <c:v>38386</c:v>
                </c:pt>
                <c:pt idx="1027">
                  <c:v>38387</c:v>
                </c:pt>
                <c:pt idx="1028">
                  <c:v>38390</c:v>
                </c:pt>
                <c:pt idx="1029">
                  <c:v>38391</c:v>
                </c:pt>
                <c:pt idx="1030">
                  <c:v>38392</c:v>
                </c:pt>
                <c:pt idx="1031">
                  <c:v>38393</c:v>
                </c:pt>
                <c:pt idx="1032">
                  <c:v>38394</c:v>
                </c:pt>
                <c:pt idx="1033">
                  <c:v>38397</c:v>
                </c:pt>
                <c:pt idx="1034">
                  <c:v>38398</c:v>
                </c:pt>
                <c:pt idx="1035">
                  <c:v>38399</c:v>
                </c:pt>
                <c:pt idx="1036">
                  <c:v>38400</c:v>
                </c:pt>
                <c:pt idx="1037">
                  <c:v>38401</c:v>
                </c:pt>
                <c:pt idx="1038">
                  <c:v>38405</c:v>
                </c:pt>
                <c:pt idx="1039">
                  <c:v>38406</c:v>
                </c:pt>
                <c:pt idx="1040">
                  <c:v>38407</c:v>
                </c:pt>
                <c:pt idx="1041">
                  <c:v>38408</c:v>
                </c:pt>
                <c:pt idx="1042">
                  <c:v>38411</c:v>
                </c:pt>
                <c:pt idx="1043">
                  <c:v>38412</c:v>
                </c:pt>
                <c:pt idx="1044">
                  <c:v>38413</c:v>
                </c:pt>
                <c:pt idx="1045">
                  <c:v>38414</c:v>
                </c:pt>
                <c:pt idx="1046">
                  <c:v>38415</c:v>
                </c:pt>
                <c:pt idx="1047">
                  <c:v>38418</c:v>
                </c:pt>
                <c:pt idx="1048">
                  <c:v>38419</c:v>
                </c:pt>
                <c:pt idx="1049">
                  <c:v>38420</c:v>
                </c:pt>
                <c:pt idx="1050">
                  <c:v>38421</c:v>
                </c:pt>
                <c:pt idx="1051">
                  <c:v>38422</c:v>
                </c:pt>
                <c:pt idx="1052">
                  <c:v>38425</c:v>
                </c:pt>
                <c:pt idx="1053">
                  <c:v>38426</c:v>
                </c:pt>
                <c:pt idx="1054">
                  <c:v>38427</c:v>
                </c:pt>
                <c:pt idx="1055">
                  <c:v>38428</c:v>
                </c:pt>
                <c:pt idx="1056">
                  <c:v>38429</c:v>
                </c:pt>
                <c:pt idx="1057">
                  <c:v>38432</c:v>
                </c:pt>
                <c:pt idx="1058">
                  <c:v>38433</c:v>
                </c:pt>
                <c:pt idx="1059">
                  <c:v>38434</c:v>
                </c:pt>
                <c:pt idx="1060">
                  <c:v>38435</c:v>
                </c:pt>
                <c:pt idx="1061">
                  <c:v>38439</c:v>
                </c:pt>
                <c:pt idx="1062">
                  <c:v>38440</c:v>
                </c:pt>
                <c:pt idx="1063">
                  <c:v>38441</c:v>
                </c:pt>
                <c:pt idx="1064">
                  <c:v>38442</c:v>
                </c:pt>
                <c:pt idx="1065">
                  <c:v>38443</c:v>
                </c:pt>
                <c:pt idx="1066">
                  <c:v>38446</c:v>
                </c:pt>
                <c:pt idx="1067">
                  <c:v>38447</c:v>
                </c:pt>
                <c:pt idx="1068">
                  <c:v>38448</c:v>
                </c:pt>
                <c:pt idx="1069">
                  <c:v>38449</c:v>
                </c:pt>
                <c:pt idx="1070">
                  <c:v>38450</c:v>
                </c:pt>
                <c:pt idx="1071">
                  <c:v>38453</c:v>
                </c:pt>
                <c:pt idx="1072">
                  <c:v>38454</c:v>
                </c:pt>
                <c:pt idx="1073">
                  <c:v>38455</c:v>
                </c:pt>
                <c:pt idx="1074">
                  <c:v>38456</c:v>
                </c:pt>
                <c:pt idx="1075">
                  <c:v>38457</c:v>
                </c:pt>
                <c:pt idx="1076">
                  <c:v>38460</c:v>
                </c:pt>
                <c:pt idx="1077">
                  <c:v>38461</c:v>
                </c:pt>
                <c:pt idx="1078">
                  <c:v>38462</c:v>
                </c:pt>
                <c:pt idx="1079">
                  <c:v>38463</c:v>
                </c:pt>
                <c:pt idx="1080">
                  <c:v>38464</c:v>
                </c:pt>
                <c:pt idx="1081">
                  <c:v>38467</c:v>
                </c:pt>
                <c:pt idx="1082">
                  <c:v>38468</c:v>
                </c:pt>
                <c:pt idx="1083">
                  <c:v>38469</c:v>
                </c:pt>
                <c:pt idx="1084">
                  <c:v>38470</c:v>
                </c:pt>
                <c:pt idx="1085">
                  <c:v>38471</c:v>
                </c:pt>
                <c:pt idx="1086">
                  <c:v>38474</c:v>
                </c:pt>
                <c:pt idx="1087">
                  <c:v>38475</c:v>
                </c:pt>
                <c:pt idx="1088">
                  <c:v>38476</c:v>
                </c:pt>
                <c:pt idx="1089">
                  <c:v>38477</c:v>
                </c:pt>
                <c:pt idx="1090">
                  <c:v>38478</c:v>
                </c:pt>
                <c:pt idx="1091">
                  <c:v>38481</c:v>
                </c:pt>
                <c:pt idx="1092">
                  <c:v>38482</c:v>
                </c:pt>
                <c:pt idx="1093">
                  <c:v>38483</c:v>
                </c:pt>
                <c:pt idx="1094">
                  <c:v>38484</c:v>
                </c:pt>
                <c:pt idx="1095">
                  <c:v>38485</c:v>
                </c:pt>
                <c:pt idx="1096">
                  <c:v>38488</c:v>
                </c:pt>
                <c:pt idx="1097">
                  <c:v>38489</c:v>
                </c:pt>
                <c:pt idx="1098">
                  <c:v>38490</c:v>
                </c:pt>
                <c:pt idx="1099">
                  <c:v>38491</c:v>
                </c:pt>
                <c:pt idx="1100">
                  <c:v>38492</c:v>
                </c:pt>
                <c:pt idx="1101">
                  <c:v>38495</c:v>
                </c:pt>
                <c:pt idx="1102">
                  <c:v>38496</c:v>
                </c:pt>
                <c:pt idx="1103">
                  <c:v>38497</c:v>
                </c:pt>
                <c:pt idx="1104">
                  <c:v>38498</c:v>
                </c:pt>
                <c:pt idx="1105">
                  <c:v>38499</c:v>
                </c:pt>
                <c:pt idx="1106">
                  <c:v>38503</c:v>
                </c:pt>
                <c:pt idx="1107">
                  <c:v>38504</c:v>
                </c:pt>
                <c:pt idx="1108">
                  <c:v>38505</c:v>
                </c:pt>
                <c:pt idx="1109">
                  <c:v>38506</c:v>
                </c:pt>
                <c:pt idx="1110">
                  <c:v>38509</c:v>
                </c:pt>
                <c:pt idx="1111">
                  <c:v>38510</c:v>
                </c:pt>
                <c:pt idx="1112">
                  <c:v>38511</c:v>
                </c:pt>
                <c:pt idx="1113">
                  <c:v>38512</c:v>
                </c:pt>
                <c:pt idx="1114">
                  <c:v>38513</c:v>
                </c:pt>
                <c:pt idx="1115">
                  <c:v>38516</c:v>
                </c:pt>
                <c:pt idx="1116">
                  <c:v>38517</c:v>
                </c:pt>
                <c:pt idx="1117">
                  <c:v>38518</c:v>
                </c:pt>
                <c:pt idx="1118">
                  <c:v>38519</c:v>
                </c:pt>
                <c:pt idx="1119">
                  <c:v>38520</c:v>
                </c:pt>
                <c:pt idx="1120">
                  <c:v>38523</c:v>
                </c:pt>
                <c:pt idx="1121">
                  <c:v>38524</c:v>
                </c:pt>
                <c:pt idx="1122">
                  <c:v>38525</c:v>
                </c:pt>
                <c:pt idx="1123">
                  <c:v>38526</c:v>
                </c:pt>
                <c:pt idx="1124">
                  <c:v>38527</c:v>
                </c:pt>
                <c:pt idx="1125">
                  <c:v>38530</c:v>
                </c:pt>
                <c:pt idx="1126">
                  <c:v>38531</c:v>
                </c:pt>
                <c:pt idx="1127">
                  <c:v>38532</c:v>
                </c:pt>
                <c:pt idx="1128">
                  <c:v>38533</c:v>
                </c:pt>
                <c:pt idx="1129">
                  <c:v>38534</c:v>
                </c:pt>
                <c:pt idx="1130">
                  <c:v>38538</c:v>
                </c:pt>
                <c:pt idx="1131">
                  <c:v>38539</c:v>
                </c:pt>
                <c:pt idx="1132">
                  <c:v>38540</c:v>
                </c:pt>
                <c:pt idx="1133">
                  <c:v>38541</c:v>
                </c:pt>
                <c:pt idx="1134">
                  <c:v>38544</c:v>
                </c:pt>
                <c:pt idx="1135">
                  <c:v>38545</c:v>
                </c:pt>
                <c:pt idx="1136">
                  <c:v>38546</c:v>
                </c:pt>
                <c:pt idx="1137">
                  <c:v>38547</c:v>
                </c:pt>
                <c:pt idx="1138">
                  <c:v>38548</c:v>
                </c:pt>
                <c:pt idx="1139">
                  <c:v>38551</c:v>
                </c:pt>
                <c:pt idx="1140">
                  <c:v>38552</c:v>
                </c:pt>
                <c:pt idx="1141">
                  <c:v>38553</c:v>
                </c:pt>
                <c:pt idx="1142">
                  <c:v>38554</c:v>
                </c:pt>
                <c:pt idx="1143">
                  <c:v>38555</c:v>
                </c:pt>
                <c:pt idx="1144">
                  <c:v>38558</c:v>
                </c:pt>
                <c:pt idx="1145">
                  <c:v>38559</c:v>
                </c:pt>
                <c:pt idx="1146">
                  <c:v>38560</c:v>
                </c:pt>
                <c:pt idx="1147">
                  <c:v>38561</c:v>
                </c:pt>
                <c:pt idx="1148">
                  <c:v>38562</c:v>
                </c:pt>
                <c:pt idx="1149">
                  <c:v>38565</c:v>
                </c:pt>
                <c:pt idx="1150">
                  <c:v>38566</c:v>
                </c:pt>
                <c:pt idx="1151">
                  <c:v>38567</c:v>
                </c:pt>
                <c:pt idx="1152">
                  <c:v>38568</c:v>
                </c:pt>
                <c:pt idx="1153">
                  <c:v>38569</c:v>
                </c:pt>
                <c:pt idx="1154">
                  <c:v>38572</c:v>
                </c:pt>
                <c:pt idx="1155">
                  <c:v>38573</c:v>
                </c:pt>
                <c:pt idx="1156">
                  <c:v>38574</c:v>
                </c:pt>
                <c:pt idx="1157">
                  <c:v>38575</c:v>
                </c:pt>
                <c:pt idx="1158">
                  <c:v>38576</c:v>
                </c:pt>
                <c:pt idx="1159">
                  <c:v>38579</c:v>
                </c:pt>
                <c:pt idx="1160">
                  <c:v>38580</c:v>
                </c:pt>
                <c:pt idx="1161">
                  <c:v>38581</c:v>
                </c:pt>
                <c:pt idx="1162">
                  <c:v>38582</c:v>
                </c:pt>
                <c:pt idx="1163">
                  <c:v>38583</c:v>
                </c:pt>
                <c:pt idx="1164">
                  <c:v>38586</c:v>
                </c:pt>
                <c:pt idx="1165">
                  <c:v>38587</c:v>
                </c:pt>
                <c:pt idx="1166">
                  <c:v>38588</c:v>
                </c:pt>
                <c:pt idx="1167">
                  <c:v>38589</c:v>
                </c:pt>
                <c:pt idx="1168">
                  <c:v>38590</c:v>
                </c:pt>
                <c:pt idx="1169">
                  <c:v>38593</c:v>
                </c:pt>
                <c:pt idx="1170">
                  <c:v>38594</c:v>
                </c:pt>
                <c:pt idx="1171">
                  <c:v>38595</c:v>
                </c:pt>
                <c:pt idx="1172">
                  <c:v>38596</c:v>
                </c:pt>
                <c:pt idx="1173">
                  <c:v>38597</c:v>
                </c:pt>
                <c:pt idx="1174">
                  <c:v>38601</c:v>
                </c:pt>
                <c:pt idx="1175">
                  <c:v>38602</c:v>
                </c:pt>
                <c:pt idx="1176">
                  <c:v>38603</c:v>
                </c:pt>
                <c:pt idx="1177">
                  <c:v>38604</c:v>
                </c:pt>
                <c:pt idx="1178">
                  <c:v>38607</c:v>
                </c:pt>
                <c:pt idx="1179">
                  <c:v>38608</c:v>
                </c:pt>
                <c:pt idx="1180">
                  <c:v>38609</c:v>
                </c:pt>
                <c:pt idx="1181">
                  <c:v>38610</c:v>
                </c:pt>
                <c:pt idx="1182">
                  <c:v>38611</c:v>
                </c:pt>
                <c:pt idx="1183">
                  <c:v>38614</c:v>
                </c:pt>
                <c:pt idx="1184">
                  <c:v>38615</c:v>
                </c:pt>
                <c:pt idx="1185">
                  <c:v>38616</c:v>
                </c:pt>
                <c:pt idx="1186">
                  <c:v>38617</c:v>
                </c:pt>
                <c:pt idx="1187">
                  <c:v>38618</c:v>
                </c:pt>
                <c:pt idx="1188">
                  <c:v>38621</c:v>
                </c:pt>
                <c:pt idx="1189">
                  <c:v>38622</c:v>
                </c:pt>
                <c:pt idx="1190">
                  <c:v>38623</c:v>
                </c:pt>
                <c:pt idx="1191">
                  <c:v>38624</c:v>
                </c:pt>
                <c:pt idx="1192">
                  <c:v>38625</c:v>
                </c:pt>
                <c:pt idx="1193">
                  <c:v>38628</c:v>
                </c:pt>
                <c:pt idx="1194">
                  <c:v>38629</c:v>
                </c:pt>
                <c:pt idx="1195">
                  <c:v>38630</c:v>
                </c:pt>
                <c:pt idx="1196">
                  <c:v>38631</c:v>
                </c:pt>
                <c:pt idx="1197">
                  <c:v>38632</c:v>
                </c:pt>
                <c:pt idx="1198">
                  <c:v>38635</c:v>
                </c:pt>
                <c:pt idx="1199">
                  <c:v>38636</c:v>
                </c:pt>
                <c:pt idx="1200">
                  <c:v>38637</c:v>
                </c:pt>
                <c:pt idx="1201">
                  <c:v>38638</c:v>
                </c:pt>
                <c:pt idx="1202">
                  <c:v>38639</c:v>
                </c:pt>
                <c:pt idx="1203">
                  <c:v>38642</c:v>
                </c:pt>
                <c:pt idx="1204">
                  <c:v>38643</c:v>
                </c:pt>
                <c:pt idx="1205">
                  <c:v>38644</c:v>
                </c:pt>
                <c:pt idx="1206">
                  <c:v>38645</c:v>
                </c:pt>
                <c:pt idx="1207">
                  <c:v>38646</c:v>
                </c:pt>
                <c:pt idx="1208">
                  <c:v>38649</c:v>
                </c:pt>
                <c:pt idx="1209">
                  <c:v>38650</c:v>
                </c:pt>
                <c:pt idx="1210">
                  <c:v>38651</c:v>
                </c:pt>
                <c:pt idx="1211">
                  <c:v>38652</c:v>
                </c:pt>
                <c:pt idx="1212">
                  <c:v>38653</c:v>
                </c:pt>
                <c:pt idx="1213">
                  <c:v>38656</c:v>
                </c:pt>
                <c:pt idx="1214">
                  <c:v>38657</c:v>
                </c:pt>
                <c:pt idx="1215">
                  <c:v>38658</c:v>
                </c:pt>
                <c:pt idx="1216">
                  <c:v>38659</c:v>
                </c:pt>
                <c:pt idx="1217">
                  <c:v>38660</c:v>
                </c:pt>
                <c:pt idx="1218">
                  <c:v>38663</c:v>
                </c:pt>
                <c:pt idx="1219">
                  <c:v>38664</c:v>
                </c:pt>
                <c:pt idx="1220">
                  <c:v>38665</c:v>
                </c:pt>
                <c:pt idx="1221">
                  <c:v>38666</c:v>
                </c:pt>
                <c:pt idx="1222">
                  <c:v>38667</c:v>
                </c:pt>
                <c:pt idx="1223">
                  <c:v>38670</c:v>
                </c:pt>
                <c:pt idx="1224">
                  <c:v>38671</c:v>
                </c:pt>
                <c:pt idx="1225">
                  <c:v>38672</c:v>
                </c:pt>
                <c:pt idx="1226">
                  <c:v>38673</c:v>
                </c:pt>
                <c:pt idx="1227">
                  <c:v>38674</c:v>
                </c:pt>
                <c:pt idx="1228">
                  <c:v>38677</c:v>
                </c:pt>
                <c:pt idx="1229">
                  <c:v>38678</c:v>
                </c:pt>
                <c:pt idx="1230">
                  <c:v>38679</c:v>
                </c:pt>
                <c:pt idx="1231">
                  <c:v>38681</c:v>
                </c:pt>
                <c:pt idx="1232">
                  <c:v>38684</c:v>
                </c:pt>
                <c:pt idx="1233">
                  <c:v>38685</c:v>
                </c:pt>
                <c:pt idx="1234">
                  <c:v>38686</c:v>
                </c:pt>
                <c:pt idx="1235">
                  <c:v>38687</c:v>
                </c:pt>
                <c:pt idx="1236">
                  <c:v>38688</c:v>
                </c:pt>
                <c:pt idx="1237">
                  <c:v>38691</c:v>
                </c:pt>
                <c:pt idx="1238">
                  <c:v>38692</c:v>
                </c:pt>
                <c:pt idx="1239">
                  <c:v>38693</c:v>
                </c:pt>
                <c:pt idx="1240">
                  <c:v>38694</c:v>
                </c:pt>
                <c:pt idx="1241">
                  <c:v>38695</c:v>
                </c:pt>
                <c:pt idx="1242">
                  <c:v>38698</c:v>
                </c:pt>
                <c:pt idx="1243">
                  <c:v>38699</c:v>
                </c:pt>
                <c:pt idx="1244">
                  <c:v>38700</c:v>
                </c:pt>
                <c:pt idx="1245">
                  <c:v>38701</c:v>
                </c:pt>
                <c:pt idx="1246">
                  <c:v>38702</c:v>
                </c:pt>
                <c:pt idx="1247">
                  <c:v>38705</c:v>
                </c:pt>
                <c:pt idx="1248">
                  <c:v>38706</c:v>
                </c:pt>
                <c:pt idx="1249">
                  <c:v>38707</c:v>
                </c:pt>
                <c:pt idx="1250">
                  <c:v>38708</c:v>
                </c:pt>
                <c:pt idx="1251">
                  <c:v>38709</c:v>
                </c:pt>
                <c:pt idx="1252">
                  <c:v>38713</c:v>
                </c:pt>
                <c:pt idx="1253">
                  <c:v>38714</c:v>
                </c:pt>
                <c:pt idx="1254">
                  <c:v>38715</c:v>
                </c:pt>
                <c:pt idx="1255">
                  <c:v>38716</c:v>
                </c:pt>
                <c:pt idx="1256">
                  <c:v>38720</c:v>
                </c:pt>
                <c:pt idx="1257">
                  <c:v>38721</c:v>
                </c:pt>
                <c:pt idx="1258">
                  <c:v>38722</c:v>
                </c:pt>
                <c:pt idx="1259">
                  <c:v>38723</c:v>
                </c:pt>
                <c:pt idx="1260">
                  <c:v>38726</c:v>
                </c:pt>
                <c:pt idx="1261">
                  <c:v>38727</c:v>
                </c:pt>
                <c:pt idx="1262">
                  <c:v>38728</c:v>
                </c:pt>
                <c:pt idx="1263">
                  <c:v>38729</c:v>
                </c:pt>
                <c:pt idx="1264">
                  <c:v>38730</c:v>
                </c:pt>
                <c:pt idx="1265">
                  <c:v>38734</c:v>
                </c:pt>
                <c:pt idx="1266">
                  <c:v>38735</c:v>
                </c:pt>
                <c:pt idx="1267">
                  <c:v>38736</c:v>
                </c:pt>
                <c:pt idx="1268">
                  <c:v>38737</c:v>
                </c:pt>
                <c:pt idx="1269">
                  <c:v>38740</c:v>
                </c:pt>
                <c:pt idx="1270">
                  <c:v>38741</c:v>
                </c:pt>
                <c:pt idx="1271">
                  <c:v>38742</c:v>
                </c:pt>
                <c:pt idx="1272">
                  <c:v>38743</c:v>
                </c:pt>
                <c:pt idx="1273">
                  <c:v>38744</c:v>
                </c:pt>
                <c:pt idx="1274">
                  <c:v>38747</c:v>
                </c:pt>
                <c:pt idx="1275">
                  <c:v>38748</c:v>
                </c:pt>
                <c:pt idx="1276">
                  <c:v>38749</c:v>
                </c:pt>
                <c:pt idx="1277">
                  <c:v>38750</c:v>
                </c:pt>
                <c:pt idx="1278">
                  <c:v>38751</c:v>
                </c:pt>
                <c:pt idx="1279">
                  <c:v>38754</c:v>
                </c:pt>
                <c:pt idx="1280">
                  <c:v>38755</c:v>
                </c:pt>
                <c:pt idx="1281">
                  <c:v>38756</c:v>
                </c:pt>
                <c:pt idx="1282">
                  <c:v>38757</c:v>
                </c:pt>
                <c:pt idx="1283">
                  <c:v>38758</c:v>
                </c:pt>
                <c:pt idx="1284">
                  <c:v>38761</c:v>
                </c:pt>
                <c:pt idx="1285">
                  <c:v>38762</c:v>
                </c:pt>
                <c:pt idx="1286">
                  <c:v>38763</c:v>
                </c:pt>
                <c:pt idx="1287">
                  <c:v>38764</c:v>
                </c:pt>
                <c:pt idx="1288">
                  <c:v>38765</c:v>
                </c:pt>
                <c:pt idx="1289">
                  <c:v>38769</c:v>
                </c:pt>
                <c:pt idx="1290">
                  <c:v>38770</c:v>
                </c:pt>
                <c:pt idx="1291">
                  <c:v>38771</c:v>
                </c:pt>
                <c:pt idx="1292">
                  <c:v>38772</c:v>
                </c:pt>
                <c:pt idx="1293">
                  <c:v>38775</c:v>
                </c:pt>
                <c:pt idx="1294">
                  <c:v>38776</c:v>
                </c:pt>
                <c:pt idx="1295">
                  <c:v>38777</c:v>
                </c:pt>
                <c:pt idx="1296">
                  <c:v>38778</c:v>
                </c:pt>
                <c:pt idx="1297">
                  <c:v>38779</c:v>
                </c:pt>
                <c:pt idx="1298">
                  <c:v>38782</c:v>
                </c:pt>
                <c:pt idx="1299">
                  <c:v>38783</c:v>
                </c:pt>
                <c:pt idx="1300">
                  <c:v>38784</c:v>
                </c:pt>
                <c:pt idx="1301">
                  <c:v>38785</c:v>
                </c:pt>
                <c:pt idx="1302">
                  <c:v>38786</c:v>
                </c:pt>
                <c:pt idx="1303">
                  <c:v>38789</c:v>
                </c:pt>
                <c:pt idx="1304">
                  <c:v>38790</c:v>
                </c:pt>
                <c:pt idx="1305">
                  <c:v>38791</c:v>
                </c:pt>
                <c:pt idx="1306">
                  <c:v>38792</c:v>
                </c:pt>
                <c:pt idx="1307">
                  <c:v>38793</c:v>
                </c:pt>
                <c:pt idx="1308">
                  <c:v>38796</c:v>
                </c:pt>
                <c:pt idx="1309">
                  <c:v>38797</c:v>
                </c:pt>
                <c:pt idx="1310">
                  <c:v>38798</c:v>
                </c:pt>
                <c:pt idx="1311">
                  <c:v>38799</c:v>
                </c:pt>
                <c:pt idx="1312">
                  <c:v>38800</c:v>
                </c:pt>
                <c:pt idx="1313">
                  <c:v>38803</c:v>
                </c:pt>
                <c:pt idx="1314">
                  <c:v>38804</c:v>
                </c:pt>
                <c:pt idx="1315">
                  <c:v>38805</c:v>
                </c:pt>
                <c:pt idx="1316">
                  <c:v>38806</c:v>
                </c:pt>
                <c:pt idx="1317">
                  <c:v>38807</c:v>
                </c:pt>
                <c:pt idx="1318">
                  <c:v>38810</c:v>
                </c:pt>
                <c:pt idx="1319">
                  <c:v>38811</c:v>
                </c:pt>
                <c:pt idx="1320">
                  <c:v>38812</c:v>
                </c:pt>
                <c:pt idx="1321">
                  <c:v>38813</c:v>
                </c:pt>
                <c:pt idx="1322">
                  <c:v>38814</c:v>
                </c:pt>
                <c:pt idx="1323">
                  <c:v>38817</c:v>
                </c:pt>
                <c:pt idx="1324">
                  <c:v>38818</c:v>
                </c:pt>
                <c:pt idx="1325">
                  <c:v>38819</c:v>
                </c:pt>
                <c:pt idx="1326">
                  <c:v>38820</c:v>
                </c:pt>
                <c:pt idx="1327">
                  <c:v>38824</c:v>
                </c:pt>
                <c:pt idx="1328">
                  <c:v>38825</c:v>
                </c:pt>
                <c:pt idx="1329">
                  <c:v>38826</c:v>
                </c:pt>
                <c:pt idx="1330">
                  <c:v>38827</c:v>
                </c:pt>
                <c:pt idx="1331">
                  <c:v>38828</c:v>
                </c:pt>
                <c:pt idx="1332">
                  <c:v>38831</c:v>
                </c:pt>
                <c:pt idx="1333">
                  <c:v>38832</c:v>
                </c:pt>
                <c:pt idx="1334">
                  <c:v>38833</c:v>
                </c:pt>
                <c:pt idx="1335">
                  <c:v>38834</c:v>
                </c:pt>
                <c:pt idx="1336">
                  <c:v>38835</c:v>
                </c:pt>
                <c:pt idx="1337">
                  <c:v>38838</c:v>
                </c:pt>
                <c:pt idx="1338">
                  <c:v>38839</c:v>
                </c:pt>
                <c:pt idx="1339">
                  <c:v>38840</c:v>
                </c:pt>
                <c:pt idx="1340">
                  <c:v>38841</c:v>
                </c:pt>
                <c:pt idx="1341">
                  <c:v>38842</c:v>
                </c:pt>
                <c:pt idx="1342">
                  <c:v>38845</c:v>
                </c:pt>
                <c:pt idx="1343">
                  <c:v>38846</c:v>
                </c:pt>
                <c:pt idx="1344">
                  <c:v>38847</c:v>
                </c:pt>
                <c:pt idx="1345">
                  <c:v>38848</c:v>
                </c:pt>
                <c:pt idx="1346">
                  <c:v>38849</c:v>
                </c:pt>
                <c:pt idx="1347">
                  <c:v>38852</c:v>
                </c:pt>
                <c:pt idx="1348">
                  <c:v>38853</c:v>
                </c:pt>
                <c:pt idx="1349">
                  <c:v>38854</c:v>
                </c:pt>
                <c:pt idx="1350">
                  <c:v>38855</c:v>
                </c:pt>
                <c:pt idx="1351">
                  <c:v>38856</c:v>
                </c:pt>
                <c:pt idx="1352">
                  <c:v>38859</c:v>
                </c:pt>
                <c:pt idx="1353">
                  <c:v>38860</c:v>
                </c:pt>
                <c:pt idx="1354">
                  <c:v>38861</c:v>
                </c:pt>
                <c:pt idx="1355">
                  <c:v>38862</c:v>
                </c:pt>
                <c:pt idx="1356">
                  <c:v>38863</c:v>
                </c:pt>
                <c:pt idx="1357">
                  <c:v>38867</c:v>
                </c:pt>
                <c:pt idx="1358">
                  <c:v>38868</c:v>
                </c:pt>
                <c:pt idx="1359">
                  <c:v>38869</c:v>
                </c:pt>
                <c:pt idx="1360">
                  <c:v>38870</c:v>
                </c:pt>
                <c:pt idx="1361">
                  <c:v>38873</c:v>
                </c:pt>
                <c:pt idx="1362">
                  <c:v>38874</c:v>
                </c:pt>
                <c:pt idx="1363">
                  <c:v>38875</c:v>
                </c:pt>
                <c:pt idx="1364">
                  <c:v>38876</c:v>
                </c:pt>
                <c:pt idx="1365">
                  <c:v>38877</c:v>
                </c:pt>
                <c:pt idx="1366">
                  <c:v>38880</c:v>
                </c:pt>
                <c:pt idx="1367">
                  <c:v>38881</c:v>
                </c:pt>
                <c:pt idx="1368">
                  <c:v>38882</c:v>
                </c:pt>
                <c:pt idx="1369">
                  <c:v>38883</c:v>
                </c:pt>
                <c:pt idx="1370">
                  <c:v>38884</c:v>
                </c:pt>
                <c:pt idx="1371">
                  <c:v>38887</c:v>
                </c:pt>
                <c:pt idx="1372">
                  <c:v>38888</c:v>
                </c:pt>
                <c:pt idx="1373">
                  <c:v>38889</c:v>
                </c:pt>
                <c:pt idx="1374">
                  <c:v>38890</c:v>
                </c:pt>
                <c:pt idx="1375">
                  <c:v>38891</c:v>
                </c:pt>
                <c:pt idx="1376">
                  <c:v>38894</c:v>
                </c:pt>
                <c:pt idx="1377">
                  <c:v>38895</c:v>
                </c:pt>
                <c:pt idx="1378">
                  <c:v>38896</c:v>
                </c:pt>
                <c:pt idx="1379">
                  <c:v>38897</c:v>
                </c:pt>
                <c:pt idx="1380">
                  <c:v>38898</c:v>
                </c:pt>
                <c:pt idx="1381">
                  <c:v>38901</c:v>
                </c:pt>
                <c:pt idx="1382">
                  <c:v>38903</c:v>
                </c:pt>
                <c:pt idx="1383">
                  <c:v>38904</c:v>
                </c:pt>
                <c:pt idx="1384">
                  <c:v>38905</c:v>
                </c:pt>
                <c:pt idx="1385">
                  <c:v>38908</c:v>
                </c:pt>
                <c:pt idx="1386">
                  <c:v>38909</c:v>
                </c:pt>
                <c:pt idx="1387">
                  <c:v>38910</c:v>
                </c:pt>
                <c:pt idx="1388">
                  <c:v>38911</c:v>
                </c:pt>
                <c:pt idx="1389">
                  <c:v>38912</c:v>
                </c:pt>
                <c:pt idx="1390">
                  <c:v>38915</c:v>
                </c:pt>
                <c:pt idx="1391">
                  <c:v>38916</c:v>
                </c:pt>
                <c:pt idx="1392">
                  <c:v>38917</c:v>
                </c:pt>
                <c:pt idx="1393">
                  <c:v>38918</c:v>
                </c:pt>
                <c:pt idx="1394">
                  <c:v>38919</c:v>
                </c:pt>
                <c:pt idx="1395">
                  <c:v>38922</c:v>
                </c:pt>
                <c:pt idx="1396">
                  <c:v>38923</c:v>
                </c:pt>
                <c:pt idx="1397">
                  <c:v>38924</c:v>
                </c:pt>
                <c:pt idx="1398">
                  <c:v>38925</c:v>
                </c:pt>
                <c:pt idx="1399">
                  <c:v>38926</c:v>
                </c:pt>
                <c:pt idx="1400">
                  <c:v>38929</c:v>
                </c:pt>
                <c:pt idx="1401">
                  <c:v>38930</c:v>
                </c:pt>
                <c:pt idx="1402">
                  <c:v>38931</c:v>
                </c:pt>
                <c:pt idx="1403">
                  <c:v>38932</c:v>
                </c:pt>
                <c:pt idx="1404">
                  <c:v>38933</c:v>
                </c:pt>
                <c:pt idx="1405">
                  <c:v>38936</c:v>
                </c:pt>
                <c:pt idx="1406">
                  <c:v>38937</c:v>
                </c:pt>
                <c:pt idx="1407">
                  <c:v>38938</c:v>
                </c:pt>
                <c:pt idx="1408">
                  <c:v>38939</c:v>
                </c:pt>
                <c:pt idx="1409">
                  <c:v>38940</c:v>
                </c:pt>
                <c:pt idx="1410">
                  <c:v>38943</c:v>
                </c:pt>
                <c:pt idx="1411">
                  <c:v>38944</c:v>
                </c:pt>
                <c:pt idx="1412">
                  <c:v>38945</c:v>
                </c:pt>
                <c:pt idx="1413">
                  <c:v>38946</c:v>
                </c:pt>
                <c:pt idx="1414">
                  <c:v>38947</c:v>
                </c:pt>
                <c:pt idx="1415">
                  <c:v>38950</c:v>
                </c:pt>
                <c:pt idx="1416">
                  <c:v>38951</c:v>
                </c:pt>
                <c:pt idx="1417">
                  <c:v>38952</c:v>
                </c:pt>
                <c:pt idx="1418">
                  <c:v>38953</c:v>
                </c:pt>
                <c:pt idx="1419">
                  <c:v>38954</c:v>
                </c:pt>
                <c:pt idx="1420">
                  <c:v>38957</c:v>
                </c:pt>
                <c:pt idx="1421">
                  <c:v>38958</c:v>
                </c:pt>
                <c:pt idx="1422">
                  <c:v>38959</c:v>
                </c:pt>
                <c:pt idx="1423">
                  <c:v>38960</c:v>
                </c:pt>
                <c:pt idx="1424">
                  <c:v>38961</c:v>
                </c:pt>
                <c:pt idx="1425">
                  <c:v>38965</c:v>
                </c:pt>
                <c:pt idx="1426">
                  <c:v>38966</c:v>
                </c:pt>
                <c:pt idx="1427">
                  <c:v>38967</c:v>
                </c:pt>
                <c:pt idx="1428">
                  <c:v>38968</c:v>
                </c:pt>
                <c:pt idx="1429">
                  <c:v>38971</c:v>
                </c:pt>
                <c:pt idx="1430">
                  <c:v>38972</c:v>
                </c:pt>
                <c:pt idx="1431">
                  <c:v>38973</c:v>
                </c:pt>
                <c:pt idx="1432">
                  <c:v>38974</c:v>
                </c:pt>
                <c:pt idx="1433">
                  <c:v>38975</c:v>
                </c:pt>
                <c:pt idx="1434">
                  <c:v>38978</c:v>
                </c:pt>
                <c:pt idx="1435">
                  <c:v>38979</c:v>
                </c:pt>
                <c:pt idx="1436">
                  <c:v>38980</c:v>
                </c:pt>
                <c:pt idx="1437">
                  <c:v>38981</c:v>
                </c:pt>
                <c:pt idx="1438">
                  <c:v>38982</c:v>
                </c:pt>
                <c:pt idx="1439">
                  <c:v>38985</c:v>
                </c:pt>
                <c:pt idx="1440">
                  <c:v>38986</c:v>
                </c:pt>
                <c:pt idx="1441">
                  <c:v>38987</c:v>
                </c:pt>
                <c:pt idx="1442">
                  <c:v>38988</c:v>
                </c:pt>
                <c:pt idx="1443">
                  <c:v>38989</c:v>
                </c:pt>
                <c:pt idx="1444">
                  <c:v>38992</c:v>
                </c:pt>
                <c:pt idx="1445">
                  <c:v>38993</c:v>
                </c:pt>
                <c:pt idx="1446">
                  <c:v>38994</c:v>
                </c:pt>
                <c:pt idx="1447">
                  <c:v>38995</c:v>
                </c:pt>
                <c:pt idx="1448">
                  <c:v>38996</c:v>
                </c:pt>
                <c:pt idx="1449">
                  <c:v>38999</c:v>
                </c:pt>
                <c:pt idx="1450">
                  <c:v>39000</c:v>
                </c:pt>
                <c:pt idx="1451">
                  <c:v>39001</c:v>
                </c:pt>
                <c:pt idx="1452">
                  <c:v>39002</c:v>
                </c:pt>
                <c:pt idx="1453">
                  <c:v>39003</c:v>
                </c:pt>
                <c:pt idx="1454">
                  <c:v>39006</c:v>
                </c:pt>
                <c:pt idx="1455">
                  <c:v>39007</c:v>
                </c:pt>
                <c:pt idx="1456">
                  <c:v>39008</c:v>
                </c:pt>
                <c:pt idx="1457">
                  <c:v>39009</c:v>
                </c:pt>
                <c:pt idx="1458">
                  <c:v>39010</c:v>
                </c:pt>
                <c:pt idx="1459">
                  <c:v>39013</c:v>
                </c:pt>
                <c:pt idx="1460">
                  <c:v>39014</c:v>
                </c:pt>
                <c:pt idx="1461">
                  <c:v>39015</c:v>
                </c:pt>
                <c:pt idx="1462">
                  <c:v>39016</c:v>
                </c:pt>
                <c:pt idx="1463">
                  <c:v>39017</c:v>
                </c:pt>
                <c:pt idx="1464">
                  <c:v>39020</c:v>
                </c:pt>
                <c:pt idx="1465">
                  <c:v>39021</c:v>
                </c:pt>
                <c:pt idx="1466">
                  <c:v>39022</c:v>
                </c:pt>
                <c:pt idx="1467">
                  <c:v>39023</c:v>
                </c:pt>
                <c:pt idx="1468">
                  <c:v>39024</c:v>
                </c:pt>
                <c:pt idx="1469">
                  <c:v>39027</c:v>
                </c:pt>
                <c:pt idx="1470">
                  <c:v>39028</c:v>
                </c:pt>
                <c:pt idx="1471">
                  <c:v>39029</c:v>
                </c:pt>
                <c:pt idx="1472">
                  <c:v>39030</c:v>
                </c:pt>
                <c:pt idx="1473">
                  <c:v>39031</c:v>
                </c:pt>
                <c:pt idx="1474">
                  <c:v>39034</c:v>
                </c:pt>
                <c:pt idx="1475">
                  <c:v>39035</c:v>
                </c:pt>
                <c:pt idx="1476">
                  <c:v>39036</c:v>
                </c:pt>
                <c:pt idx="1477">
                  <c:v>39037</c:v>
                </c:pt>
                <c:pt idx="1478">
                  <c:v>39038</c:v>
                </c:pt>
                <c:pt idx="1479">
                  <c:v>39041</c:v>
                </c:pt>
                <c:pt idx="1480">
                  <c:v>39042</c:v>
                </c:pt>
                <c:pt idx="1481">
                  <c:v>39043</c:v>
                </c:pt>
                <c:pt idx="1482">
                  <c:v>39045</c:v>
                </c:pt>
                <c:pt idx="1483">
                  <c:v>39048</c:v>
                </c:pt>
                <c:pt idx="1484">
                  <c:v>39049</c:v>
                </c:pt>
                <c:pt idx="1485">
                  <c:v>39050</c:v>
                </c:pt>
                <c:pt idx="1486">
                  <c:v>39051</c:v>
                </c:pt>
                <c:pt idx="1487">
                  <c:v>39052</c:v>
                </c:pt>
                <c:pt idx="1488">
                  <c:v>39055</c:v>
                </c:pt>
                <c:pt idx="1489">
                  <c:v>39056</c:v>
                </c:pt>
                <c:pt idx="1490">
                  <c:v>39057</c:v>
                </c:pt>
                <c:pt idx="1491">
                  <c:v>39058</c:v>
                </c:pt>
                <c:pt idx="1492">
                  <c:v>39059</c:v>
                </c:pt>
                <c:pt idx="1493">
                  <c:v>39062</c:v>
                </c:pt>
                <c:pt idx="1494">
                  <c:v>39063</c:v>
                </c:pt>
                <c:pt idx="1495">
                  <c:v>39064</c:v>
                </c:pt>
                <c:pt idx="1496">
                  <c:v>39065</c:v>
                </c:pt>
                <c:pt idx="1497">
                  <c:v>39066</c:v>
                </c:pt>
                <c:pt idx="1498">
                  <c:v>39069</c:v>
                </c:pt>
                <c:pt idx="1499">
                  <c:v>39070</c:v>
                </c:pt>
                <c:pt idx="1500">
                  <c:v>39071</c:v>
                </c:pt>
                <c:pt idx="1501">
                  <c:v>39072</c:v>
                </c:pt>
                <c:pt idx="1502">
                  <c:v>39073</c:v>
                </c:pt>
                <c:pt idx="1503">
                  <c:v>39077</c:v>
                </c:pt>
                <c:pt idx="1504">
                  <c:v>39078</c:v>
                </c:pt>
                <c:pt idx="1505">
                  <c:v>39079</c:v>
                </c:pt>
                <c:pt idx="1506">
                  <c:v>39080</c:v>
                </c:pt>
                <c:pt idx="1507">
                  <c:v>39085</c:v>
                </c:pt>
                <c:pt idx="1508">
                  <c:v>39086</c:v>
                </c:pt>
                <c:pt idx="1509">
                  <c:v>39087</c:v>
                </c:pt>
                <c:pt idx="1510">
                  <c:v>39090</c:v>
                </c:pt>
                <c:pt idx="1511">
                  <c:v>39091</c:v>
                </c:pt>
                <c:pt idx="1512">
                  <c:v>39092</c:v>
                </c:pt>
                <c:pt idx="1513">
                  <c:v>39093</c:v>
                </c:pt>
                <c:pt idx="1514">
                  <c:v>39094</c:v>
                </c:pt>
                <c:pt idx="1515">
                  <c:v>39098</c:v>
                </c:pt>
                <c:pt idx="1516">
                  <c:v>39099</c:v>
                </c:pt>
                <c:pt idx="1517">
                  <c:v>39100</c:v>
                </c:pt>
                <c:pt idx="1518">
                  <c:v>39101</c:v>
                </c:pt>
                <c:pt idx="1519">
                  <c:v>39104</c:v>
                </c:pt>
                <c:pt idx="1520">
                  <c:v>39105</c:v>
                </c:pt>
                <c:pt idx="1521">
                  <c:v>39106</c:v>
                </c:pt>
                <c:pt idx="1522">
                  <c:v>39107</c:v>
                </c:pt>
                <c:pt idx="1523">
                  <c:v>39108</c:v>
                </c:pt>
                <c:pt idx="1524">
                  <c:v>39111</c:v>
                </c:pt>
                <c:pt idx="1525">
                  <c:v>39112</c:v>
                </c:pt>
                <c:pt idx="1526">
                  <c:v>39113</c:v>
                </c:pt>
                <c:pt idx="1527">
                  <c:v>39114</c:v>
                </c:pt>
                <c:pt idx="1528">
                  <c:v>39115</c:v>
                </c:pt>
                <c:pt idx="1529">
                  <c:v>39118</c:v>
                </c:pt>
                <c:pt idx="1530">
                  <c:v>39119</c:v>
                </c:pt>
                <c:pt idx="1531">
                  <c:v>39120</c:v>
                </c:pt>
                <c:pt idx="1532">
                  <c:v>39121</c:v>
                </c:pt>
                <c:pt idx="1533">
                  <c:v>39122</c:v>
                </c:pt>
                <c:pt idx="1534">
                  <c:v>39125</c:v>
                </c:pt>
                <c:pt idx="1535">
                  <c:v>39126</c:v>
                </c:pt>
                <c:pt idx="1536">
                  <c:v>39127</c:v>
                </c:pt>
                <c:pt idx="1537">
                  <c:v>39128</c:v>
                </c:pt>
                <c:pt idx="1538">
                  <c:v>39129</c:v>
                </c:pt>
                <c:pt idx="1539">
                  <c:v>39133</c:v>
                </c:pt>
                <c:pt idx="1540">
                  <c:v>39134</c:v>
                </c:pt>
                <c:pt idx="1541">
                  <c:v>39135</c:v>
                </c:pt>
                <c:pt idx="1542">
                  <c:v>39136</c:v>
                </c:pt>
                <c:pt idx="1543">
                  <c:v>39139</c:v>
                </c:pt>
                <c:pt idx="1544">
                  <c:v>39140</c:v>
                </c:pt>
                <c:pt idx="1545">
                  <c:v>39141</c:v>
                </c:pt>
                <c:pt idx="1546">
                  <c:v>39142</c:v>
                </c:pt>
                <c:pt idx="1547">
                  <c:v>39143</c:v>
                </c:pt>
                <c:pt idx="1548">
                  <c:v>39146</c:v>
                </c:pt>
                <c:pt idx="1549">
                  <c:v>39147</c:v>
                </c:pt>
                <c:pt idx="1550">
                  <c:v>39148</c:v>
                </c:pt>
                <c:pt idx="1551">
                  <c:v>39149</c:v>
                </c:pt>
                <c:pt idx="1552">
                  <c:v>39150</c:v>
                </c:pt>
                <c:pt idx="1553">
                  <c:v>39153</c:v>
                </c:pt>
                <c:pt idx="1554">
                  <c:v>39154</c:v>
                </c:pt>
                <c:pt idx="1555">
                  <c:v>39155</c:v>
                </c:pt>
                <c:pt idx="1556">
                  <c:v>39156</c:v>
                </c:pt>
                <c:pt idx="1557">
                  <c:v>39157</c:v>
                </c:pt>
                <c:pt idx="1558">
                  <c:v>39160</c:v>
                </c:pt>
                <c:pt idx="1559">
                  <c:v>39161</c:v>
                </c:pt>
                <c:pt idx="1560">
                  <c:v>39162</c:v>
                </c:pt>
                <c:pt idx="1561">
                  <c:v>39163</c:v>
                </c:pt>
                <c:pt idx="1562">
                  <c:v>39164</c:v>
                </c:pt>
                <c:pt idx="1563">
                  <c:v>39167</c:v>
                </c:pt>
                <c:pt idx="1564">
                  <c:v>39168</c:v>
                </c:pt>
                <c:pt idx="1565">
                  <c:v>39169</c:v>
                </c:pt>
                <c:pt idx="1566">
                  <c:v>39170</c:v>
                </c:pt>
                <c:pt idx="1567">
                  <c:v>39171</c:v>
                </c:pt>
                <c:pt idx="1568">
                  <c:v>39174</c:v>
                </c:pt>
                <c:pt idx="1569">
                  <c:v>39175</c:v>
                </c:pt>
                <c:pt idx="1570">
                  <c:v>39176</c:v>
                </c:pt>
                <c:pt idx="1571">
                  <c:v>39177</c:v>
                </c:pt>
                <c:pt idx="1572">
                  <c:v>39181</c:v>
                </c:pt>
                <c:pt idx="1573">
                  <c:v>39182</c:v>
                </c:pt>
                <c:pt idx="1574">
                  <c:v>39183</c:v>
                </c:pt>
                <c:pt idx="1575">
                  <c:v>39184</c:v>
                </c:pt>
                <c:pt idx="1576">
                  <c:v>39185</c:v>
                </c:pt>
                <c:pt idx="1577">
                  <c:v>39188</c:v>
                </c:pt>
                <c:pt idx="1578">
                  <c:v>39189</c:v>
                </c:pt>
                <c:pt idx="1579">
                  <c:v>39190</c:v>
                </c:pt>
                <c:pt idx="1580">
                  <c:v>39191</c:v>
                </c:pt>
                <c:pt idx="1581">
                  <c:v>39192</c:v>
                </c:pt>
                <c:pt idx="1582">
                  <c:v>39195</c:v>
                </c:pt>
                <c:pt idx="1583">
                  <c:v>39196</c:v>
                </c:pt>
                <c:pt idx="1584">
                  <c:v>39197</c:v>
                </c:pt>
                <c:pt idx="1585">
                  <c:v>39198</c:v>
                </c:pt>
                <c:pt idx="1586">
                  <c:v>39199</c:v>
                </c:pt>
                <c:pt idx="1587">
                  <c:v>39202</c:v>
                </c:pt>
                <c:pt idx="1588">
                  <c:v>39203</c:v>
                </c:pt>
                <c:pt idx="1589">
                  <c:v>39204</c:v>
                </c:pt>
                <c:pt idx="1590">
                  <c:v>39205</c:v>
                </c:pt>
                <c:pt idx="1591">
                  <c:v>39206</c:v>
                </c:pt>
                <c:pt idx="1592">
                  <c:v>39209</c:v>
                </c:pt>
                <c:pt idx="1593">
                  <c:v>39210</c:v>
                </c:pt>
                <c:pt idx="1594">
                  <c:v>39211</c:v>
                </c:pt>
                <c:pt idx="1595">
                  <c:v>39212</c:v>
                </c:pt>
                <c:pt idx="1596">
                  <c:v>39213</c:v>
                </c:pt>
                <c:pt idx="1597">
                  <c:v>39216</c:v>
                </c:pt>
                <c:pt idx="1598">
                  <c:v>39217</c:v>
                </c:pt>
                <c:pt idx="1599">
                  <c:v>39218</c:v>
                </c:pt>
                <c:pt idx="1600">
                  <c:v>39219</c:v>
                </c:pt>
                <c:pt idx="1601">
                  <c:v>39220</c:v>
                </c:pt>
                <c:pt idx="1602">
                  <c:v>39223</c:v>
                </c:pt>
                <c:pt idx="1603">
                  <c:v>39224</c:v>
                </c:pt>
                <c:pt idx="1604">
                  <c:v>39225</c:v>
                </c:pt>
                <c:pt idx="1605">
                  <c:v>39226</c:v>
                </c:pt>
                <c:pt idx="1606">
                  <c:v>39227</c:v>
                </c:pt>
                <c:pt idx="1607">
                  <c:v>39231</c:v>
                </c:pt>
                <c:pt idx="1608">
                  <c:v>39232</c:v>
                </c:pt>
                <c:pt idx="1609">
                  <c:v>39233</c:v>
                </c:pt>
                <c:pt idx="1610">
                  <c:v>39234</c:v>
                </c:pt>
                <c:pt idx="1611">
                  <c:v>39237</c:v>
                </c:pt>
                <c:pt idx="1612">
                  <c:v>39238</c:v>
                </c:pt>
                <c:pt idx="1613">
                  <c:v>39239</c:v>
                </c:pt>
                <c:pt idx="1614">
                  <c:v>39240</c:v>
                </c:pt>
                <c:pt idx="1615">
                  <c:v>39241</c:v>
                </c:pt>
                <c:pt idx="1616">
                  <c:v>39244</c:v>
                </c:pt>
                <c:pt idx="1617">
                  <c:v>39245</c:v>
                </c:pt>
                <c:pt idx="1618">
                  <c:v>39246</c:v>
                </c:pt>
                <c:pt idx="1619">
                  <c:v>39247</c:v>
                </c:pt>
                <c:pt idx="1620">
                  <c:v>39248</c:v>
                </c:pt>
                <c:pt idx="1621">
                  <c:v>39251</c:v>
                </c:pt>
                <c:pt idx="1622">
                  <c:v>39252</c:v>
                </c:pt>
                <c:pt idx="1623">
                  <c:v>39253</c:v>
                </c:pt>
                <c:pt idx="1624">
                  <c:v>39254</c:v>
                </c:pt>
                <c:pt idx="1625">
                  <c:v>39255</c:v>
                </c:pt>
                <c:pt idx="1626">
                  <c:v>39258</c:v>
                </c:pt>
                <c:pt idx="1627">
                  <c:v>39259</c:v>
                </c:pt>
                <c:pt idx="1628">
                  <c:v>39260</c:v>
                </c:pt>
                <c:pt idx="1629">
                  <c:v>39261</c:v>
                </c:pt>
                <c:pt idx="1630">
                  <c:v>39262</c:v>
                </c:pt>
                <c:pt idx="1631">
                  <c:v>39265</c:v>
                </c:pt>
                <c:pt idx="1632">
                  <c:v>39266</c:v>
                </c:pt>
                <c:pt idx="1633">
                  <c:v>39268</c:v>
                </c:pt>
                <c:pt idx="1634">
                  <c:v>39269</c:v>
                </c:pt>
                <c:pt idx="1635">
                  <c:v>39272</c:v>
                </c:pt>
                <c:pt idx="1636">
                  <c:v>39273</c:v>
                </c:pt>
                <c:pt idx="1637">
                  <c:v>39274</c:v>
                </c:pt>
                <c:pt idx="1638">
                  <c:v>39275</c:v>
                </c:pt>
                <c:pt idx="1639">
                  <c:v>39276</c:v>
                </c:pt>
                <c:pt idx="1640">
                  <c:v>39279</c:v>
                </c:pt>
                <c:pt idx="1641">
                  <c:v>39280</c:v>
                </c:pt>
                <c:pt idx="1642">
                  <c:v>39281</c:v>
                </c:pt>
                <c:pt idx="1643">
                  <c:v>39282</c:v>
                </c:pt>
                <c:pt idx="1644">
                  <c:v>39283</c:v>
                </c:pt>
                <c:pt idx="1645">
                  <c:v>39286</c:v>
                </c:pt>
                <c:pt idx="1646">
                  <c:v>39287</c:v>
                </c:pt>
                <c:pt idx="1647">
                  <c:v>39288</c:v>
                </c:pt>
                <c:pt idx="1648">
                  <c:v>39289</c:v>
                </c:pt>
                <c:pt idx="1649">
                  <c:v>39290</c:v>
                </c:pt>
                <c:pt idx="1650">
                  <c:v>39293</c:v>
                </c:pt>
                <c:pt idx="1651">
                  <c:v>39294</c:v>
                </c:pt>
                <c:pt idx="1652">
                  <c:v>39295</c:v>
                </c:pt>
                <c:pt idx="1653">
                  <c:v>39296</c:v>
                </c:pt>
                <c:pt idx="1654">
                  <c:v>39297</c:v>
                </c:pt>
                <c:pt idx="1655">
                  <c:v>39300</c:v>
                </c:pt>
                <c:pt idx="1656">
                  <c:v>39301</c:v>
                </c:pt>
                <c:pt idx="1657">
                  <c:v>39302</c:v>
                </c:pt>
                <c:pt idx="1658">
                  <c:v>39303</c:v>
                </c:pt>
                <c:pt idx="1659">
                  <c:v>39304</c:v>
                </c:pt>
                <c:pt idx="1660">
                  <c:v>39307</c:v>
                </c:pt>
                <c:pt idx="1661">
                  <c:v>39308</c:v>
                </c:pt>
                <c:pt idx="1662">
                  <c:v>39309</c:v>
                </c:pt>
                <c:pt idx="1663">
                  <c:v>39310</c:v>
                </c:pt>
                <c:pt idx="1664">
                  <c:v>39311</c:v>
                </c:pt>
                <c:pt idx="1665">
                  <c:v>39314</c:v>
                </c:pt>
                <c:pt idx="1666">
                  <c:v>39315</c:v>
                </c:pt>
                <c:pt idx="1667">
                  <c:v>39316</c:v>
                </c:pt>
                <c:pt idx="1668">
                  <c:v>39317</c:v>
                </c:pt>
                <c:pt idx="1669">
                  <c:v>39318</c:v>
                </c:pt>
                <c:pt idx="1670">
                  <c:v>39321</c:v>
                </c:pt>
                <c:pt idx="1671">
                  <c:v>39322</c:v>
                </c:pt>
                <c:pt idx="1672">
                  <c:v>39323</c:v>
                </c:pt>
                <c:pt idx="1673">
                  <c:v>39324</c:v>
                </c:pt>
                <c:pt idx="1674">
                  <c:v>39325</c:v>
                </c:pt>
                <c:pt idx="1675">
                  <c:v>39329</c:v>
                </c:pt>
                <c:pt idx="1676">
                  <c:v>39330</c:v>
                </c:pt>
                <c:pt idx="1677">
                  <c:v>39331</c:v>
                </c:pt>
                <c:pt idx="1678">
                  <c:v>39332</c:v>
                </c:pt>
                <c:pt idx="1679">
                  <c:v>39335</c:v>
                </c:pt>
                <c:pt idx="1680">
                  <c:v>39336</c:v>
                </c:pt>
                <c:pt idx="1681">
                  <c:v>39337</c:v>
                </c:pt>
                <c:pt idx="1682">
                  <c:v>39338</c:v>
                </c:pt>
                <c:pt idx="1683">
                  <c:v>39339</c:v>
                </c:pt>
                <c:pt idx="1684">
                  <c:v>39342</c:v>
                </c:pt>
                <c:pt idx="1685">
                  <c:v>39343</c:v>
                </c:pt>
                <c:pt idx="1686">
                  <c:v>39344</c:v>
                </c:pt>
                <c:pt idx="1687">
                  <c:v>39345</c:v>
                </c:pt>
                <c:pt idx="1688">
                  <c:v>39346</c:v>
                </c:pt>
                <c:pt idx="1689">
                  <c:v>39349</c:v>
                </c:pt>
                <c:pt idx="1690">
                  <c:v>39350</c:v>
                </c:pt>
                <c:pt idx="1691">
                  <c:v>39351</c:v>
                </c:pt>
                <c:pt idx="1692">
                  <c:v>39352</c:v>
                </c:pt>
                <c:pt idx="1693">
                  <c:v>39353</c:v>
                </c:pt>
                <c:pt idx="1694">
                  <c:v>39356</c:v>
                </c:pt>
                <c:pt idx="1695">
                  <c:v>39357</c:v>
                </c:pt>
                <c:pt idx="1696">
                  <c:v>39358</c:v>
                </c:pt>
                <c:pt idx="1697">
                  <c:v>39359</c:v>
                </c:pt>
                <c:pt idx="1698">
                  <c:v>39360</c:v>
                </c:pt>
                <c:pt idx="1699">
                  <c:v>39363</c:v>
                </c:pt>
                <c:pt idx="1700">
                  <c:v>39364</c:v>
                </c:pt>
                <c:pt idx="1701">
                  <c:v>39365</c:v>
                </c:pt>
                <c:pt idx="1702">
                  <c:v>39366</c:v>
                </c:pt>
                <c:pt idx="1703">
                  <c:v>39367</c:v>
                </c:pt>
                <c:pt idx="1704">
                  <c:v>39370</c:v>
                </c:pt>
                <c:pt idx="1705">
                  <c:v>39371</c:v>
                </c:pt>
                <c:pt idx="1706">
                  <c:v>39372</c:v>
                </c:pt>
                <c:pt idx="1707">
                  <c:v>39373</c:v>
                </c:pt>
                <c:pt idx="1708">
                  <c:v>39374</c:v>
                </c:pt>
                <c:pt idx="1709">
                  <c:v>39377</c:v>
                </c:pt>
                <c:pt idx="1710">
                  <c:v>39378</c:v>
                </c:pt>
                <c:pt idx="1711">
                  <c:v>39379</c:v>
                </c:pt>
                <c:pt idx="1712">
                  <c:v>39380</c:v>
                </c:pt>
                <c:pt idx="1713">
                  <c:v>39381</c:v>
                </c:pt>
                <c:pt idx="1714">
                  <c:v>39384</c:v>
                </c:pt>
                <c:pt idx="1715">
                  <c:v>39385</c:v>
                </c:pt>
                <c:pt idx="1716">
                  <c:v>39386</c:v>
                </c:pt>
                <c:pt idx="1717">
                  <c:v>39387</c:v>
                </c:pt>
                <c:pt idx="1718">
                  <c:v>39388</c:v>
                </c:pt>
                <c:pt idx="1719">
                  <c:v>39391</c:v>
                </c:pt>
                <c:pt idx="1720">
                  <c:v>39392</c:v>
                </c:pt>
                <c:pt idx="1721">
                  <c:v>39393</c:v>
                </c:pt>
                <c:pt idx="1722">
                  <c:v>39394</c:v>
                </c:pt>
                <c:pt idx="1723">
                  <c:v>39395</c:v>
                </c:pt>
                <c:pt idx="1724">
                  <c:v>39398</c:v>
                </c:pt>
                <c:pt idx="1725">
                  <c:v>39399</c:v>
                </c:pt>
                <c:pt idx="1726">
                  <c:v>39400</c:v>
                </c:pt>
                <c:pt idx="1727">
                  <c:v>39401</c:v>
                </c:pt>
                <c:pt idx="1728">
                  <c:v>39402</c:v>
                </c:pt>
                <c:pt idx="1729">
                  <c:v>39405</c:v>
                </c:pt>
                <c:pt idx="1730">
                  <c:v>39406</c:v>
                </c:pt>
                <c:pt idx="1731">
                  <c:v>39407</c:v>
                </c:pt>
                <c:pt idx="1732">
                  <c:v>39409</c:v>
                </c:pt>
                <c:pt idx="1733">
                  <c:v>39412</c:v>
                </c:pt>
                <c:pt idx="1734">
                  <c:v>39413</c:v>
                </c:pt>
                <c:pt idx="1735">
                  <c:v>39414</c:v>
                </c:pt>
                <c:pt idx="1736">
                  <c:v>39415</c:v>
                </c:pt>
                <c:pt idx="1737">
                  <c:v>39416</c:v>
                </c:pt>
                <c:pt idx="1738">
                  <c:v>39419</c:v>
                </c:pt>
                <c:pt idx="1739">
                  <c:v>39420</c:v>
                </c:pt>
                <c:pt idx="1740">
                  <c:v>39421</c:v>
                </c:pt>
                <c:pt idx="1741">
                  <c:v>39422</c:v>
                </c:pt>
                <c:pt idx="1742">
                  <c:v>39423</c:v>
                </c:pt>
                <c:pt idx="1743">
                  <c:v>39426</c:v>
                </c:pt>
                <c:pt idx="1744">
                  <c:v>39427</c:v>
                </c:pt>
                <c:pt idx="1745">
                  <c:v>39428</c:v>
                </c:pt>
                <c:pt idx="1746">
                  <c:v>39429</c:v>
                </c:pt>
                <c:pt idx="1747">
                  <c:v>39430</c:v>
                </c:pt>
                <c:pt idx="1748">
                  <c:v>39433</c:v>
                </c:pt>
                <c:pt idx="1749">
                  <c:v>39434</c:v>
                </c:pt>
                <c:pt idx="1750">
                  <c:v>39435</c:v>
                </c:pt>
                <c:pt idx="1751">
                  <c:v>39436</c:v>
                </c:pt>
                <c:pt idx="1752">
                  <c:v>39437</c:v>
                </c:pt>
                <c:pt idx="1753">
                  <c:v>39440</c:v>
                </c:pt>
                <c:pt idx="1754">
                  <c:v>39442</c:v>
                </c:pt>
                <c:pt idx="1755">
                  <c:v>39443</c:v>
                </c:pt>
                <c:pt idx="1756">
                  <c:v>39444</c:v>
                </c:pt>
                <c:pt idx="1757">
                  <c:v>39447</c:v>
                </c:pt>
                <c:pt idx="1758">
                  <c:v>39449</c:v>
                </c:pt>
                <c:pt idx="1759">
                  <c:v>39451</c:v>
                </c:pt>
                <c:pt idx="1760">
                  <c:v>39454</c:v>
                </c:pt>
                <c:pt idx="1761">
                  <c:v>39455</c:v>
                </c:pt>
                <c:pt idx="1762">
                  <c:v>39456</c:v>
                </c:pt>
                <c:pt idx="1763">
                  <c:v>39457</c:v>
                </c:pt>
                <c:pt idx="1764">
                  <c:v>39458</c:v>
                </c:pt>
                <c:pt idx="1765">
                  <c:v>39461</c:v>
                </c:pt>
                <c:pt idx="1766">
                  <c:v>39462</c:v>
                </c:pt>
                <c:pt idx="1767">
                  <c:v>39463</c:v>
                </c:pt>
                <c:pt idx="1768">
                  <c:v>39464</c:v>
                </c:pt>
                <c:pt idx="1769">
                  <c:v>39465</c:v>
                </c:pt>
                <c:pt idx="1770">
                  <c:v>39469</c:v>
                </c:pt>
                <c:pt idx="1771">
                  <c:v>39470</c:v>
                </c:pt>
                <c:pt idx="1772">
                  <c:v>39471</c:v>
                </c:pt>
                <c:pt idx="1773">
                  <c:v>39472</c:v>
                </c:pt>
                <c:pt idx="1774">
                  <c:v>39475</c:v>
                </c:pt>
                <c:pt idx="1775">
                  <c:v>39476</c:v>
                </c:pt>
                <c:pt idx="1776">
                  <c:v>39477</c:v>
                </c:pt>
                <c:pt idx="1777">
                  <c:v>39478</c:v>
                </c:pt>
                <c:pt idx="1778">
                  <c:v>39479</c:v>
                </c:pt>
                <c:pt idx="1779">
                  <c:v>39482</c:v>
                </c:pt>
                <c:pt idx="1780">
                  <c:v>39483</c:v>
                </c:pt>
                <c:pt idx="1781">
                  <c:v>39484</c:v>
                </c:pt>
                <c:pt idx="1782">
                  <c:v>39485</c:v>
                </c:pt>
                <c:pt idx="1783">
                  <c:v>39486</c:v>
                </c:pt>
                <c:pt idx="1784">
                  <c:v>39489</c:v>
                </c:pt>
                <c:pt idx="1785">
                  <c:v>39490</c:v>
                </c:pt>
                <c:pt idx="1786">
                  <c:v>39491</c:v>
                </c:pt>
                <c:pt idx="1787">
                  <c:v>39492</c:v>
                </c:pt>
                <c:pt idx="1788">
                  <c:v>39493</c:v>
                </c:pt>
                <c:pt idx="1789">
                  <c:v>39497</c:v>
                </c:pt>
                <c:pt idx="1790">
                  <c:v>39498</c:v>
                </c:pt>
                <c:pt idx="1791">
                  <c:v>39499</c:v>
                </c:pt>
                <c:pt idx="1792">
                  <c:v>39500</c:v>
                </c:pt>
                <c:pt idx="1793">
                  <c:v>39503</c:v>
                </c:pt>
                <c:pt idx="1794">
                  <c:v>39504</c:v>
                </c:pt>
                <c:pt idx="1795">
                  <c:v>39505</c:v>
                </c:pt>
                <c:pt idx="1796">
                  <c:v>39506</c:v>
                </c:pt>
                <c:pt idx="1797">
                  <c:v>39507</c:v>
                </c:pt>
                <c:pt idx="1798">
                  <c:v>39510</c:v>
                </c:pt>
                <c:pt idx="1799">
                  <c:v>39511</c:v>
                </c:pt>
                <c:pt idx="1800">
                  <c:v>39512</c:v>
                </c:pt>
                <c:pt idx="1801">
                  <c:v>39513</c:v>
                </c:pt>
                <c:pt idx="1802">
                  <c:v>39514</c:v>
                </c:pt>
                <c:pt idx="1803">
                  <c:v>39517</c:v>
                </c:pt>
                <c:pt idx="1804">
                  <c:v>39518</c:v>
                </c:pt>
                <c:pt idx="1805">
                  <c:v>39519</c:v>
                </c:pt>
                <c:pt idx="1806">
                  <c:v>39520</c:v>
                </c:pt>
                <c:pt idx="1807">
                  <c:v>39521</c:v>
                </c:pt>
                <c:pt idx="1808">
                  <c:v>39524</c:v>
                </c:pt>
                <c:pt idx="1809">
                  <c:v>39525</c:v>
                </c:pt>
                <c:pt idx="1810">
                  <c:v>39526</c:v>
                </c:pt>
                <c:pt idx="1811">
                  <c:v>39527</c:v>
                </c:pt>
                <c:pt idx="1812">
                  <c:v>39531</c:v>
                </c:pt>
                <c:pt idx="1813">
                  <c:v>39532</c:v>
                </c:pt>
                <c:pt idx="1814">
                  <c:v>39533</c:v>
                </c:pt>
                <c:pt idx="1815">
                  <c:v>39534</c:v>
                </c:pt>
                <c:pt idx="1816">
                  <c:v>39535</c:v>
                </c:pt>
                <c:pt idx="1817">
                  <c:v>39538</c:v>
                </c:pt>
                <c:pt idx="1818">
                  <c:v>39539</c:v>
                </c:pt>
                <c:pt idx="1819">
                  <c:v>39540</c:v>
                </c:pt>
                <c:pt idx="1820">
                  <c:v>39541</c:v>
                </c:pt>
                <c:pt idx="1821">
                  <c:v>39542</c:v>
                </c:pt>
                <c:pt idx="1822">
                  <c:v>39545</c:v>
                </c:pt>
                <c:pt idx="1823">
                  <c:v>39546</c:v>
                </c:pt>
                <c:pt idx="1824">
                  <c:v>39547</c:v>
                </c:pt>
                <c:pt idx="1825">
                  <c:v>39548</c:v>
                </c:pt>
                <c:pt idx="1826">
                  <c:v>39549</c:v>
                </c:pt>
                <c:pt idx="1827">
                  <c:v>39552</c:v>
                </c:pt>
                <c:pt idx="1828">
                  <c:v>39553</c:v>
                </c:pt>
                <c:pt idx="1829">
                  <c:v>39554</c:v>
                </c:pt>
                <c:pt idx="1830">
                  <c:v>39555</c:v>
                </c:pt>
                <c:pt idx="1831">
                  <c:v>39556</c:v>
                </c:pt>
                <c:pt idx="1832">
                  <c:v>39559</c:v>
                </c:pt>
                <c:pt idx="1833">
                  <c:v>39560</c:v>
                </c:pt>
                <c:pt idx="1834">
                  <c:v>39561</c:v>
                </c:pt>
                <c:pt idx="1835">
                  <c:v>39562</c:v>
                </c:pt>
                <c:pt idx="1836">
                  <c:v>39563</c:v>
                </c:pt>
                <c:pt idx="1837">
                  <c:v>39566</c:v>
                </c:pt>
                <c:pt idx="1838">
                  <c:v>39567</c:v>
                </c:pt>
                <c:pt idx="1839">
                  <c:v>39568</c:v>
                </c:pt>
                <c:pt idx="1840">
                  <c:v>39569</c:v>
                </c:pt>
                <c:pt idx="1841">
                  <c:v>39570</c:v>
                </c:pt>
                <c:pt idx="1842">
                  <c:v>39573</c:v>
                </c:pt>
                <c:pt idx="1843">
                  <c:v>39574</c:v>
                </c:pt>
                <c:pt idx="1844">
                  <c:v>39575</c:v>
                </c:pt>
                <c:pt idx="1845">
                  <c:v>39576</c:v>
                </c:pt>
                <c:pt idx="1846">
                  <c:v>39577</c:v>
                </c:pt>
                <c:pt idx="1847">
                  <c:v>39580</c:v>
                </c:pt>
                <c:pt idx="1848">
                  <c:v>39581</c:v>
                </c:pt>
                <c:pt idx="1849">
                  <c:v>39582</c:v>
                </c:pt>
                <c:pt idx="1850">
                  <c:v>39583</c:v>
                </c:pt>
                <c:pt idx="1851">
                  <c:v>39584</c:v>
                </c:pt>
                <c:pt idx="1852">
                  <c:v>39587</c:v>
                </c:pt>
                <c:pt idx="1853">
                  <c:v>39588</c:v>
                </c:pt>
                <c:pt idx="1854">
                  <c:v>39589</c:v>
                </c:pt>
                <c:pt idx="1855">
                  <c:v>39590</c:v>
                </c:pt>
                <c:pt idx="1856">
                  <c:v>39591</c:v>
                </c:pt>
                <c:pt idx="1857">
                  <c:v>39595</c:v>
                </c:pt>
                <c:pt idx="1858">
                  <c:v>39596</c:v>
                </c:pt>
                <c:pt idx="1859">
                  <c:v>39597</c:v>
                </c:pt>
                <c:pt idx="1860">
                  <c:v>39598</c:v>
                </c:pt>
                <c:pt idx="1861">
                  <c:v>39601</c:v>
                </c:pt>
                <c:pt idx="1862">
                  <c:v>39602</c:v>
                </c:pt>
                <c:pt idx="1863">
                  <c:v>39603</c:v>
                </c:pt>
                <c:pt idx="1864">
                  <c:v>39604</c:v>
                </c:pt>
                <c:pt idx="1865">
                  <c:v>39605</c:v>
                </c:pt>
                <c:pt idx="1866">
                  <c:v>39608</c:v>
                </c:pt>
                <c:pt idx="1867">
                  <c:v>39609</c:v>
                </c:pt>
                <c:pt idx="1868">
                  <c:v>39610</c:v>
                </c:pt>
                <c:pt idx="1869">
                  <c:v>39611</c:v>
                </c:pt>
                <c:pt idx="1870">
                  <c:v>39612</c:v>
                </c:pt>
                <c:pt idx="1871">
                  <c:v>39615</c:v>
                </c:pt>
                <c:pt idx="1872">
                  <c:v>39616</c:v>
                </c:pt>
                <c:pt idx="1873">
                  <c:v>39617</c:v>
                </c:pt>
                <c:pt idx="1874">
                  <c:v>39618</c:v>
                </c:pt>
                <c:pt idx="1875">
                  <c:v>39619</c:v>
                </c:pt>
                <c:pt idx="1876">
                  <c:v>39622</c:v>
                </c:pt>
                <c:pt idx="1877">
                  <c:v>39623</c:v>
                </c:pt>
                <c:pt idx="1878">
                  <c:v>39624</c:v>
                </c:pt>
                <c:pt idx="1879">
                  <c:v>39625</c:v>
                </c:pt>
                <c:pt idx="1880">
                  <c:v>39626</c:v>
                </c:pt>
                <c:pt idx="1881">
                  <c:v>39629</c:v>
                </c:pt>
                <c:pt idx="1882">
                  <c:v>39630</c:v>
                </c:pt>
                <c:pt idx="1883">
                  <c:v>39631</c:v>
                </c:pt>
                <c:pt idx="1884">
                  <c:v>39632</c:v>
                </c:pt>
                <c:pt idx="1885">
                  <c:v>39636</c:v>
                </c:pt>
                <c:pt idx="1886">
                  <c:v>39637</c:v>
                </c:pt>
                <c:pt idx="1887">
                  <c:v>39638</c:v>
                </c:pt>
                <c:pt idx="1888">
                  <c:v>39639</c:v>
                </c:pt>
                <c:pt idx="1889">
                  <c:v>39640</c:v>
                </c:pt>
                <c:pt idx="1890">
                  <c:v>39643</c:v>
                </c:pt>
                <c:pt idx="1891">
                  <c:v>39644</c:v>
                </c:pt>
                <c:pt idx="1892">
                  <c:v>39645</c:v>
                </c:pt>
                <c:pt idx="1893">
                  <c:v>39646</c:v>
                </c:pt>
                <c:pt idx="1894">
                  <c:v>39647</c:v>
                </c:pt>
                <c:pt idx="1895">
                  <c:v>39650</c:v>
                </c:pt>
                <c:pt idx="1896">
                  <c:v>39651</c:v>
                </c:pt>
                <c:pt idx="1897">
                  <c:v>39652</c:v>
                </c:pt>
                <c:pt idx="1898">
                  <c:v>39653</c:v>
                </c:pt>
                <c:pt idx="1899">
                  <c:v>39654</c:v>
                </c:pt>
                <c:pt idx="1900">
                  <c:v>39657</c:v>
                </c:pt>
                <c:pt idx="1901">
                  <c:v>39658</c:v>
                </c:pt>
                <c:pt idx="1902">
                  <c:v>39659</c:v>
                </c:pt>
                <c:pt idx="1903">
                  <c:v>39660</c:v>
                </c:pt>
                <c:pt idx="1904">
                  <c:v>39661</c:v>
                </c:pt>
                <c:pt idx="1905">
                  <c:v>39664</c:v>
                </c:pt>
                <c:pt idx="1906">
                  <c:v>39665</c:v>
                </c:pt>
                <c:pt idx="1907">
                  <c:v>39666</c:v>
                </c:pt>
                <c:pt idx="1908">
                  <c:v>39667</c:v>
                </c:pt>
                <c:pt idx="1909">
                  <c:v>39668</c:v>
                </c:pt>
                <c:pt idx="1910">
                  <c:v>39671</c:v>
                </c:pt>
                <c:pt idx="1911">
                  <c:v>39672</c:v>
                </c:pt>
                <c:pt idx="1912">
                  <c:v>39673</c:v>
                </c:pt>
                <c:pt idx="1913">
                  <c:v>39674</c:v>
                </c:pt>
                <c:pt idx="1914">
                  <c:v>39675</c:v>
                </c:pt>
                <c:pt idx="1915">
                  <c:v>39678</c:v>
                </c:pt>
                <c:pt idx="1916">
                  <c:v>39679</c:v>
                </c:pt>
                <c:pt idx="1917">
                  <c:v>39680</c:v>
                </c:pt>
                <c:pt idx="1918">
                  <c:v>39681</c:v>
                </c:pt>
                <c:pt idx="1919">
                  <c:v>39682</c:v>
                </c:pt>
                <c:pt idx="1920">
                  <c:v>39685</c:v>
                </c:pt>
                <c:pt idx="1921">
                  <c:v>39686</c:v>
                </c:pt>
                <c:pt idx="1922">
                  <c:v>39687</c:v>
                </c:pt>
                <c:pt idx="1923">
                  <c:v>39688</c:v>
                </c:pt>
                <c:pt idx="1924">
                  <c:v>39689</c:v>
                </c:pt>
                <c:pt idx="1925">
                  <c:v>39693</c:v>
                </c:pt>
                <c:pt idx="1926">
                  <c:v>39694</c:v>
                </c:pt>
                <c:pt idx="1927">
                  <c:v>39695</c:v>
                </c:pt>
                <c:pt idx="1928">
                  <c:v>39696</c:v>
                </c:pt>
                <c:pt idx="1929">
                  <c:v>39699</c:v>
                </c:pt>
                <c:pt idx="1930">
                  <c:v>39700</c:v>
                </c:pt>
                <c:pt idx="1931">
                  <c:v>39701</c:v>
                </c:pt>
                <c:pt idx="1932">
                  <c:v>39702</c:v>
                </c:pt>
                <c:pt idx="1933">
                  <c:v>39703</c:v>
                </c:pt>
                <c:pt idx="1934">
                  <c:v>39706</c:v>
                </c:pt>
                <c:pt idx="1935">
                  <c:v>39707</c:v>
                </c:pt>
                <c:pt idx="1936">
                  <c:v>39708</c:v>
                </c:pt>
                <c:pt idx="1937">
                  <c:v>39709</c:v>
                </c:pt>
                <c:pt idx="1938">
                  <c:v>39710</c:v>
                </c:pt>
                <c:pt idx="1939">
                  <c:v>39713</c:v>
                </c:pt>
                <c:pt idx="1940">
                  <c:v>39714</c:v>
                </c:pt>
                <c:pt idx="1941">
                  <c:v>39715</c:v>
                </c:pt>
                <c:pt idx="1942">
                  <c:v>39716</c:v>
                </c:pt>
                <c:pt idx="1943">
                  <c:v>39717</c:v>
                </c:pt>
                <c:pt idx="1944">
                  <c:v>39720</c:v>
                </c:pt>
                <c:pt idx="1945">
                  <c:v>39721</c:v>
                </c:pt>
                <c:pt idx="1946">
                  <c:v>39722</c:v>
                </c:pt>
                <c:pt idx="1947">
                  <c:v>39723</c:v>
                </c:pt>
                <c:pt idx="1948">
                  <c:v>39724</c:v>
                </c:pt>
                <c:pt idx="1949">
                  <c:v>39727</c:v>
                </c:pt>
                <c:pt idx="1950">
                  <c:v>39728</c:v>
                </c:pt>
                <c:pt idx="1951">
                  <c:v>39729</c:v>
                </c:pt>
                <c:pt idx="1952">
                  <c:v>39730</c:v>
                </c:pt>
                <c:pt idx="1953">
                  <c:v>39731</c:v>
                </c:pt>
                <c:pt idx="1954">
                  <c:v>39734</c:v>
                </c:pt>
                <c:pt idx="1955">
                  <c:v>39735</c:v>
                </c:pt>
                <c:pt idx="1956">
                  <c:v>39736</c:v>
                </c:pt>
                <c:pt idx="1957">
                  <c:v>39737</c:v>
                </c:pt>
                <c:pt idx="1958">
                  <c:v>39738</c:v>
                </c:pt>
                <c:pt idx="1959">
                  <c:v>39741</c:v>
                </c:pt>
                <c:pt idx="1960">
                  <c:v>39742</c:v>
                </c:pt>
                <c:pt idx="1961">
                  <c:v>39743</c:v>
                </c:pt>
                <c:pt idx="1962">
                  <c:v>39744</c:v>
                </c:pt>
                <c:pt idx="1963">
                  <c:v>39745</c:v>
                </c:pt>
                <c:pt idx="1964">
                  <c:v>39748</c:v>
                </c:pt>
                <c:pt idx="1965">
                  <c:v>39749</c:v>
                </c:pt>
                <c:pt idx="1966">
                  <c:v>39750</c:v>
                </c:pt>
                <c:pt idx="1967">
                  <c:v>39751</c:v>
                </c:pt>
                <c:pt idx="1968">
                  <c:v>39752</c:v>
                </c:pt>
                <c:pt idx="1969">
                  <c:v>39755</c:v>
                </c:pt>
                <c:pt idx="1970">
                  <c:v>39756</c:v>
                </c:pt>
                <c:pt idx="1971">
                  <c:v>39757</c:v>
                </c:pt>
                <c:pt idx="1972">
                  <c:v>39758</c:v>
                </c:pt>
                <c:pt idx="1973">
                  <c:v>39759</c:v>
                </c:pt>
                <c:pt idx="1974">
                  <c:v>39762</c:v>
                </c:pt>
                <c:pt idx="1975">
                  <c:v>39763</c:v>
                </c:pt>
                <c:pt idx="1976">
                  <c:v>39764</c:v>
                </c:pt>
                <c:pt idx="1977">
                  <c:v>39765</c:v>
                </c:pt>
                <c:pt idx="1978">
                  <c:v>39766</c:v>
                </c:pt>
                <c:pt idx="1979">
                  <c:v>39769</c:v>
                </c:pt>
                <c:pt idx="1980">
                  <c:v>39770</c:v>
                </c:pt>
                <c:pt idx="1981">
                  <c:v>39771</c:v>
                </c:pt>
                <c:pt idx="1982">
                  <c:v>39772</c:v>
                </c:pt>
                <c:pt idx="1983">
                  <c:v>39773</c:v>
                </c:pt>
                <c:pt idx="1984">
                  <c:v>39776</c:v>
                </c:pt>
                <c:pt idx="1985">
                  <c:v>39777</c:v>
                </c:pt>
                <c:pt idx="1986">
                  <c:v>39778</c:v>
                </c:pt>
                <c:pt idx="1987">
                  <c:v>39780</c:v>
                </c:pt>
                <c:pt idx="1988">
                  <c:v>39783</c:v>
                </c:pt>
                <c:pt idx="1989">
                  <c:v>39784</c:v>
                </c:pt>
                <c:pt idx="1990">
                  <c:v>39785</c:v>
                </c:pt>
                <c:pt idx="1991">
                  <c:v>39786</c:v>
                </c:pt>
                <c:pt idx="1992">
                  <c:v>39787</c:v>
                </c:pt>
                <c:pt idx="1993">
                  <c:v>39790</c:v>
                </c:pt>
                <c:pt idx="1994">
                  <c:v>39791</c:v>
                </c:pt>
                <c:pt idx="1995">
                  <c:v>39792</c:v>
                </c:pt>
                <c:pt idx="1996">
                  <c:v>39793</c:v>
                </c:pt>
                <c:pt idx="1997">
                  <c:v>39794</c:v>
                </c:pt>
                <c:pt idx="1998">
                  <c:v>39797</c:v>
                </c:pt>
                <c:pt idx="1999">
                  <c:v>39798</c:v>
                </c:pt>
                <c:pt idx="2000">
                  <c:v>39799</c:v>
                </c:pt>
                <c:pt idx="2001">
                  <c:v>39800</c:v>
                </c:pt>
                <c:pt idx="2002">
                  <c:v>39801</c:v>
                </c:pt>
                <c:pt idx="2003">
                  <c:v>39804</c:v>
                </c:pt>
                <c:pt idx="2004">
                  <c:v>39805</c:v>
                </c:pt>
                <c:pt idx="2005">
                  <c:v>39806</c:v>
                </c:pt>
                <c:pt idx="2006">
                  <c:v>39808</c:v>
                </c:pt>
                <c:pt idx="2007">
                  <c:v>39811</c:v>
                </c:pt>
                <c:pt idx="2008">
                  <c:v>39812</c:v>
                </c:pt>
                <c:pt idx="2009">
                  <c:v>39813</c:v>
                </c:pt>
                <c:pt idx="2010">
                  <c:v>39815</c:v>
                </c:pt>
                <c:pt idx="2011">
                  <c:v>39818</c:v>
                </c:pt>
                <c:pt idx="2012">
                  <c:v>39819</c:v>
                </c:pt>
                <c:pt idx="2013">
                  <c:v>39820</c:v>
                </c:pt>
                <c:pt idx="2014">
                  <c:v>39821</c:v>
                </c:pt>
                <c:pt idx="2015">
                  <c:v>39822</c:v>
                </c:pt>
                <c:pt idx="2016">
                  <c:v>39825</c:v>
                </c:pt>
                <c:pt idx="2017">
                  <c:v>39826</c:v>
                </c:pt>
                <c:pt idx="2018">
                  <c:v>39827</c:v>
                </c:pt>
                <c:pt idx="2019">
                  <c:v>39828</c:v>
                </c:pt>
                <c:pt idx="2020">
                  <c:v>39829</c:v>
                </c:pt>
                <c:pt idx="2021">
                  <c:v>39833</c:v>
                </c:pt>
                <c:pt idx="2022">
                  <c:v>39834</c:v>
                </c:pt>
                <c:pt idx="2023">
                  <c:v>39835</c:v>
                </c:pt>
                <c:pt idx="2024">
                  <c:v>39836</c:v>
                </c:pt>
                <c:pt idx="2025">
                  <c:v>39839</c:v>
                </c:pt>
                <c:pt idx="2026">
                  <c:v>39840</c:v>
                </c:pt>
                <c:pt idx="2027">
                  <c:v>39841</c:v>
                </c:pt>
                <c:pt idx="2028">
                  <c:v>39842</c:v>
                </c:pt>
                <c:pt idx="2029">
                  <c:v>39843</c:v>
                </c:pt>
                <c:pt idx="2030">
                  <c:v>39846</c:v>
                </c:pt>
                <c:pt idx="2031">
                  <c:v>39847</c:v>
                </c:pt>
                <c:pt idx="2032">
                  <c:v>39848</c:v>
                </c:pt>
                <c:pt idx="2033">
                  <c:v>39849</c:v>
                </c:pt>
                <c:pt idx="2034">
                  <c:v>39850</c:v>
                </c:pt>
                <c:pt idx="2035">
                  <c:v>39853</c:v>
                </c:pt>
                <c:pt idx="2036">
                  <c:v>39854</c:v>
                </c:pt>
                <c:pt idx="2037">
                  <c:v>39855</c:v>
                </c:pt>
                <c:pt idx="2038">
                  <c:v>39856</c:v>
                </c:pt>
                <c:pt idx="2039">
                  <c:v>39857</c:v>
                </c:pt>
                <c:pt idx="2040">
                  <c:v>39861</c:v>
                </c:pt>
                <c:pt idx="2041">
                  <c:v>39862</c:v>
                </c:pt>
                <c:pt idx="2042">
                  <c:v>39863</c:v>
                </c:pt>
                <c:pt idx="2043">
                  <c:v>39864</c:v>
                </c:pt>
                <c:pt idx="2044">
                  <c:v>39867</c:v>
                </c:pt>
                <c:pt idx="2045">
                  <c:v>39868</c:v>
                </c:pt>
                <c:pt idx="2046">
                  <c:v>39869</c:v>
                </c:pt>
                <c:pt idx="2047">
                  <c:v>39870</c:v>
                </c:pt>
                <c:pt idx="2048">
                  <c:v>39871</c:v>
                </c:pt>
                <c:pt idx="2049">
                  <c:v>39874</c:v>
                </c:pt>
                <c:pt idx="2050">
                  <c:v>39875</c:v>
                </c:pt>
                <c:pt idx="2051">
                  <c:v>39876</c:v>
                </c:pt>
                <c:pt idx="2052">
                  <c:v>39877</c:v>
                </c:pt>
                <c:pt idx="2053">
                  <c:v>39878</c:v>
                </c:pt>
                <c:pt idx="2054">
                  <c:v>39881</c:v>
                </c:pt>
                <c:pt idx="2055">
                  <c:v>39882</c:v>
                </c:pt>
                <c:pt idx="2056">
                  <c:v>39883</c:v>
                </c:pt>
                <c:pt idx="2057">
                  <c:v>39884</c:v>
                </c:pt>
                <c:pt idx="2058">
                  <c:v>39885</c:v>
                </c:pt>
                <c:pt idx="2059">
                  <c:v>39888</c:v>
                </c:pt>
                <c:pt idx="2060">
                  <c:v>39889</c:v>
                </c:pt>
                <c:pt idx="2061">
                  <c:v>39890</c:v>
                </c:pt>
                <c:pt idx="2062">
                  <c:v>39891</c:v>
                </c:pt>
                <c:pt idx="2063">
                  <c:v>39892</c:v>
                </c:pt>
                <c:pt idx="2064">
                  <c:v>39895</c:v>
                </c:pt>
                <c:pt idx="2065">
                  <c:v>39896</c:v>
                </c:pt>
                <c:pt idx="2066">
                  <c:v>39897</c:v>
                </c:pt>
                <c:pt idx="2067">
                  <c:v>39898</c:v>
                </c:pt>
                <c:pt idx="2068">
                  <c:v>39899</c:v>
                </c:pt>
                <c:pt idx="2069">
                  <c:v>39902</c:v>
                </c:pt>
                <c:pt idx="2070">
                  <c:v>39903</c:v>
                </c:pt>
                <c:pt idx="2071">
                  <c:v>39904</c:v>
                </c:pt>
                <c:pt idx="2072">
                  <c:v>39905</c:v>
                </c:pt>
                <c:pt idx="2073">
                  <c:v>39906</c:v>
                </c:pt>
                <c:pt idx="2074">
                  <c:v>39909</c:v>
                </c:pt>
                <c:pt idx="2075">
                  <c:v>39910</c:v>
                </c:pt>
                <c:pt idx="2076">
                  <c:v>39911</c:v>
                </c:pt>
                <c:pt idx="2077">
                  <c:v>39912</c:v>
                </c:pt>
                <c:pt idx="2078">
                  <c:v>39916</c:v>
                </c:pt>
                <c:pt idx="2079">
                  <c:v>39917</c:v>
                </c:pt>
                <c:pt idx="2080">
                  <c:v>39918</c:v>
                </c:pt>
                <c:pt idx="2081">
                  <c:v>39919</c:v>
                </c:pt>
                <c:pt idx="2082">
                  <c:v>39920</c:v>
                </c:pt>
                <c:pt idx="2083">
                  <c:v>39923</c:v>
                </c:pt>
                <c:pt idx="2084">
                  <c:v>39924</c:v>
                </c:pt>
                <c:pt idx="2085">
                  <c:v>39925</c:v>
                </c:pt>
                <c:pt idx="2086">
                  <c:v>39926</c:v>
                </c:pt>
                <c:pt idx="2087">
                  <c:v>39927</c:v>
                </c:pt>
                <c:pt idx="2088">
                  <c:v>39930</c:v>
                </c:pt>
                <c:pt idx="2089">
                  <c:v>39931</c:v>
                </c:pt>
                <c:pt idx="2090">
                  <c:v>39932</c:v>
                </c:pt>
                <c:pt idx="2091">
                  <c:v>39933</c:v>
                </c:pt>
                <c:pt idx="2092">
                  <c:v>39934</c:v>
                </c:pt>
                <c:pt idx="2093">
                  <c:v>39937</c:v>
                </c:pt>
                <c:pt idx="2094">
                  <c:v>39938</c:v>
                </c:pt>
                <c:pt idx="2095">
                  <c:v>39939</c:v>
                </c:pt>
                <c:pt idx="2096">
                  <c:v>39940</c:v>
                </c:pt>
                <c:pt idx="2097">
                  <c:v>39941</c:v>
                </c:pt>
                <c:pt idx="2098">
                  <c:v>39944</c:v>
                </c:pt>
                <c:pt idx="2099">
                  <c:v>39945</c:v>
                </c:pt>
                <c:pt idx="2100">
                  <c:v>39946</c:v>
                </c:pt>
                <c:pt idx="2101">
                  <c:v>39947</c:v>
                </c:pt>
                <c:pt idx="2102">
                  <c:v>39948</c:v>
                </c:pt>
                <c:pt idx="2103">
                  <c:v>39951</c:v>
                </c:pt>
                <c:pt idx="2104">
                  <c:v>39952</c:v>
                </c:pt>
                <c:pt idx="2105">
                  <c:v>39953</c:v>
                </c:pt>
                <c:pt idx="2106">
                  <c:v>39954</c:v>
                </c:pt>
                <c:pt idx="2107">
                  <c:v>39955</c:v>
                </c:pt>
                <c:pt idx="2108">
                  <c:v>39959</c:v>
                </c:pt>
                <c:pt idx="2109">
                  <c:v>39960</c:v>
                </c:pt>
                <c:pt idx="2110">
                  <c:v>39961</c:v>
                </c:pt>
                <c:pt idx="2111">
                  <c:v>39962</c:v>
                </c:pt>
                <c:pt idx="2112">
                  <c:v>39965</c:v>
                </c:pt>
                <c:pt idx="2113">
                  <c:v>39966</c:v>
                </c:pt>
                <c:pt idx="2114">
                  <c:v>39967</c:v>
                </c:pt>
                <c:pt idx="2115">
                  <c:v>39968</c:v>
                </c:pt>
                <c:pt idx="2116">
                  <c:v>39969</c:v>
                </c:pt>
                <c:pt idx="2117">
                  <c:v>39972</c:v>
                </c:pt>
                <c:pt idx="2118">
                  <c:v>39973</c:v>
                </c:pt>
                <c:pt idx="2119">
                  <c:v>39974</c:v>
                </c:pt>
                <c:pt idx="2120">
                  <c:v>39975</c:v>
                </c:pt>
                <c:pt idx="2121">
                  <c:v>39976</c:v>
                </c:pt>
                <c:pt idx="2122">
                  <c:v>39979</c:v>
                </c:pt>
                <c:pt idx="2123">
                  <c:v>39980</c:v>
                </c:pt>
                <c:pt idx="2124">
                  <c:v>39981</c:v>
                </c:pt>
                <c:pt idx="2125">
                  <c:v>39982</c:v>
                </c:pt>
                <c:pt idx="2126">
                  <c:v>39983</c:v>
                </c:pt>
                <c:pt idx="2127">
                  <c:v>39986</c:v>
                </c:pt>
                <c:pt idx="2128">
                  <c:v>39987</c:v>
                </c:pt>
                <c:pt idx="2129">
                  <c:v>39988</c:v>
                </c:pt>
                <c:pt idx="2130">
                  <c:v>39989</c:v>
                </c:pt>
                <c:pt idx="2131">
                  <c:v>39990</c:v>
                </c:pt>
                <c:pt idx="2132">
                  <c:v>39993</c:v>
                </c:pt>
                <c:pt idx="2133">
                  <c:v>39994</c:v>
                </c:pt>
                <c:pt idx="2134">
                  <c:v>39995</c:v>
                </c:pt>
                <c:pt idx="2135">
                  <c:v>39996</c:v>
                </c:pt>
                <c:pt idx="2136">
                  <c:v>40000</c:v>
                </c:pt>
                <c:pt idx="2137">
                  <c:v>40001</c:v>
                </c:pt>
                <c:pt idx="2138">
                  <c:v>40002</c:v>
                </c:pt>
                <c:pt idx="2139">
                  <c:v>40003</c:v>
                </c:pt>
                <c:pt idx="2140">
                  <c:v>40004</c:v>
                </c:pt>
                <c:pt idx="2141">
                  <c:v>40007</c:v>
                </c:pt>
                <c:pt idx="2142">
                  <c:v>40008</c:v>
                </c:pt>
                <c:pt idx="2143">
                  <c:v>40009</c:v>
                </c:pt>
                <c:pt idx="2144">
                  <c:v>40010</c:v>
                </c:pt>
                <c:pt idx="2145">
                  <c:v>40011</c:v>
                </c:pt>
                <c:pt idx="2146">
                  <c:v>40014</c:v>
                </c:pt>
                <c:pt idx="2147">
                  <c:v>40015</c:v>
                </c:pt>
                <c:pt idx="2148">
                  <c:v>40016</c:v>
                </c:pt>
                <c:pt idx="2149">
                  <c:v>40017</c:v>
                </c:pt>
                <c:pt idx="2150">
                  <c:v>40018</c:v>
                </c:pt>
                <c:pt idx="2151">
                  <c:v>40021</c:v>
                </c:pt>
                <c:pt idx="2152">
                  <c:v>40022</c:v>
                </c:pt>
                <c:pt idx="2153">
                  <c:v>40023</c:v>
                </c:pt>
                <c:pt idx="2154">
                  <c:v>40024</c:v>
                </c:pt>
                <c:pt idx="2155">
                  <c:v>40025</c:v>
                </c:pt>
                <c:pt idx="2156">
                  <c:v>40028</c:v>
                </c:pt>
                <c:pt idx="2157">
                  <c:v>40029</c:v>
                </c:pt>
                <c:pt idx="2158">
                  <c:v>40030</c:v>
                </c:pt>
                <c:pt idx="2159">
                  <c:v>40031</c:v>
                </c:pt>
                <c:pt idx="2160">
                  <c:v>40032</c:v>
                </c:pt>
                <c:pt idx="2161">
                  <c:v>40035</c:v>
                </c:pt>
                <c:pt idx="2162">
                  <c:v>40036</c:v>
                </c:pt>
                <c:pt idx="2163">
                  <c:v>40037</c:v>
                </c:pt>
                <c:pt idx="2164">
                  <c:v>40038</c:v>
                </c:pt>
                <c:pt idx="2165">
                  <c:v>40039</c:v>
                </c:pt>
                <c:pt idx="2166">
                  <c:v>40042</c:v>
                </c:pt>
                <c:pt idx="2167">
                  <c:v>40043</c:v>
                </c:pt>
                <c:pt idx="2168">
                  <c:v>40044</c:v>
                </c:pt>
                <c:pt idx="2169">
                  <c:v>40045</c:v>
                </c:pt>
                <c:pt idx="2170">
                  <c:v>40046</c:v>
                </c:pt>
                <c:pt idx="2171">
                  <c:v>40049</c:v>
                </c:pt>
                <c:pt idx="2172">
                  <c:v>40050</c:v>
                </c:pt>
                <c:pt idx="2173">
                  <c:v>40051</c:v>
                </c:pt>
                <c:pt idx="2174">
                  <c:v>40052</c:v>
                </c:pt>
                <c:pt idx="2175">
                  <c:v>40053</c:v>
                </c:pt>
                <c:pt idx="2176">
                  <c:v>40056</c:v>
                </c:pt>
                <c:pt idx="2177">
                  <c:v>40057</c:v>
                </c:pt>
                <c:pt idx="2178">
                  <c:v>40058</c:v>
                </c:pt>
                <c:pt idx="2179">
                  <c:v>40059</c:v>
                </c:pt>
                <c:pt idx="2180">
                  <c:v>40060</c:v>
                </c:pt>
                <c:pt idx="2181">
                  <c:v>40064</c:v>
                </c:pt>
                <c:pt idx="2182">
                  <c:v>40065</c:v>
                </c:pt>
                <c:pt idx="2183">
                  <c:v>40066</c:v>
                </c:pt>
                <c:pt idx="2184">
                  <c:v>40067</c:v>
                </c:pt>
                <c:pt idx="2185">
                  <c:v>40070</c:v>
                </c:pt>
                <c:pt idx="2186">
                  <c:v>40071</c:v>
                </c:pt>
                <c:pt idx="2187">
                  <c:v>40072</c:v>
                </c:pt>
                <c:pt idx="2188">
                  <c:v>40073</c:v>
                </c:pt>
                <c:pt idx="2189">
                  <c:v>40074</c:v>
                </c:pt>
                <c:pt idx="2190">
                  <c:v>40077</c:v>
                </c:pt>
                <c:pt idx="2191">
                  <c:v>40078</c:v>
                </c:pt>
                <c:pt idx="2192">
                  <c:v>40079</c:v>
                </c:pt>
                <c:pt idx="2193">
                  <c:v>40080</c:v>
                </c:pt>
                <c:pt idx="2194">
                  <c:v>40081</c:v>
                </c:pt>
                <c:pt idx="2195">
                  <c:v>40084</c:v>
                </c:pt>
                <c:pt idx="2196">
                  <c:v>40085</c:v>
                </c:pt>
                <c:pt idx="2197">
                  <c:v>40086</c:v>
                </c:pt>
                <c:pt idx="2198">
                  <c:v>40087</c:v>
                </c:pt>
                <c:pt idx="2199">
                  <c:v>40088</c:v>
                </c:pt>
                <c:pt idx="2200">
                  <c:v>40091</c:v>
                </c:pt>
                <c:pt idx="2201">
                  <c:v>40092</c:v>
                </c:pt>
                <c:pt idx="2202">
                  <c:v>40093</c:v>
                </c:pt>
                <c:pt idx="2203">
                  <c:v>40094</c:v>
                </c:pt>
                <c:pt idx="2204">
                  <c:v>40095</c:v>
                </c:pt>
                <c:pt idx="2205">
                  <c:v>40098</c:v>
                </c:pt>
                <c:pt idx="2206">
                  <c:v>40099</c:v>
                </c:pt>
                <c:pt idx="2207">
                  <c:v>40100</c:v>
                </c:pt>
                <c:pt idx="2208">
                  <c:v>40101</c:v>
                </c:pt>
                <c:pt idx="2209">
                  <c:v>40102</c:v>
                </c:pt>
                <c:pt idx="2210">
                  <c:v>40105</c:v>
                </c:pt>
                <c:pt idx="2211">
                  <c:v>40106</c:v>
                </c:pt>
                <c:pt idx="2212">
                  <c:v>40107</c:v>
                </c:pt>
                <c:pt idx="2213">
                  <c:v>40108</c:v>
                </c:pt>
                <c:pt idx="2214">
                  <c:v>40109</c:v>
                </c:pt>
                <c:pt idx="2215">
                  <c:v>40112</c:v>
                </c:pt>
                <c:pt idx="2216">
                  <c:v>40113</c:v>
                </c:pt>
                <c:pt idx="2217">
                  <c:v>40114</c:v>
                </c:pt>
                <c:pt idx="2218">
                  <c:v>40115</c:v>
                </c:pt>
                <c:pt idx="2219">
                  <c:v>40116</c:v>
                </c:pt>
                <c:pt idx="2220">
                  <c:v>40119</c:v>
                </c:pt>
                <c:pt idx="2221">
                  <c:v>40120</c:v>
                </c:pt>
                <c:pt idx="2222">
                  <c:v>40121</c:v>
                </c:pt>
                <c:pt idx="2223">
                  <c:v>40122</c:v>
                </c:pt>
                <c:pt idx="2224">
                  <c:v>40123</c:v>
                </c:pt>
                <c:pt idx="2225">
                  <c:v>40126</c:v>
                </c:pt>
                <c:pt idx="2226">
                  <c:v>40127</c:v>
                </c:pt>
                <c:pt idx="2227">
                  <c:v>40128</c:v>
                </c:pt>
                <c:pt idx="2228">
                  <c:v>40129</c:v>
                </c:pt>
                <c:pt idx="2229">
                  <c:v>40130</c:v>
                </c:pt>
                <c:pt idx="2230">
                  <c:v>40133</c:v>
                </c:pt>
                <c:pt idx="2231">
                  <c:v>40134</c:v>
                </c:pt>
                <c:pt idx="2232">
                  <c:v>40135</c:v>
                </c:pt>
                <c:pt idx="2233">
                  <c:v>40136</c:v>
                </c:pt>
                <c:pt idx="2234">
                  <c:v>40137</c:v>
                </c:pt>
                <c:pt idx="2235">
                  <c:v>40140</c:v>
                </c:pt>
                <c:pt idx="2236">
                  <c:v>40141</c:v>
                </c:pt>
                <c:pt idx="2237">
                  <c:v>40142</c:v>
                </c:pt>
                <c:pt idx="2238">
                  <c:v>40144</c:v>
                </c:pt>
                <c:pt idx="2239">
                  <c:v>40147</c:v>
                </c:pt>
                <c:pt idx="2240">
                  <c:v>40148</c:v>
                </c:pt>
                <c:pt idx="2241">
                  <c:v>40149</c:v>
                </c:pt>
                <c:pt idx="2242">
                  <c:v>40150</c:v>
                </c:pt>
                <c:pt idx="2243">
                  <c:v>40151</c:v>
                </c:pt>
                <c:pt idx="2244">
                  <c:v>40154</c:v>
                </c:pt>
                <c:pt idx="2245">
                  <c:v>40155</c:v>
                </c:pt>
                <c:pt idx="2246">
                  <c:v>40156</c:v>
                </c:pt>
                <c:pt idx="2247">
                  <c:v>40157</c:v>
                </c:pt>
                <c:pt idx="2248">
                  <c:v>40158</c:v>
                </c:pt>
                <c:pt idx="2249">
                  <c:v>40161</c:v>
                </c:pt>
                <c:pt idx="2250">
                  <c:v>40162</c:v>
                </c:pt>
                <c:pt idx="2251">
                  <c:v>40163</c:v>
                </c:pt>
                <c:pt idx="2252">
                  <c:v>40164</c:v>
                </c:pt>
                <c:pt idx="2253">
                  <c:v>40165</c:v>
                </c:pt>
                <c:pt idx="2254">
                  <c:v>40168</c:v>
                </c:pt>
                <c:pt idx="2255">
                  <c:v>40169</c:v>
                </c:pt>
                <c:pt idx="2256">
                  <c:v>40170</c:v>
                </c:pt>
                <c:pt idx="2257">
                  <c:v>40171</c:v>
                </c:pt>
                <c:pt idx="2258">
                  <c:v>40175</c:v>
                </c:pt>
                <c:pt idx="2259">
                  <c:v>40176</c:v>
                </c:pt>
                <c:pt idx="2260">
                  <c:v>40177</c:v>
                </c:pt>
                <c:pt idx="2261">
                  <c:v>40178</c:v>
                </c:pt>
                <c:pt idx="2262">
                  <c:v>40182</c:v>
                </c:pt>
                <c:pt idx="2263">
                  <c:v>40183</c:v>
                </c:pt>
                <c:pt idx="2264">
                  <c:v>40184</c:v>
                </c:pt>
                <c:pt idx="2265">
                  <c:v>40185</c:v>
                </c:pt>
                <c:pt idx="2266">
                  <c:v>40186</c:v>
                </c:pt>
                <c:pt idx="2267">
                  <c:v>40189</c:v>
                </c:pt>
                <c:pt idx="2268">
                  <c:v>40190</c:v>
                </c:pt>
                <c:pt idx="2269">
                  <c:v>40191</c:v>
                </c:pt>
                <c:pt idx="2270">
                  <c:v>40192</c:v>
                </c:pt>
                <c:pt idx="2271">
                  <c:v>40193</c:v>
                </c:pt>
                <c:pt idx="2272">
                  <c:v>40197</c:v>
                </c:pt>
                <c:pt idx="2273">
                  <c:v>40198</c:v>
                </c:pt>
                <c:pt idx="2274">
                  <c:v>40199</c:v>
                </c:pt>
                <c:pt idx="2275">
                  <c:v>40200</c:v>
                </c:pt>
                <c:pt idx="2276">
                  <c:v>40203</c:v>
                </c:pt>
                <c:pt idx="2277">
                  <c:v>40204</c:v>
                </c:pt>
                <c:pt idx="2278">
                  <c:v>40205</c:v>
                </c:pt>
                <c:pt idx="2279">
                  <c:v>40206</c:v>
                </c:pt>
                <c:pt idx="2280">
                  <c:v>40207</c:v>
                </c:pt>
                <c:pt idx="2281">
                  <c:v>40210</c:v>
                </c:pt>
                <c:pt idx="2282">
                  <c:v>40211</c:v>
                </c:pt>
                <c:pt idx="2283">
                  <c:v>40212</c:v>
                </c:pt>
                <c:pt idx="2284">
                  <c:v>40213</c:v>
                </c:pt>
                <c:pt idx="2285">
                  <c:v>40214</c:v>
                </c:pt>
                <c:pt idx="2286">
                  <c:v>40217</c:v>
                </c:pt>
                <c:pt idx="2287">
                  <c:v>40218</c:v>
                </c:pt>
                <c:pt idx="2288">
                  <c:v>40219</c:v>
                </c:pt>
                <c:pt idx="2289">
                  <c:v>40220</c:v>
                </c:pt>
                <c:pt idx="2290">
                  <c:v>40221</c:v>
                </c:pt>
                <c:pt idx="2291">
                  <c:v>40225</c:v>
                </c:pt>
                <c:pt idx="2292">
                  <c:v>40226</c:v>
                </c:pt>
                <c:pt idx="2293">
                  <c:v>40227</c:v>
                </c:pt>
                <c:pt idx="2294">
                  <c:v>40228</c:v>
                </c:pt>
                <c:pt idx="2295">
                  <c:v>40231</c:v>
                </c:pt>
                <c:pt idx="2296">
                  <c:v>40232</c:v>
                </c:pt>
                <c:pt idx="2297">
                  <c:v>40233</c:v>
                </c:pt>
                <c:pt idx="2298">
                  <c:v>40234</c:v>
                </c:pt>
                <c:pt idx="2299">
                  <c:v>40235</c:v>
                </c:pt>
                <c:pt idx="2300">
                  <c:v>40238</c:v>
                </c:pt>
                <c:pt idx="2301">
                  <c:v>40239</c:v>
                </c:pt>
                <c:pt idx="2302">
                  <c:v>40240</c:v>
                </c:pt>
                <c:pt idx="2303">
                  <c:v>40241</c:v>
                </c:pt>
                <c:pt idx="2304">
                  <c:v>40242</c:v>
                </c:pt>
                <c:pt idx="2305">
                  <c:v>40245</c:v>
                </c:pt>
                <c:pt idx="2306">
                  <c:v>40246</c:v>
                </c:pt>
                <c:pt idx="2307">
                  <c:v>40247</c:v>
                </c:pt>
                <c:pt idx="2308">
                  <c:v>40248</c:v>
                </c:pt>
                <c:pt idx="2309">
                  <c:v>40249</c:v>
                </c:pt>
                <c:pt idx="2310">
                  <c:v>40252</c:v>
                </c:pt>
                <c:pt idx="2311">
                  <c:v>40253</c:v>
                </c:pt>
                <c:pt idx="2312">
                  <c:v>40254</c:v>
                </c:pt>
                <c:pt idx="2313">
                  <c:v>40255</c:v>
                </c:pt>
                <c:pt idx="2314">
                  <c:v>40256</c:v>
                </c:pt>
                <c:pt idx="2315">
                  <c:v>40259</c:v>
                </c:pt>
                <c:pt idx="2316">
                  <c:v>40260</c:v>
                </c:pt>
                <c:pt idx="2317">
                  <c:v>40261</c:v>
                </c:pt>
                <c:pt idx="2318">
                  <c:v>40262</c:v>
                </c:pt>
                <c:pt idx="2319">
                  <c:v>40263</c:v>
                </c:pt>
                <c:pt idx="2320">
                  <c:v>40266</c:v>
                </c:pt>
                <c:pt idx="2321">
                  <c:v>40267</c:v>
                </c:pt>
                <c:pt idx="2322">
                  <c:v>40268</c:v>
                </c:pt>
                <c:pt idx="2323">
                  <c:v>40269</c:v>
                </c:pt>
                <c:pt idx="2324">
                  <c:v>40273</c:v>
                </c:pt>
                <c:pt idx="2325">
                  <c:v>40274</c:v>
                </c:pt>
                <c:pt idx="2326">
                  <c:v>40275</c:v>
                </c:pt>
                <c:pt idx="2327">
                  <c:v>40276</c:v>
                </c:pt>
                <c:pt idx="2328">
                  <c:v>40277</c:v>
                </c:pt>
                <c:pt idx="2329">
                  <c:v>40280</c:v>
                </c:pt>
                <c:pt idx="2330">
                  <c:v>40281</c:v>
                </c:pt>
                <c:pt idx="2331">
                  <c:v>40282</c:v>
                </c:pt>
                <c:pt idx="2332">
                  <c:v>40283</c:v>
                </c:pt>
                <c:pt idx="2333">
                  <c:v>40284</c:v>
                </c:pt>
                <c:pt idx="2334">
                  <c:v>40287</c:v>
                </c:pt>
                <c:pt idx="2335">
                  <c:v>40288</c:v>
                </c:pt>
                <c:pt idx="2336">
                  <c:v>40289</c:v>
                </c:pt>
                <c:pt idx="2337">
                  <c:v>40290</c:v>
                </c:pt>
                <c:pt idx="2338">
                  <c:v>40291</c:v>
                </c:pt>
                <c:pt idx="2339">
                  <c:v>40294</c:v>
                </c:pt>
                <c:pt idx="2340">
                  <c:v>40295</c:v>
                </c:pt>
                <c:pt idx="2341">
                  <c:v>40296</c:v>
                </c:pt>
                <c:pt idx="2342">
                  <c:v>40297</c:v>
                </c:pt>
                <c:pt idx="2343">
                  <c:v>40298</c:v>
                </c:pt>
                <c:pt idx="2344">
                  <c:v>40301</c:v>
                </c:pt>
                <c:pt idx="2345">
                  <c:v>40302</c:v>
                </c:pt>
                <c:pt idx="2346">
                  <c:v>40303</c:v>
                </c:pt>
                <c:pt idx="2347">
                  <c:v>40304</c:v>
                </c:pt>
                <c:pt idx="2348">
                  <c:v>40305</c:v>
                </c:pt>
                <c:pt idx="2349">
                  <c:v>40308</c:v>
                </c:pt>
                <c:pt idx="2350">
                  <c:v>40309</c:v>
                </c:pt>
                <c:pt idx="2351">
                  <c:v>40310</c:v>
                </c:pt>
                <c:pt idx="2352">
                  <c:v>40311</c:v>
                </c:pt>
                <c:pt idx="2353">
                  <c:v>40312</c:v>
                </c:pt>
                <c:pt idx="2354">
                  <c:v>40315</c:v>
                </c:pt>
                <c:pt idx="2355">
                  <c:v>40316</c:v>
                </c:pt>
                <c:pt idx="2356">
                  <c:v>40317</c:v>
                </c:pt>
                <c:pt idx="2357">
                  <c:v>40318</c:v>
                </c:pt>
                <c:pt idx="2358">
                  <c:v>40319</c:v>
                </c:pt>
                <c:pt idx="2359">
                  <c:v>40322</c:v>
                </c:pt>
                <c:pt idx="2360">
                  <c:v>40323</c:v>
                </c:pt>
                <c:pt idx="2361">
                  <c:v>40324</c:v>
                </c:pt>
                <c:pt idx="2362">
                  <c:v>40325</c:v>
                </c:pt>
                <c:pt idx="2363">
                  <c:v>40326</c:v>
                </c:pt>
                <c:pt idx="2364">
                  <c:v>40330</c:v>
                </c:pt>
                <c:pt idx="2365">
                  <c:v>40331</c:v>
                </c:pt>
                <c:pt idx="2366">
                  <c:v>40332</c:v>
                </c:pt>
                <c:pt idx="2367">
                  <c:v>40333</c:v>
                </c:pt>
                <c:pt idx="2368">
                  <c:v>40336</c:v>
                </c:pt>
                <c:pt idx="2369">
                  <c:v>40337</c:v>
                </c:pt>
                <c:pt idx="2370">
                  <c:v>40338</c:v>
                </c:pt>
                <c:pt idx="2371">
                  <c:v>40339</c:v>
                </c:pt>
                <c:pt idx="2372">
                  <c:v>40340</c:v>
                </c:pt>
                <c:pt idx="2373">
                  <c:v>40343</c:v>
                </c:pt>
                <c:pt idx="2374">
                  <c:v>40344</c:v>
                </c:pt>
                <c:pt idx="2375">
                  <c:v>40345</c:v>
                </c:pt>
                <c:pt idx="2376">
                  <c:v>40346</c:v>
                </c:pt>
                <c:pt idx="2377">
                  <c:v>40347</c:v>
                </c:pt>
                <c:pt idx="2378">
                  <c:v>40350</c:v>
                </c:pt>
                <c:pt idx="2379">
                  <c:v>40351</c:v>
                </c:pt>
                <c:pt idx="2380">
                  <c:v>40352</c:v>
                </c:pt>
                <c:pt idx="2381">
                  <c:v>40353</c:v>
                </c:pt>
                <c:pt idx="2382">
                  <c:v>40354</c:v>
                </c:pt>
                <c:pt idx="2383">
                  <c:v>40357</c:v>
                </c:pt>
                <c:pt idx="2384">
                  <c:v>40358</c:v>
                </c:pt>
                <c:pt idx="2385">
                  <c:v>40359</c:v>
                </c:pt>
                <c:pt idx="2386">
                  <c:v>40360</c:v>
                </c:pt>
                <c:pt idx="2387">
                  <c:v>40361</c:v>
                </c:pt>
                <c:pt idx="2388">
                  <c:v>40365</c:v>
                </c:pt>
                <c:pt idx="2389">
                  <c:v>40366</c:v>
                </c:pt>
                <c:pt idx="2390">
                  <c:v>40367</c:v>
                </c:pt>
                <c:pt idx="2391">
                  <c:v>40368</c:v>
                </c:pt>
                <c:pt idx="2392">
                  <c:v>40371</c:v>
                </c:pt>
                <c:pt idx="2393">
                  <c:v>40372</c:v>
                </c:pt>
                <c:pt idx="2394">
                  <c:v>40373</c:v>
                </c:pt>
                <c:pt idx="2395">
                  <c:v>40374</c:v>
                </c:pt>
                <c:pt idx="2396">
                  <c:v>40375</c:v>
                </c:pt>
                <c:pt idx="2397">
                  <c:v>40378</c:v>
                </c:pt>
                <c:pt idx="2398">
                  <c:v>40379</c:v>
                </c:pt>
                <c:pt idx="2399">
                  <c:v>40380</c:v>
                </c:pt>
                <c:pt idx="2400">
                  <c:v>40381</c:v>
                </c:pt>
                <c:pt idx="2401">
                  <c:v>40382</c:v>
                </c:pt>
                <c:pt idx="2402">
                  <c:v>40385</c:v>
                </c:pt>
                <c:pt idx="2403">
                  <c:v>40386</c:v>
                </c:pt>
                <c:pt idx="2404">
                  <c:v>40387</c:v>
                </c:pt>
                <c:pt idx="2405">
                  <c:v>40388</c:v>
                </c:pt>
                <c:pt idx="2406">
                  <c:v>40389</c:v>
                </c:pt>
                <c:pt idx="2407">
                  <c:v>40392</c:v>
                </c:pt>
                <c:pt idx="2408">
                  <c:v>40393</c:v>
                </c:pt>
                <c:pt idx="2409">
                  <c:v>40394</c:v>
                </c:pt>
                <c:pt idx="2410">
                  <c:v>40395</c:v>
                </c:pt>
                <c:pt idx="2411">
                  <c:v>40396</c:v>
                </c:pt>
                <c:pt idx="2412">
                  <c:v>40399</c:v>
                </c:pt>
                <c:pt idx="2413">
                  <c:v>40400</c:v>
                </c:pt>
                <c:pt idx="2414">
                  <c:v>40401</c:v>
                </c:pt>
                <c:pt idx="2415">
                  <c:v>40402</c:v>
                </c:pt>
                <c:pt idx="2416">
                  <c:v>40403</c:v>
                </c:pt>
                <c:pt idx="2417">
                  <c:v>40406</c:v>
                </c:pt>
                <c:pt idx="2418">
                  <c:v>40407</c:v>
                </c:pt>
                <c:pt idx="2419">
                  <c:v>40408</c:v>
                </c:pt>
                <c:pt idx="2420">
                  <c:v>40409</c:v>
                </c:pt>
                <c:pt idx="2421">
                  <c:v>40410</c:v>
                </c:pt>
                <c:pt idx="2422">
                  <c:v>40413</c:v>
                </c:pt>
                <c:pt idx="2423">
                  <c:v>40414</c:v>
                </c:pt>
                <c:pt idx="2424">
                  <c:v>40415</c:v>
                </c:pt>
                <c:pt idx="2425">
                  <c:v>40416</c:v>
                </c:pt>
                <c:pt idx="2426">
                  <c:v>40417</c:v>
                </c:pt>
                <c:pt idx="2427">
                  <c:v>40420</c:v>
                </c:pt>
                <c:pt idx="2428">
                  <c:v>40421</c:v>
                </c:pt>
                <c:pt idx="2429">
                  <c:v>40422</c:v>
                </c:pt>
                <c:pt idx="2430">
                  <c:v>40423</c:v>
                </c:pt>
                <c:pt idx="2431">
                  <c:v>40424</c:v>
                </c:pt>
                <c:pt idx="2432">
                  <c:v>40428</c:v>
                </c:pt>
                <c:pt idx="2433">
                  <c:v>40429</c:v>
                </c:pt>
                <c:pt idx="2434">
                  <c:v>40430</c:v>
                </c:pt>
                <c:pt idx="2435">
                  <c:v>40431</c:v>
                </c:pt>
                <c:pt idx="2436">
                  <c:v>40434</c:v>
                </c:pt>
                <c:pt idx="2437">
                  <c:v>40435</c:v>
                </c:pt>
                <c:pt idx="2438">
                  <c:v>40436</c:v>
                </c:pt>
                <c:pt idx="2439">
                  <c:v>40437</c:v>
                </c:pt>
                <c:pt idx="2440">
                  <c:v>40438</c:v>
                </c:pt>
                <c:pt idx="2441">
                  <c:v>40441</c:v>
                </c:pt>
                <c:pt idx="2442">
                  <c:v>40442</c:v>
                </c:pt>
                <c:pt idx="2443">
                  <c:v>40443</c:v>
                </c:pt>
                <c:pt idx="2444">
                  <c:v>40444</c:v>
                </c:pt>
                <c:pt idx="2445">
                  <c:v>40445</c:v>
                </c:pt>
                <c:pt idx="2446">
                  <c:v>40448</c:v>
                </c:pt>
                <c:pt idx="2447">
                  <c:v>40449</c:v>
                </c:pt>
                <c:pt idx="2448">
                  <c:v>40450</c:v>
                </c:pt>
                <c:pt idx="2449">
                  <c:v>40451</c:v>
                </c:pt>
                <c:pt idx="2450">
                  <c:v>40452</c:v>
                </c:pt>
                <c:pt idx="2451">
                  <c:v>40455</c:v>
                </c:pt>
                <c:pt idx="2452">
                  <c:v>40456</c:v>
                </c:pt>
                <c:pt idx="2453">
                  <c:v>40457</c:v>
                </c:pt>
                <c:pt idx="2454">
                  <c:v>40458</c:v>
                </c:pt>
                <c:pt idx="2455">
                  <c:v>40459</c:v>
                </c:pt>
                <c:pt idx="2456">
                  <c:v>40462</c:v>
                </c:pt>
                <c:pt idx="2457">
                  <c:v>40463</c:v>
                </c:pt>
                <c:pt idx="2458">
                  <c:v>40464</c:v>
                </c:pt>
                <c:pt idx="2459">
                  <c:v>40465</c:v>
                </c:pt>
                <c:pt idx="2460">
                  <c:v>40466</c:v>
                </c:pt>
                <c:pt idx="2461">
                  <c:v>40469</c:v>
                </c:pt>
                <c:pt idx="2462">
                  <c:v>40470</c:v>
                </c:pt>
                <c:pt idx="2463">
                  <c:v>40471</c:v>
                </c:pt>
                <c:pt idx="2464">
                  <c:v>40472</c:v>
                </c:pt>
                <c:pt idx="2465">
                  <c:v>40473</c:v>
                </c:pt>
                <c:pt idx="2466">
                  <c:v>40476</c:v>
                </c:pt>
                <c:pt idx="2467">
                  <c:v>40477</c:v>
                </c:pt>
                <c:pt idx="2468">
                  <c:v>40478</c:v>
                </c:pt>
                <c:pt idx="2469">
                  <c:v>40479</c:v>
                </c:pt>
                <c:pt idx="2470">
                  <c:v>40480</c:v>
                </c:pt>
                <c:pt idx="2471">
                  <c:v>40483</c:v>
                </c:pt>
                <c:pt idx="2472">
                  <c:v>40484</c:v>
                </c:pt>
                <c:pt idx="2473">
                  <c:v>40485</c:v>
                </c:pt>
                <c:pt idx="2474">
                  <c:v>40486</c:v>
                </c:pt>
                <c:pt idx="2475">
                  <c:v>40487</c:v>
                </c:pt>
                <c:pt idx="2476">
                  <c:v>40490</c:v>
                </c:pt>
                <c:pt idx="2477">
                  <c:v>40491</c:v>
                </c:pt>
                <c:pt idx="2478">
                  <c:v>40492</c:v>
                </c:pt>
                <c:pt idx="2479">
                  <c:v>40493</c:v>
                </c:pt>
                <c:pt idx="2480">
                  <c:v>40494</c:v>
                </c:pt>
                <c:pt idx="2481">
                  <c:v>40497</c:v>
                </c:pt>
                <c:pt idx="2482">
                  <c:v>40498</c:v>
                </c:pt>
                <c:pt idx="2483">
                  <c:v>40499</c:v>
                </c:pt>
                <c:pt idx="2484">
                  <c:v>40500</c:v>
                </c:pt>
                <c:pt idx="2485">
                  <c:v>40501</c:v>
                </c:pt>
                <c:pt idx="2486">
                  <c:v>40504</c:v>
                </c:pt>
                <c:pt idx="2487">
                  <c:v>40505</c:v>
                </c:pt>
                <c:pt idx="2488">
                  <c:v>40506</c:v>
                </c:pt>
                <c:pt idx="2489">
                  <c:v>40508</c:v>
                </c:pt>
                <c:pt idx="2490">
                  <c:v>40511</c:v>
                </c:pt>
                <c:pt idx="2491">
                  <c:v>40512</c:v>
                </c:pt>
                <c:pt idx="2492">
                  <c:v>40513</c:v>
                </c:pt>
                <c:pt idx="2493">
                  <c:v>40514</c:v>
                </c:pt>
                <c:pt idx="2494">
                  <c:v>40515</c:v>
                </c:pt>
                <c:pt idx="2495">
                  <c:v>40518</c:v>
                </c:pt>
                <c:pt idx="2496">
                  <c:v>40519</c:v>
                </c:pt>
                <c:pt idx="2497">
                  <c:v>40520</c:v>
                </c:pt>
                <c:pt idx="2498">
                  <c:v>40521</c:v>
                </c:pt>
                <c:pt idx="2499">
                  <c:v>40522</c:v>
                </c:pt>
                <c:pt idx="2500">
                  <c:v>40525</c:v>
                </c:pt>
                <c:pt idx="2501">
                  <c:v>40526</c:v>
                </c:pt>
                <c:pt idx="2502">
                  <c:v>40527</c:v>
                </c:pt>
                <c:pt idx="2503">
                  <c:v>40528</c:v>
                </c:pt>
                <c:pt idx="2504">
                  <c:v>40529</c:v>
                </c:pt>
                <c:pt idx="2505">
                  <c:v>40532</c:v>
                </c:pt>
                <c:pt idx="2506">
                  <c:v>40533</c:v>
                </c:pt>
                <c:pt idx="2507">
                  <c:v>40534</c:v>
                </c:pt>
                <c:pt idx="2508">
                  <c:v>40535</c:v>
                </c:pt>
                <c:pt idx="2509">
                  <c:v>40539</c:v>
                </c:pt>
                <c:pt idx="2510">
                  <c:v>40540</c:v>
                </c:pt>
                <c:pt idx="2511">
                  <c:v>40541</c:v>
                </c:pt>
                <c:pt idx="2512">
                  <c:v>40542</c:v>
                </c:pt>
                <c:pt idx="2513">
                  <c:v>40543</c:v>
                </c:pt>
              </c:numCache>
            </c:numRef>
          </c:xVal>
          <c:yVal>
            <c:numRef>
              <c:f>DATA!$B$4:$B$2517</c:f>
              <c:numCache>
                <c:formatCode>General</c:formatCode>
                <c:ptCount val="2514"/>
                <c:pt idx="0">
                  <c:v>1837.3600000000001</c:v>
                </c:pt>
                <c:pt idx="1">
                  <c:v>1785.8600000000001</c:v>
                </c:pt>
                <c:pt idx="2">
                  <c:v>1875.56</c:v>
                </c:pt>
                <c:pt idx="3">
                  <c:v>1855.82</c:v>
                </c:pt>
                <c:pt idx="4">
                  <c:v>1807.13</c:v>
                </c:pt>
                <c:pt idx="5">
                  <c:v>1804.04</c:v>
                </c:pt>
                <c:pt idx="6">
                  <c:v>1810.98</c:v>
                </c:pt>
                <c:pt idx="7">
                  <c:v>1828.5</c:v>
                </c:pt>
                <c:pt idx="8">
                  <c:v>1847.3700000000001</c:v>
                </c:pt>
                <c:pt idx="9">
                  <c:v>1835.53</c:v>
                </c:pt>
                <c:pt idx="10">
                  <c:v>1847.13</c:v>
                </c:pt>
                <c:pt idx="11">
                  <c:v>1851.16</c:v>
                </c:pt>
                <c:pt idx="12">
                  <c:v>1876.94</c:v>
                </c:pt>
                <c:pt idx="13">
                  <c:v>1869.38</c:v>
                </c:pt>
                <c:pt idx="14">
                  <c:v>1869.89</c:v>
                </c:pt>
                <c:pt idx="15">
                  <c:v>1894.25</c:v>
                </c:pt>
                <c:pt idx="16">
                  <c:v>1899.71</c:v>
                </c:pt>
                <c:pt idx="17">
                  <c:v>1890.27</c:v>
                </c:pt>
                <c:pt idx="18">
                  <c:v>1886.8</c:v>
                </c:pt>
                <c:pt idx="19">
                  <c:v>1899.75</c:v>
                </c:pt>
                <c:pt idx="20">
                  <c:v>1913.13</c:v>
                </c:pt>
                <c:pt idx="21">
                  <c:v>1902.55</c:v>
                </c:pt>
                <c:pt idx="22">
                  <c:v>1913.1100000000001</c:v>
                </c:pt>
                <c:pt idx="23">
                  <c:v>1879.69</c:v>
                </c:pt>
                <c:pt idx="24">
                  <c:v>1886.48</c:v>
                </c:pt>
                <c:pt idx="25">
                  <c:v>1883.72</c:v>
                </c:pt>
                <c:pt idx="26">
                  <c:v>1868.29</c:v>
                </c:pt>
                <c:pt idx="27">
                  <c:v>1856.66</c:v>
                </c:pt>
                <c:pt idx="28">
                  <c:v>1831.96</c:v>
                </c:pt>
                <c:pt idx="29">
                  <c:v>1853.65</c:v>
                </c:pt>
                <c:pt idx="30">
                  <c:v>1837.77</c:v>
                </c:pt>
                <c:pt idx="31">
                  <c:v>1834.1000000000001</c:v>
                </c:pt>
                <c:pt idx="32">
                  <c:v>1849.15</c:v>
                </c:pt>
                <c:pt idx="33">
                  <c:v>1814.22</c:v>
                </c:pt>
                <c:pt idx="34">
                  <c:v>1782.75</c:v>
                </c:pt>
                <c:pt idx="35">
                  <c:v>1749.8600000000001</c:v>
                </c:pt>
                <c:pt idx="36">
                  <c:v>1746.5</c:v>
                </c:pt>
                <c:pt idx="37">
                  <c:v>1736.82</c:v>
                </c:pt>
                <c:pt idx="38">
                  <c:v>1767.29</c:v>
                </c:pt>
                <c:pt idx="39">
                  <c:v>1753.88</c:v>
                </c:pt>
                <c:pt idx="40">
                  <c:v>1729.07</c:v>
                </c:pt>
                <c:pt idx="41">
                  <c:v>1730.91</c:v>
                </c:pt>
                <c:pt idx="42">
                  <c:v>1721.0900000000001</c:v>
                </c:pt>
                <c:pt idx="43">
                  <c:v>1731.42</c:v>
                </c:pt>
                <c:pt idx="44">
                  <c:v>1748.74</c:v>
                </c:pt>
                <c:pt idx="45">
                  <c:v>1760.3600000000001</c:v>
                </c:pt>
                <c:pt idx="46">
                  <c:v>1764.39</c:v>
                </c:pt>
                <c:pt idx="47">
                  <c:v>1720.71</c:v>
                </c:pt>
                <c:pt idx="48">
                  <c:v>1646.42</c:v>
                </c:pt>
                <c:pt idx="49">
                  <c:v>1671.18</c:v>
                </c:pt>
                <c:pt idx="50">
                  <c:v>1628.02</c:v>
                </c:pt>
                <c:pt idx="51">
                  <c:v>1637.6100000000001</c:v>
                </c:pt>
                <c:pt idx="52">
                  <c:v>1605.48</c:v>
                </c:pt>
                <c:pt idx="53">
                  <c:v>1633.81</c:v>
                </c:pt>
                <c:pt idx="54">
                  <c:v>1594.5</c:v>
                </c:pt>
                <c:pt idx="55">
                  <c:v>1565.98</c:v>
                </c:pt>
                <c:pt idx="56">
                  <c:v>1559.65</c:v>
                </c:pt>
                <c:pt idx="57">
                  <c:v>1590.7</c:v>
                </c:pt>
                <c:pt idx="58">
                  <c:v>1608.65</c:v>
                </c:pt>
                <c:pt idx="59">
                  <c:v>1649.79</c:v>
                </c:pt>
                <c:pt idx="60">
                  <c:v>1609.67</c:v>
                </c:pt>
                <c:pt idx="61">
                  <c:v>1602.26</c:v>
                </c:pt>
                <c:pt idx="62">
                  <c:v>1619.54</c:v>
                </c:pt>
                <c:pt idx="63">
                  <c:v>1599.3500000000001</c:v>
                </c:pt>
                <c:pt idx="64">
                  <c:v>1544.3500000000001</c:v>
                </c:pt>
                <c:pt idx="65">
                  <c:v>1540.17</c:v>
                </c:pt>
                <c:pt idx="66">
                  <c:v>1607.46</c:v>
                </c:pt>
                <c:pt idx="67">
                  <c:v>1575.71</c:v>
                </c:pt>
                <c:pt idx="68">
                  <c:v>1588.5</c:v>
                </c:pt>
                <c:pt idx="69">
                  <c:v>1631.68</c:v>
                </c:pt>
                <c:pt idx="70">
                  <c:v>1628.23</c:v>
                </c:pt>
                <c:pt idx="71">
                  <c:v>1652.83</c:v>
                </c:pt>
                <c:pt idx="72">
                  <c:v>1647.5</c:v>
                </c:pt>
                <c:pt idx="73">
                  <c:v>1664.44</c:v>
                </c:pt>
                <c:pt idx="74">
                  <c:v>1729.26</c:v>
                </c:pt>
                <c:pt idx="75">
                  <c:v>1750.98</c:v>
                </c:pt>
                <c:pt idx="76">
                  <c:v>1736.02</c:v>
                </c:pt>
                <c:pt idx="77">
                  <c:v>1710.01</c:v>
                </c:pt>
                <c:pt idx="78">
                  <c:v>1689.23</c:v>
                </c:pt>
                <c:pt idx="79">
                  <c:v>1716.17</c:v>
                </c:pt>
                <c:pt idx="80">
                  <c:v>1724.38</c:v>
                </c:pt>
                <c:pt idx="81">
                  <c:v>1750.32</c:v>
                </c:pt>
                <c:pt idx="82">
                  <c:v>1745.39</c:v>
                </c:pt>
                <c:pt idx="83">
                  <c:v>1769.1200000000001</c:v>
                </c:pt>
                <c:pt idx="84">
                  <c:v>1770.66</c:v>
                </c:pt>
                <c:pt idx="85">
                  <c:v>1744.54</c:v>
                </c:pt>
                <c:pt idx="86">
                  <c:v>1769.78</c:v>
                </c:pt>
                <c:pt idx="87">
                  <c:v>1765.49</c:v>
                </c:pt>
                <c:pt idx="88">
                  <c:v>1762.41</c:v>
                </c:pt>
                <c:pt idx="89">
                  <c:v>1754.71</c:v>
                </c:pt>
                <c:pt idx="90">
                  <c:v>1754.46</c:v>
                </c:pt>
                <c:pt idx="91">
                  <c:v>1741.33</c:v>
                </c:pt>
                <c:pt idx="92">
                  <c:v>1746.01</c:v>
                </c:pt>
                <c:pt idx="93">
                  <c:v>1746.75</c:v>
                </c:pt>
                <c:pt idx="94">
                  <c:v>1796.72</c:v>
                </c:pt>
                <c:pt idx="95">
                  <c:v>1801.63</c:v>
                </c:pt>
                <c:pt idx="96">
                  <c:v>1806.83</c:v>
                </c:pt>
                <c:pt idx="97">
                  <c:v>1836.02</c:v>
                </c:pt>
                <c:pt idx="98">
                  <c:v>1831.2</c:v>
                </c:pt>
                <c:pt idx="99">
                  <c:v>1802.8400000000001</c:v>
                </c:pt>
                <c:pt idx="100">
                  <c:v>1808.64</c:v>
                </c:pt>
                <c:pt idx="101">
                  <c:v>1787.28</c:v>
                </c:pt>
                <c:pt idx="102">
                  <c:v>1773.45</c:v>
                </c:pt>
                <c:pt idx="103">
                  <c:v>1746.1100000000001</c:v>
                </c:pt>
                <c:pt idx="104">
                  <c:v>1757.0900000000001</c:v>
                </c:pt>
                <c:pt idx="105">
                  <c:v>1763.8700000000001</c:v>
                </c:pt>
                <c:pt idx="106">
                  <c:v>1772.91</c:v>
                </c:pt>
                <c:pt idx="107">
                  <c:v>1795.96</c:v>
                </c:pt>
                <c:pt idx="108">
                  <c:v>1777.25</c:v>
                </c:pt>
                <c:pt idx="109">
                  <c:v>1786.99</c:v>
                </c:pt>
                <c:pt idx="110">
                  <c:v>1770.21</c:v>
                </c:pt>
                <c:pt idx="111">
                  <c:v>1755.42</c:v>
                </c:pt>
                <c:pt idx="112">
                  <c:v>1757.48</c:v>
                </c:pt>
                <c:pt idx="113">
                  <c:v>1737.94</c:v>
                </c:pt>
                <c:pt idx="114">
                  <c:v>1707.56</c:v>
                </c:pt>
                <c:pt idx="115">
                  <c:v>1699.8500000000001</c:v>
                </c:pt>
                <c:pt idx="116">
                  <c:v>1691.5900000000001</c:v>
                </c:pt>
                <c:pt idx="117">
                  <c:v>1697.41</c:v>
                </c:pt>
                <c:pt idx="118">
                  <c:v>1712.26</c:v>
                </c:pt>
                <c:pt idx="119">
                  <c:v>1731.75</c:v>
                </c:pt>
                <c:pt idx="120">
                  <c:v>1715.39</c:v>
                </c:pt>
                <c:pt idx="121">
                  <c:v>1705.94</c:v>
                </c:pt>
                <c:pt idx="122">
                  <c:v>1703.3700000000001</c:v>
                </c:pt>
                <c:pt idx="123">
                  <c:v>1695.6100000000001</c:v>
                </c:pt>
                <c:pt idx="124">
                  <c:v>1716.81</c:v>
                </c:pt>
                <c:pt idx="125">
                  <c:v>1714.32</c:v>
                </c:pt>
                <c:pt idx="126">
                  <c:v>1731.53</c:v>
                </c:pt>
                <c:pt idx="127">
                  <c:v>1728.65</c:v>
                </c:pt>
                <c:pt idx="128">
                  <c:v>1707.68</c:v>
                </c:pt>
                <c:pt idx="129">
                  <c:v>1667.9</c:v>
                </c:pt>
                <c:pt idx="130">
                  <c:v>1679.4</c:v>
                </c:pt>
                <c:pt idx="131">
                  <c:v>1655.3</c:v>
                </c:pt>
                <c:pt idx="132">
                  <c:v>1653.54</c:v>
                </c:pt>
                <c:pt idx="133">
                  <c:v>1692.73</c:v>
                </c:pt>
                <c:pt idx="134">
                  <c:v>1703.31</c:v>
                </c:pt>
                <c:pt idx="135">
                  <c:v>1684.77</c:v>
                </c:pt>
                <c:pt idx="136">
                  <c:v>1701.57</c:v>
                </c:pt>
                <c:pt idx="137">
                  <c:v>1692.27</c:v>
                </c:pt>
                <c:pt idx="138">
                  <c:v>1702.52</c:v>
                </c:pt>
                <c:pt idx="139">
                  <c:v>1696.67</c:v>
                </c:pt>
                <c:pt idx="140">
                  <c:v>1668.9</c:v>
                </c:pt>
                <c:pt idx="141">
                  <c:v>1641.76</c:v>
                </c:pt>
                <c:pt idx="142">
                  <c:v>1668.16</c:v>
                </c:pt>
                <c:pt idx="143">
                  <c:v>1685.6200000000001</c:v>
                </c:pt>
                <c:pt idx="144">
                  <c:v>1689.78</c:v>
                </c:pt>
                <c:pt idx="145">
                  <c:v>1688.03</c:v>
                </c:pt>
                <c:pt idx="146">
                  <c:v>1697.44</c:v>
                </c:pt>
                <c:pt idx="147">
                  <c:v>1704.24</c:v>
                </c:pt>
                <c:pt idx="148">
                  <c:v>1711.17</c:v>
                </c:pt>
                <c:pt idx="149">
                  <c:v>1702.43</c:v>
                </c:pt>
                <c:pt idx="150">
                  <c:v>1683.03</c:v>
                </c:pt>
                <c:pt idx="151">
                  <c:v>1688.6000000000001</c:v>
                </c:pt>
                <c:pt idx="152">
                  <c:v>1659.58</c:v>
                </c:pt>
                <c:pt idx="153">
                  <c:v>1659.76</c:v>
                </c:pt>
                <c:pt idx="154">
                  <c:v>1669.21</c:v>
                </c:pt>
                <c:pt idx="155">
                  <c:v>1670.96</c:v>
                </c:pt>
                <c:pt idx="156">
                  <c:v>1664.6100000000001</c:v>
                </c:pt>
                <c:pt idx="157">
                  <c:v>1652.71</c:v>
                </c:pt>
                <c:pt idx="158">
                  <c:v>1657.88</c:v>
                </c:pt>
                <c:pt idx="159">
                  <c:v>1630.3400000000001</c:v>
                </c:pt>
                <c:pt idx="160">
                  <c:v>1643.5900000000001</c:v>
                </c:pt>
                <c:pt idx="161">
                  <c:v>1623.74</c:v>
                </c:pt>
                <c:pt idx="162">
                  <c:v>1635.16</c:v>
                </c:pt>
                <c:pt idx="163">
                  <c:v>1630.66</c:v>
                </c:pt>
                <c:pt idx="164">
                  <c:v>1662.74</c:v>
                </c:pt>
                <c:pt idx="165">
                  <c:v>1654.72</c:v>
                </c:pt>
                <c:pt idx="166">
                  <c:v>1629.91</c:v>
                </c:pt>
                <c:pt idx="167">
                  <c:v>1612.05</c:v>
                </c:pt>
                <c:pt idx="168">
                  <c:v>1584.77</c:v>
                </c:pt>
                <c:pt idx="169">
                  <c:v>1591.18</c:v>
                </c:pt>
                <c:pt idx="170">
                  <c:v>1590.29</c:v>
                </c:pt>
                <c:pt idx="171">
                  <c:v>1588.93</c:v>
                </c:pt>
                <c:pt idx="172">
                  <c:v>1553.41</c:v>
                </c:pt>
                <c:pt idx="173">
                  <c:v>1524.47</c:v>
                </c:pt>
                <c:pt idx="174">
                  <c:v>1533.98</c:v>
                </c:pt>
                <c:pt idx="175">
                  <c:v>1458.99</c:v>
                </c:pt>
                <c:pt idx="176">
                  <c:v>1450.54</c:v>
                </c:pt>
                <c:pt idx="177">
                  <c:v>1427.24</c:v>
                </c:pt>
                <c:pt idx="178">
                  <c:v>1382.93</c:v>
                </c:pt>
                <c:pt idx="179">
                  <c:v>1356.6100000000001</c:v>
                </c:pt>
                <c:pt idx="180">
                  <c:v>1409.5</c:v>
                </c:pt>
                <c:pt idx="181">
                  <c:v>1421.91</c:v>
                </c:pt>
                <c:pt idx="182">
                  <c:v>1415.01</c:v>
                </c:pt>
                <c:pt idx="183">
                  <c:v>1431.29</c:v>
                </c:pt>
                <c:pt idx="184">
                  <c:v>1462.69</c:v>
                </c:pt>
                <c:pt idx="185">
                  <c:v>1459.33</c:v>
                </c:pt>
                <c:pt idx="186">
                  <c:v>1477.29</c:v>
                </c:pt>
                <c:pt idx="187">
                  <c:v>1507.03</c:v>
                </c:pt>
                <c:pt idx="188">
                  <c:v>1503.31</c:v>
                </c:pt>
                <c:pt idx="189">
                  <c:v>1506.1100000000001</c:v>
                </c:pt>
                <c:pt idx="190">
                  <c:v>1493.54</c:v>
                </c:pt>
                <c:pt idx="191">
                  <c:v>1485.63</c:v>
                </c:pt>
                <c:pt idx="192">
                  <c:v>1519.77</c:v>
                </c:pt>
                <c:pt idx="193">
                  <c:v>1542.98</c:v>
                </c:pt>
                <c:pt idx="194">
                  <c:v>1534.8600000000001</c:v>
                </c:pt>
                <c:pt idx="195">
                  <c:v>1532.52</c:v>
                </c:pt>
                <c:pt idx="196">
                  <c:v>1543.15</c:v>
                </c:pt>
                <c:pt idx="197">
                  <c:v>1514.5</c:v>
                </c:pt>
                <c:pt idx="198">
                  <c:v>1502.6100000000001</c:v>
                </c:pt>
                <c:pt idx="199">
                  <c:v>1509.46</c:v>
                </c:pt>
                <c:pt idx="200">
                  <c:v>1532.55</c:v>
                </c:pt>
                <c:pt idx="201">
                  <c:v>1525.3500000000001</c:v>
                </c:pt>
                <c:pt idx="202">
                  <c:v>1525.96</c:v>
                </c:pt>
                <c:pt idx="203">
                  <c:v>1546.9</c:v>
                </c:pt>
                <c:pt idx="204">
                  <c:v>1553.26</c:v>
                </c:pt>
                <c:pt idx="205">
                  <c:v>1516.39</c:v>
                </c:pt>
                <c:pt idx="206">
                  <c:v>1490.44</c:v>
                </c:pt>
                <c:pt idx="207">
                  <c:v>1490.58</c:v>
                </c:pt>
                <c:pt idx="208">
                  <c:v>1524.96</c:v>
                </c:pt>
                <c:pt idx="209">
                  <c:v>1529.3500000000001</c:v>
                </c:pt>
                <c:pt idx="210">
                  <c:v>1551.39</c:v>
                </c:pt>
                <c:pt idx="211">
                  <c:v>1573.93</c:v>
                </c:pt>
                <c:pt idx="212">
                  <c:v>1570.16</c:v>
                </c:pt>
                <c:pt idx="213">
                  <c:v>1574.0900000000001</c:v>
                </c:pt>
                <c:pt idx="214">
                  <c:v>1576.6100000000001</c:v>
                </c:pt>
                <c:pt idx="215">
                  <c:v>1573.82</c:v>
                </c:pt>
                <c:pt idx="216">
                  <c:v>1603.27</c:v>
                </c:pt>
                <c:pt idx="217">
                  <c:v>1606.64</c:v>
                </c:pt>
                <c:pt idx="218">
                  <c:v>1608.0900000000001</c:v>
                </c:pt>
                <c:pt idx="219">
                  <c:v>1603.17</c:v>
                </c:pt>
                <c:pt idx="220">
                  <c:v>1620.66</c:v>
                </c:pt>
                <c:pt idx="221">
                  <c:v>1608.9</c:v>
                </c:pt>
                <c:pt idx="222">
                  <c:v>1601.02</c:v>
                </c:pt>
                <c:pt idx="223">
                  <c:v>1619.78</c:v>
                </c:pt>
                <c:pt idx="224">
                  <c:v>1629.76</c:v>
                </c:pt>
                <c:pt idx="225">
                  <c:v>1618.6200000000001</c:v>
                </c:pt>
                <c:pt idx="226">
                  <c:v>1589.38</c:v>
                </c:pt>
                <c:pt idx="227">
                  <c:v>1605.99</c:v>
                </c:pt>
                <c:pt idx="228">
                  <c:v>1604.92</c:v>
                </c:pt>
                <c:pt idx="229">
                  <c:v>1591.48</c:v>
                </c:pt>
                <c:pt idx="230">
                  <c:v>1612.46</c:v>
                </c:pt>
                <c:pt idx="231">
                  <c:v>1649</c:v>
                </c:pt>
                <c:pt idx="232">
                  <c:v>1644.48</c:v>
                </c:pt>
                <c:pt idx="233">
                  <c:v>1632.1000000000001</c:v>
                </c:pt>
                <c:pt idx="234">
                  <c:v>1606.23</c:v>
                </c:pt>
                <c:pt idx="235">
                  <c:v>1601.76</c:v>
                </c:pt>
                <c:pt idx="236">
                  <c:v>1602.45</c:v>
                </c:pt>
                <c:pt idx="237">
                  <c:v>1577.58</c:v>
                </c:pt>
                <c:pt idx="238">
                  <c:v>1582.81</c:v>
                </c:pt>
                <c:pt idx="239">
                  <c:v>1598.74</c:v>
                </c:pt>
                <c:pt idx="240">
                  <c:v>1610.83</c:v>
                </c:pt>
                <c:pt idx="241">
                  <c:v>1620.27</c:v>
                </c:pt>
                <c:pt idx="242">
                  <c:v>1606.91</c:v>
                </c:pt>
                <c:pt idx="243">
                  <c:v>1613.94</c:v>
                </c:pt>
                <c:pt idx="244">
                  <c:v>1613.6000000000001</c:v>
                </c:pt>
                <c:pt idx="245">
                  <c:v>1620.26</c:v>
                </c:pt>
                <c:pt idx="246">
                  <c:v>1631.69</c:v>
                </c:pt>
                <c:pt idx="247">
                  <c:v>1637.23</c:v>
                </c:pt>
                <c:pt idx="248">
                  <c:v>1618.98</c:v>
                </c:pt>
                <c:pt idx="249">
                  <c:v>1628.51</c:v>
                </c:pt>
                <c:pt idx="250">
                  <c:v>1643.48</c:v>
                </c:pt>
                <c:pt idx="251">
                  <c:v>1653.69</c:v>
                </c:pt>
                <c:pt idx="252">
                  <c:v>1642.95</c:v>
                </c:pt>
                <c:pt idx="253">
                  <c:v>1637.48</c:v>
                </c:pt>
                <c:pt idx="254">
                  <c:v>1629.7</c:v>
                </c:pt>
                <c:pt idx="255">
                  <c:v>1631.72</c:v>
                </c:pt>
                <c:pt idx="256">
                  <c:v>1616.3500000000001</c:v>
                </c:pt>
                <c:pt idx="257">
                  <c:v>1606.2</c:v>
                </c:pt>
                <c:pt idx="258">
                  <c:v>1617.18</c:v>
                </c:pt>
                <c:pt idx="259">
                  <c:v>1591.04</c:v>
                </c:pt>
                <c:pt idx="260">
                  <c:v>1607.02</c:v>
                </c:pt>
                <c:pt idx="261">
                  <c:v>1591.08</c:v>
                </c:pt>
                <c:pt idx="262">
                  <c:v>1579.41</c:v>
                </c:pt>
                <c:pt idx="263">
                  <c:v>1591.94</c:v>
                </c:pt>
                <c:pt idx="264">
                  <c:v>1597.55</c:v>
                </c:pt>
                <c:pt idx="265">
                  <c:v>1599.14</c:v>
                </c:pt>
                <c:pt idx="266">
                  <c:v>1598.8600000000001</c:v>
                </c:pt>
                <c:pt idx="267">
                  <c:v>1553.23</c:v>
                </c:pt>
                <c:pt idx="268">
                  <c:v>1571.69</c:v>
                </c:pt>
                <c:pt idx="269">
                  <c:v>1595.3500000000001</c:v>
                </c:pt>
                <c:pt idx="270">
                  <c:v>1584.06</c:v>
                </c:pt>
                <c:pt idx="271">
                  <c:v>1544.89</c:v>
                </c:pt>
                <c:pt idx="272">
                  <c:v>1538.7</c:v>
                </c:pt>
                <c:pt idx="273">
                  <c:v>1529.67</c:v>
                </c:pt>
                <c:pt idx="274">
                  <c:v>1525.26</c:v>
                </c:pt>
                <c:pt idx="275">
                  <c:v>1547.94</c:v>
                </c:pt>
                <c:pt idx="276">
                  <c:v>1570.21</c:v>
                </c:pt>
                <c:pt idx="277">
                  <c:v>1563.95</c:v>
                </c:pt>
                <c:pt idx="278">
                  <c:v>1580.03</c:v>
                </c:pt>
                <c:pt idx="279">
                  <c:v>1577.29</c:v>
                </c:pt>
                <c:pt idx="280">
                  <c:v>1559.97</c:v>
                </c:pt>
                <c:pt idx="281">
                  <c:v>1530.58</c:v>
                </c:pt>
                <c:pt idx="282">
                  <c:v>1551.3700000000001</c:v>
                </c:pt>
                <c:pt idx="283">
                  <c:v>1527.34</c:v>
                </c:pt>
                <c:pt idx="284">
                  <c:v>1539.91</c:v>
                </c:pt>
                <c:pt idx="285">
                  <c:v>1567.5900000000001</c:v>
                </c:pt>
                <c:pt idx="286">
                  <c:v>1567.65</c:v>
                </c:pt>
                <c:pt idx="287">
                  <c:v>1569</c:v>
                </c:pt>
                <c:pt idx="288">
                  <c:v>1564.5900000000001</c:v>
                </c:pt>
                <c:pt idx="289">
                  <c:v>1600.02</c:v>
                </c:pt>
                <c:pt idx="290">
                  <c:v>1631.25</c:v>
                </c:pt>
                <c:pt idx="291">
                  <c:v>1620.3700000000001</c:v>
                </c:pt>
                <c:pt idx="292">
                  <c:v>1644.2</c:v>
                </c:pt>
                <c:pt idx="293">
                  <c:v>1636.8600000000001</c:v>
                </c:pt>
                <c:pt idx="294">
                  <c:v>1646.44</c:v>
                </c:pt>
                <c:pt idx="295">
                  <c:v>1652.04</c:v>
                </c:pt>
                <c:pt idx="296">
                  <c:v>1648.28</c:v>
                </c:pt>
                <c:pt idx="297">
                  <c:v>1632.46</c:v>
                </c:pt>
                <c:pt idx="298">
                  <c:v>1631</c:v>
                </c:pt>
                <c:pt idx="299">
                  <c:v>1649.56</c:v>
                </c:pt>
                <c:pt idx="300">
                  <c:v>1648.73</c:v>
                </c:pt>
                <c:pt idx="301">
                  <c:v>1655.44</c:v>
                </c:pt>
                <c:pt idx="302">
                  <c:v>1629.43</c:v>
                </c:pt>
                <c:pt idx="303">
                  <c:v>1631.93</c:v>
                </c:pt>
                <c:pt idx="304">
                  <c:v>1625.02</c:v>
                </c:pt>
                <c:pt idx="305">
                  <c:v>1601.21</c:v>
                </c:pt>
                <c:pt idx="306">
                  <c:v>1610.81</c:v>
                </c:pt>
                <c:pt idx="307">
                  <c:v>1619.45</c:v>
                </c:pt>
                <c:pt idx="308">
                  <c:v>1623.43</c:v>
                </c:pt>
                <c:pt idx="309">
                  <c:v>1622.23</c:v>
                </c:pt>
                <c:pt idx="310">
                  <c:v>1608.39</c:v>
                </c:pt>
                <c:pt idx="311">
                  <c:v>1592.6000000000001</c:v>
                </c:pt>
                <c:pt idx="312">
                  <c:v>1593.96</c:v>
                </c:pt>
                <c:pt idx="313">
                  <c:v>1588.8700000000001</c:v>
                </c:pt>
                <c:pt idx="314">
                  <c:v>1592.88</c:v>
                </c:pt>
                <c:pt idx="315">
                  <c:v>1582.3600000000001</c:v>
                </c:pt>
                <c:pt idx="316">
                  <c:v>1600.3600000000001</c:v>
                </c:pt>
                <c:pt idx="317">
                  <c:v>1562.52</c:v>
                </c:pt>
                <c:pt idx="318">
                  <c:v>1572.89</c:v>
                </c:pt>
                <c:pt idx="319">
                  <c:v>1560.92</c:v>
                </c:pt>
                <c:pt idx="320">
                  <c:v>1597.48</c:v>
                </c:pt>
                <c:pt idx="321">
                  <c:v>1594.32</c:v>
                </c:pt>
                <c:pt idx="322">
                  <c:v>1592.08</c:v>
                </c:pt>
                <c:pt idx="323">
                  <c:v>1593.07</c:v>
                </c:pt>
                <c:pt idx="324">
                  <c:v>1568.52</c:v>
                </c:pt>
                <c:pt idx="325">
                  <c:v>1558.79</c:v>
                </c:pt>
                <c:pt idx="326">
                  <c:v>1547.74</c:v>
                </c:pt>
                <c:pt idx="327">
                  <c:v>1545.4</c:v>
                </c:pt>
                <c:pt idx="328">
                  <c:v>1524.08</c:v>
                </c:pt>
                <c:pt idx="329">
                  <c:v>1508.75</c:v>
                </c:pt>
                <c:pt idx="330">
                  <c:v>1525</c:v>
                </c:pt>
                <c:pt idx="331">
                  <c:v>1538.65</c:v>
                </c:pt>
                <c:pt idx="332">
                  <c:v>1536.16</c:v>
                </c:pt>
                <c:pt idx="333">
                  <c:v>1520.44</c:v>
                </c:pt>
                <c:pt idx="334">
                  <c:v>1491.05</c:v>
                </c:pt>
                <c:pt idx="335">
                  <c:v>1486.57</c:v>
                </c:pt>
                <c:pt idx="336">
                  <c:v>1542.53</c:v>
                </c:pt>
                <c:pt idx="337">
                  <c:v>1520.39</c:v>
                </c:pt>
                <c:pt idx="338">
                  <c:v>1494.8700000000001</c:v>
                </c:pt>
                <c:pt idx="339">
                  <c:v>1522.8</c:v>
                </c:pt>
                <c:pt idx="340">
                  <c:v>1555.04</c:v>
                </c:pt>
                <c:pt idx="341">
                  <c:v>1546.73</c:v>
                </c:pt>
                <c:pt idx="342">
                  <c:v>1556.93</c:v>
                </c:pt>
                <c:pt idx="343">
                  <c:v>1569.17</c:v>
                </c:pt>
                <c:pt idx="344">
                  <c:v>1548.31</c:v>
                </c:pt>
                <c:pt idx="345">
                  <c:v>1531.32</c:v>
                </c:pt>
                <c:pt idx="346">
                  <c:v>1540.1200000000001</c:v>
                </c:pt>
                <c:pt idx="347">
                  <c:v>1555.82</c:v>
                </c:pt>
                <c:pt idx="348">
                  <c:v>1537.02</c:v>
                </c:pt>
                <c:pt idx="349">
                  <c:v>1523.83</c:v>
                </c:pt>
                <c:pt idx="350">
                  <c:v>1514.33</c:v>
                </c:pt>
                <c:pt idx="351">
                  <c:v>1510.25</c:v>
                </c:pt>
                <c:pt idx="352">
                  <c:v>1513.77</c:v>
                </c:pt>
                <c:pt idx="353">
                  <c:v>1476.26</c:v>
                </c:pt>
                <c:pt idx="354">
                  <c:v>1476.28</c:v>
                </c:pt>
                <c:pt idx="355">
                  <c:v>1489.88</c:v>
                </c:pt>
                <c:pt idx="356">
                  <c:v>1460.5</c:v>
                </c:pt>
                <c:pt idx="357">
                  <c:v>1458.21</c:v>
                </c:pt>
                <c:pt idx="358">
                  <c:v>1462.78</c:v>
                </c:pt>
                <c:pt idx="359">
                  <c:v>1438.47</c:v>
                </c:pt>
                <c:pt idx="360">
                  <c:v>1448.16</c:v>
                </c:pt>
                <c:pt idx="361">
                  <c:v>1433.01</c:v>
                </c:pt>
                <c:pt idx="362">
                  <c:v>1429.78</c:v>
                </c:pt>
                <c:pt idx="363">
                  <c:v>1470.84</c:v>
                </c:pt>
                <c:pt idx="364">
                  <c:v>1472.25</c:v>
                </c:pt>
                <c:pt idx="365">
                  <c:v>1447.98</c:v>
                </c:pt>
                <c:pt idx="366">
                  <c:v>1428.55</c:v>
                </c:pt>
                <c:pt idx="367">
                  <c:v>1404.19</c:v>
                </c:pt>
                <c:pt idx="368">
                  <c:v>1409.3</c:v>
                </c:pt>
                <c:pt idx="369">
                  <c:v>1385.76</c:v>
                </c:pt>
                <c:pt idx="370">
                  <c:v>1382.78</c:v>
                </c:pt>
                <c:pt idx="371">
                  <c:v>1407.1100000000001</c:v>
                </c:pt>
                <c:pt idx="372">
                  <c:v>1405.93</c:v>
                </c:pt>
                <c:pt idx="373">
                  <c:v>1375.8700000000001</c:v>
                </c:pt>
                <c:pt idx="374">
                  <c:v>1346.96</c:v>
                </c:pt>
                <c:pt idx="375">
                  <c:v>1355.4</c:v>
                </c:pt>
                <c:pt idx="376">
                  <c:v>1405.2</c:v>
                </c:pt>
                <c:pt idx="377">
                  <c:v>1388.44</c:v>
                </c:pt>
                <c:pt idx="378">
                  <c:v>1354.23</c:v>
                </c:pt>
                <c:pt idx="379">
                  <c:v>1308.3</c:v>
                </c:pt>
                <c:pt idx="380">
                  <c:v>1318.18</c:v>
                </c:pt>
                <c:pt idx="381">
                  <c:v>1309.68</c:v>
                </c:pt>
                <c:pt idx="382">
                  <c:v>1304.76</c:v>
                </c:pt>
                <c:pt idx="383">
                  <c:v>1280.78</c:v>
                </c:pt>
                <c:pt idx="384">
                  <c:v>1287.98</c:v>
                </c:pt>
                <c:pt idx="385">
                  <c:v>1253.21</c:v>
                </c:pt>
                <c:pt idx="386">
                  <c:v>1205.1600000000001</c:v>
                </c:pt>
                <c:pt idx="387">
                  <c:v>1165.48</c:v>
                </c:pt>
                <c:pt idx="388">
                  <c:v>1133.99</c:v>
                </c:pt>
                <c:pt idx="389">
                  <c:v>1199.01</c:v>
                </c:pt>
                <c:pt idx="390">
                  <c:v>1192.28</c:v>
                </c:pt>
                <c:pt idx="391">
                  <c:v>1212.4100000000001</c:v>
                </c:pt>
                <c:pt idx="392">
                  <c:v>1278.1000000000001</c:v>
                </c:pt>
                <c:pt idx="393">
                  <c:v>1283.6200000000001</c:v>
                </c:pt>
                <c:pt idx="394">
                  <c:v>1296.3399999999999</c:v>
                </c:pt>
                <c:pt idx="395">
                  <c:v>1258.22</c:v>
                </c:pt>
                <c:pt idx="396">
                  <c:v>1229.19</c:v>
                </c:pt>
                <c:pt idx="397">
                  <c:v>1187.07</c:v>
                </c:pt>
                <c:pt idx="398">
                  <c:v>1222.5899999999999</c:v>
                </c:pt>
                <c:pt idx="399">
                  <c:v>1247.28</c:v>
                </c:pt>
                <c:pt idx="400">
                  <c:v>1288.1200000000001</c:v>
                </c:pt>
                <c:pt idx="401">
                  <c:v>1292.94</c:v>
                </c:pt>
                <c:pt idx="402">
                  <c:v>1286.08</c:v>
                </c:pt>
                <c:pt idx="403">
                  <c:v>1258.3600000000001</c:v>
                </c:pt>
                <c:pt idx="404">
                  <c:v>1309.04</c:v>
                </c:pt>
                <c:pt idx="405">
                  <c:v>1324.32</c:v>
                </c:pt>
                <c:pt idx="406">
                  <c:v>1322.3600000000001</c:v>
                </c:pt>
                <c:pt idx="407">
                  <c:v>1353.63</c:v>
                </c:pt>
                <c:pt idx="408">
                  <c:v>1334.7</c:v>
                </c:pt>
                <c:pt idx="409">
                  <c:v>1351.82</c:v>
                </c:pt>
                <c:pt idx="410">
                  <c:v>1370.8500000000001</c:v>
                </c:pt>
                <c:pt idx="411">
                  <c:v>1339.78</c:v>
                </c:pt>
                <c:pt idx="412">
                  <c:v>1349.88</c:v>
                </c:pt>
                <c:pt idx="413">
                  <c:v>1331.19</c:v>
                </c:pt>
                <c:pt idx="414">
                  <c:v>1307.28</c:v>
                </c:pt>
                <c:pt idx="415">
                  <c:v>1304.8500000000001</c:v>
                </c:pt>
                <c:pt idx="416">
                  <c:v>1250.68</c:v>
                </c:pt>
                <c:pt idx="417">
                  <c:v>1273.03</c:v>
                </c:pt>
                <c:pt idx="418">
                  <c:v>1252.77</c:v>
                </c:pt>
                <c:pt idx="419">
                  <c:v>1273.8800000000001</c:v>
                </c:pt>
                <c:pt idx="420">
                  <c:v>1286.79</c:v>
                </c:pt>
                <c:pt idx="421">
                  <c:v>1296.23</c:v>
                </c:pt>
                <c:pt idx="422">
                  <c:v>1296.25</c:v>
                </c:pt>
                <c:pt idx="423">
                  <c:v>1264.42</c:v>
                </c:pt>
                <c:pt idx="424">
                  <c:v>1268.57</c:v>
                </c:pt>
                <c:pt idx="425">
                  <c:v>1270.45</c:v>
                </c:pt>
                <c:pt idx="426">
                  <c:v>1245.3900000000001</c:v>
                </c:pt>
                <c:pt idx="427">
                  <c:v>1239.7</c:v>
                </c:pt>
                <c:pt idx="428">
                  <c:v>1202.46</c:v>
                </c:pt>
                <c:pt idx="429">
                  <c:v>1205.42</c:v>
                </c:pt>
                <c:pt idx="430">
                  <c:v>1188.76</c:v>
                </c:pt>
                <c:pt idx="431">
                  <c:v>1168.22</c:v>
                </c:pt>
                <c:pt idx="432">
                  <c:v>1197.56</c:v>
                </c:pt>
                <c:pt idx="433">
                  <c:v>1219.6000000000001</c:v>
                </c:pt>
                <c:pt idx="434">
                  <c:v>1180.28</c:v>
                </c:pt>
                <c:pt idx="435">
                  <c:v>1163.04</c:v>
                </c:pt>
                <c:pt idx="436">
                  <c:v>1209.5899999999999</c:v>
                </c:pt>
                <c:pt idx="437">
                  <c:v>1181.32</c:v>
                </c:pt>
                <c:pt idx="438">
                  <c:v>1168.56</c:v>
                </c:pt>
                <c:pt idx="439">
                  <c:v>1142.3600000000001</c:v>
                </c:pt>
                <c:pt idx="440">
                  <c:v>1120.51</c:v>
                </c:pt>
                <c:pt idx="441">
                  <c:v>1139.9000000000001</c:v>
                </c:pt>
                <c:pt idx="442">
                  <c:v>1108.9100000000001</c:v>
                </c:pt>
                <c:pt idx="443">
                  <c:v>1147.8</c:v>
                </c:pt>
                <c:pt idx="444">
                  <c:v>1192.6300000000001</c:v>
                </c:pt>
                <c:pt idx="445">
                  <c:v>1201.3700000000001</c:v>
                </c:pt>
                <c:pt idx="446">
                  <c:v>1258.24</c:v>
                </c:pt>
                <c:pt idx="447">
                  <c:v>1228.01</c:v>
                </c:pt>
                <c:pt idx="448">
                  <c:v>1255.42</c:v>
                </c:pt>
                <c:pt idx="449">
                  <c:v>1262.8399999999999</c:v>
                </c:pt>
                <c:pt idx="450">
                  <c:v>1284.73</c:v>
                </c:pt>
                <c:pt idx="451">
                  <c:v>1271.08</c:v>
                </c:pt>
                <c:pt idx="452">
                  <c:v>1279.6300000000001</c:v>
                </c:pt>
                <c:pt idx="453">
                  <c:v>1260.17</c:v>
                </c:pt>
                <c:pt idx="454">
                  <c:v>1281.81</c:v>
                </c:pt>
                <c:pt idx="455">
                  <c:v>1271.2</c:v>
                </c:pt>
                <c:pt idx="456">
                  <c:v>1259.79</c:v>
                </c:pt>
                <c:pt idx="457">
                  <c:v>1272.25</c:v>
                </c:pt>
                <c:pt idx="458">
                  <c:v>1265.4100000000001</c:v>
                </c:pt>
                <c:pt idx="459">
                  <c:v>1287.1300000000001</c:v>
                </c:pt>
                <c:pt idx="460">
                  <c:v>1297.69</c:v>
                </c:pt>
                <c:pt idx="461">
                  <c:v>1307.8</c:v>
                </c:pt>
                <c:pt idx="462">
                  <c:v>1320.04</c:v>
                </c:pt>
                <c:pt idx="463">
                  <c:v>1290.1500000000001</c:v>
                </c:pt>
                <c:pt idx="464">
                  <c:v>1278.94</c:v>
                </c:pt>
                <c:pt idx="465">
                  <c:v>1252.42</c:v>
                </c:pt>
                <c:pt idx="466">
                  <c:v>1262.1400000000001</c:v>
                </c:pt>
                <c:pt idx="467">
                  <c:v>1261.97</c:v>
                </c:pt>
                <c:pt idx="468">
                  <c:v>1293.21</c:v>
                </c:pt>
                <c:pt idx="469">
                  <c:v>1301.28</c:v>
                </c:pt>
                <c:pt idx="470">
                  <c:v>1287.79</c:v>
                </c:pt>
                <c:pt idx="471">
                  <c:v>1282.6100000000001</c:v>
                </c:pt>
                <c:pt idx="472">
                  <c:v>1307.6100000000001</c:v>
                </c:pt>
                <c:pt idx="473">
                  <c:v>1335.74</c:v>
                </c:pt>
                <c:pt idx="474">
                  <c:v>1331.16</c:v>
                </c:pt>
                <c:pt idx="475">
                  <c:v>1334.52</c:v>
                </c:pt>
                <c:pt idx="476">
                  <c:v>1306.79</c:v>
                </c:pt>
                <c:pt idx="477">
                  <c:v>1343.47</c:v>
                </c:pt>
                <c:pt idx="478">
                  <c:v>1339.89</c:v>
                </c:pt>
                <c:pt idx="479">
                  <c:v>1337.34</c:v>
                </c:pt>
                <c:pt idx="480">
                  <c:v>1317.64</c:v>
                </c:pt>
                <c:pt idx="481">
                  <c:v>1313.53</c:v>
                </c:pt>
                <c:pt idx="482">
                  <c:v>1297.8</c:v>
                </c:pt>
                <c:pt idx="483">
                  <c:v>1305.98</c:v>
                </c:pt>
                <c:pt idx="484">
                  <c:v>1277.05</c:v>
                </c:pt>
                <c:pt idx="485">
                  <c:v>1294.9100000000001</c:v>
                </c:pt>
                <c:pt idx="486">
                  <c:v>1295.9100000000001</c:v>
                </c:pt>
                <c:pt idx="487">
                  <c:v>1291.1600000000001</c:v>
                </c:pt>
                <c:pt idx="488">
                  <c:v>1273.83</c:v>
                </c:pt>
                <c:pt idx="489">
                  <c:v>1303.8500000000001</c:v>
                </c:pt>
                <c:pt idx="490">
                  <c:v>1293.26</c:v>
                </c:pt>
                <c:pt idx="491">
                  <c:v>1276.3600000000001</c:v>
                </c:pt>
                <c:pt idx="492">
                  <c:v>1266.79</c:v>
                </c:pt>
                <c:pt idx="493">
                  <c:v>1283.25</c:v>
                </c:pt>
                <c:pt idx="494">
                  <c:v>1285.6000000000001</c:v>
                </c:pt>
                <c:pt idx="495">
                  <c:v>1278.58</c:v>
                </c:pt>
                <c:pt idx="496">
                  <c:v>1274.55</c:v>
                </c:pt>
                <c:pt idx="497">
                  <c:v>1254.6500000000001</c:v>
                </c:pt>
                <c:pt idx="498">
                  <c:v>1260.42</c:v>
                </c:pt>
                <c:pt idx="499">
                  <c:v>1261.18</c:v>
                </c:pt>
                <c:pt idx="500">
                  <c:v>1303.17</c:v>
                </c:pt>
                <c:pt idx="501">
                  <c:v>1302.55</c:v>
                </c:pt>
                <c:pt idx="502">
                  <c:v>1331.82</c:v>
                </c:pt>
                <c:pt idx="503">
                  <c:v>1323.17</c:v>
                </c:pt>
                <c:pt idx="504">
                  <c:v>1304.95</c:v>
                </c:pt>
                <c:pt idx="505">
                  <c:v>1330.3</c:v>
                </c:pt>
                <c:pt idx="506">
                  <c:v>1330.29</c:v>
                </c:pt>
                <c:pt idx="507">
                  <c:v>1328.5</c:v>
                </c:pt>
                <c:pt idx="508">
                  <c:v>1336.24</c:v>
                </c:pt>
                <c:pt idx="509">
                  <c:v>1317.18</c:v>
                </c:pt>
                <c:pt idx="510">
                  <c:v>1312</c:v>
                </c:pt>
                <c:pt idx="511">
                  <c:v>1293.6300000000001</c:v>
                </c:pt>
                <c:pt idx="512">
                  <c:v>1273.31</c:v>
                </c:pt>
                <c:pt idx="513">
                  <c:v>1260.1600000000001</c:v>
                </c:pt>
                <c:pt idx="514">
                  <c:v>1273.04</c:v>
                </c:pt>
                <c:pt idx="515">
                  <c:v>1235.8399999999999</c:v>
                </c:pt>
                <c:pt idx="516">
                  <c:v>1215.8600000000001</c:v>
                </c:pt>
                <c:pt idx="517">
                  <c:v>1231.74</c:v>
                </c:pt>
                <c:pt idx="518">
                  <c:v>1240.31</c:v>
                </c:pt>
                <c:pt idx="519">
                  <c:v>1212.23</c:v>
                </c:pt>
                <c:pt idx="520">
                  <c:v>1228.1400000000001</c:v>
                </c:pt>
                <c:pt idx="521">
                  <c:v>1234.78</c:v>
                </c:pt>
                <c:pt idx="522">
                  <c:v>1217.4000000000001</c:v>
                </c:pt>
                <c:pt idx="523">
                  <c:v>1211.04</c:v>
                </c:pt>
                <c:pt idx="524">
                  <c:v>1203.58</c:v>
                </c:pt>
                <c:pt idx="525">
                  <c:v>1191.46</c:v>
                </c:pt>
                <c:pt idx="526">
                  <c:v>1200.51</c:v>
                </c:pt>
                <c:pt idx="527">
                  <c:v>1190.83</c:v>
                </c:pt>
                <c:pt idx="528">
                  <c:v>1176.1500000000001</c:v>
                </c:pt>
                <c:pt idx="529">
                  <c:v>1174.43</c:v>
                </c:pt>
                <c:pt idx="530">
                  <c:v>1199.6100000000001</c:v>
                </c:pt>
                <c:pt idx="531">
                  <c:v>1223.1100000000001</c:v>
                </c:pt>
                <c:pt idx="532">
                  <c:v>1214.6600000000001</c:v>
                </c:pt>
                <c:pt idx="533">
                  <c:v>1203.18</c:v>
                </c:pt>
                <c:pt idx="534">
                  <c:v>1219.1000000000001</c:v>
                </c:pt>
                <c:pt idx="535">
                  <c:v>1196.71</c:v>
                </c:pt>
                <c:pt idx="536">
                  <c:v>1205.32</c:v>
                </c:pt>
                <c:pt idx="537">
                  <c:v>1189.98</c:v>
                </c:pt>
                <c:pt idx="538">
                  <c:v>1204.1100000000001</c:v>
                </c:pt>
                <c:pt idx="539">
                  <c:v>1209.71</c:v>
                </c:pt>
                <c:pt idx="540">
                  <c:v>1200.6000000000001</c:v>
                </c:pt>
                <c:pt idx="541">
                  <c:v>1182.17</c:v>
                </c:pt>
                <c:pt idx="542">
                  <c:v>1193.8700000000001</c:v>
                </c:pt>
                <c:pt idx="543">
                  <c:v>1182.82</c:v>
                </c:pt>
                <c:pt idx="544">
                  <c:v>1192.6100000000001</c:v>
                </c:pt>
                <c:pt idx="545">
                  <c:v>1161.8500000000001</c:v>
                </c:pt>
                <c:pt idx="546">
                  <c:v>1152.1500000000001</c:v>
                </c:pt>
                <c:pt idx="547">
                  <c:v>1157.6100000000001</c:v>
                </c:pt>
                <c:pt idx="548">
                  <c:v>1197.56</c:v>
                </c:pt>
                <c:pt idx="549">
                  <c:v>1199.55</c:v>
                </c:pt>
                <c:pt idx="550">
                  <c:v>1242.0899999999999</c:v>
                </c:pt>
                <c:pt idx="551">
                  <c:v>1247.3900000000001</c:v>
                </c:pt>
                <c:pt idx="552">
                  <c:v>1258.3700000000001</c:v>
                </c:pt>
                <c:pt idx="553">
                  <c:v>1260.76</c:v>
                </c:pt>
                <c:pt idx="554">
                  <c:v>1289.74</c:v>
                </c:pt>
                <c:pt idx="555">
                  <c:v>1244.31</c:v>
                </c:pt>
                <c:pt idx="556">
                  <c:v>1259.44</c:v>
                </c:pt>
                <c:pt idx="557">
                  <c:v>1252.5899999999999</c:v>
                </c:pt>
                <c:pt idx="558">
                  <c:v>1250.71</c:v>
                </c:pt>
                <c:pt idx="559">
                  <c:v>1243.51</c:v>
                </c:pt>
                <c:pt idx="560">
                  <c:v>1221.46</c:v>
                </c:pt>
                <c:pt idx="561">
                  <c:v>1236.3</c:v>
                </c:pt>
                <c:pt idx="562">
                  <c:v>1268.82</c:v>
                </c:pt>
                <c:pt idx="563">
                  <c:v>1262.43</c:v>
                </c:pt>
                <c:pt idx="564">
                  <c:v>1265.9000000000001</c:v>
                </c:pt>
                <c:pt idx="565">
                  <c:v>1267.48</c:v>
                </c:pt>
                <c:pt idx="566">
                  <c:v>1265.57</c:v>
                </c:pt>
                <c:pt idx="567">
                  <c:v>1247.99</c:v>
                </c:pt>
                <c:pt idx="568">
                  <c:v>1256.04</c:v>
                </c:pt>
                <c:pt idx="569">
                  <c:v>1251.4000000000001</c:v>
                </c:pt>
                <c:pt idx="570">
                  <c:v>1275.82</c:v>
                </c:pt>
                <c:pt idx="571">
                  <c:v>1283.96</c:v>
                </c:pt>
                <c:pt idx="572">
                  <c:v>1268.28</c:v>
                </c:pt>
                <c:pt idx="573">
                  <c:v>1287.99</c:v>
                </c:pt>
                <c:pt idx="574">
                  <c:v>1285.72</c:v>
                </c:pt>
                <c:pt idx="575">
                  <c:v>1313.63</c:v>
                </c:pt>
                <c:pt idx="576">
                  <c:v>1324.68</c:v>
                </c:pt>
                <c:pt idx="577">
                  <c:v>1313.75</c:v>
                </c:pt>
                <c:pt idx="578">
                  <c:v>1295.57</c:v>
                </c:pt>
                <c:pt idx="579">
                  <c:v>1318.8500000000001</c:v>
                </c:pt>
                <c:pt idx="580">
                  <c:v>1323.26</c:v>
                </c:pt>
                <c:pt idx="581">
                  <c:v>1322.07</c:v>
                </c:pt>
                <c:pt idx="582">
                  <c:v>1321.39</c:v>
                </c:pt>
                <c:pt idx="583">
                  <c:v>1341.28</c:v>
                </c:pt>
                <c:pt idx="584">
                  <c:v>1336.24</c:v>
                </c:pt>
                <c:pt idx="585">
                  <c:v>1347.54</c:v>
                </c:pt>
                <c:pt idx="586">
                  <c:v>1340.8700000000001</c:v>
                </c:pt>
                <c:pt idx="587">
                  <c:v>1327.42</c:v>
                </c:pt>
                <c:pt idx="588">
                  <c:v>1346.68</c:v>
                </c:pt>
                <c:pt idx="589">
                  <c:v>1363.6100000000001</c:v>
                </c:pt>
                <c:pt idx="590">
                  <c:v>1359.74</c:v>
                </c:pt>
                <c:pt idx="591">
                  <c:v>1355.76</c:v>
                </c:pt>
                <c:pt idx="592">
                  <c:v>1366.58</c:v>
                </c:pt>
                <c:pt idx="593">
                  <c:v>1363.32</c:v>
                </c:pt>
                <c:pt idx="594">
                  <c:v>1329.38</c:v>
                </c:pt>
                <c:pt idx="595">
                  <c:v>1327.8700000000001</c:v>
                </c:pt>
                <c:pt idx="596">
                  <c:v>1333.33</c:v>
                </c:pt>
                <c:pt idx="597">
                  <c:v>1345.53</c:v>
                </c:pt>
                <c:pt idx="598">
                  <c:v>1347.49</c:v>
                </c:pt>
                <c:pt idx="599">
                  <c:v>1373.8600000000001</c:v>
                </c:pt>
                <c:pt idx="600">
                  <c:v>1376.57</c:v>
                </c:pt>
                <c:pt idx="601">
                  <c:v>1371.51</c:v>
                </c:pt>
                <c:pt idx="602">
                  <c:v>1391.72</c:v>
                </c:pt>
                <c:pt idx="603">
                  <c:v>1396.7</c:v>
                </c:pt>
                <c:pt idx="604">
                  <c:v>1403.29</c:v>
                </c:pt>
                <c:pt idx="605">
                  <c:v>1424.9</c:v>
                </c:pt>
                <c:pt idx="606">
                  <c:v>1430.63</c:v>
                </c:pt>
                <c:pt idx="607">
                  <c:v>1427.27</c:v>
                </c:pt>
                <c:pt idx="608">
                  <c:v>1410.21</c:v>
                </c:pt>
                <c:pt idx="609">
                  <c:v>1423.1100000000001</c:v>
                </c:pt>
                <c:pt idx="610">
                  <c:v>1441.8600000000001</c:v>
                </c:pt>
                <c:pt idx="611">
                  <c:v>1443.41</c:v>
                </c:pt>
                <c:pt idx="612">
                  <c:v>1429.1100000000001</c:v>
                </c:pt>
                <c:pt idx="613">
                  <c:v>1461.15</c:v>
                </c:pt>
                <c:pt idx="614">
                  <c:v>1462.48</c:v>
                </c:pt>
                <c:pt idx="615">
                  <c:v>1460.32</c:v>
                </c:pt>
                <c:pt idx="616">
                  <c:v>1438.09</c:v>
                </c:pt>
                <c:pt idx="617">
                  <c:v>1439.54</c:v>
                </c:pt>
                <c:pt idx="618">
                  <c:v>1419.24</c:v>
                </c:pt>
                <c:pt idx="619">
                  <c:v>1421.8600000000001</c:v>
                </c:pt>
                <c:pt idx="620">
                  <c:v>1410.09</c:v>
                </c:pt>
                <c:pt idx="621">
                  <c:v>1425.82</c:v>
                </c:pt>
                <c:pt idx="622">
                  <c:v>1411.96</c:v>
                </c:pt>
                <c:pt idx="623">
                  <c:v>1409.48</c:v>
                </c:pt>
                <c:pt idx="624">
                  <c:v>1421.03</c:v>
                </c:pt>
                <c:pt idx="625">
                  <c:v>1437.6100000000001</c:v>
                </c:pt>
                <c:pt idx="626">
                  <c:v>1425.96</c:v>
                </c:pt>
                <c:pt idx="627">
                  <c:v>1453.07</c:v>
                </c:pt>
                <c:pt idx="628">
                  <c:v>1458.51</c:v>
                </c:pt>
                <c:pt idx="629">
                  <c:v>1450.51</c:v>
                </c:pt>
                <c:pt idx="630">
                  <c:v>1430.96</c:v>
                </c:pt>
                <c:pt idx="631">
                  <c:v>1444.7</c:v>
                </c:pt>
                <c:pt idx="632">
                  <c:v>1453</c:v>
                </c:pt>
                <c:pt idx="633">
                  <c:v>1448.02</c:v>
                </c:pt>
                <c:pt idx="634">
                  <c:v>1438.8500000000001</c:v>
                </c:pt>
                <c:pt idx="635">
                  <c:v>1421.1100000000001</c:v>
                </c:pt>
                <c:pt idx="636">
                  <c:v>1437.88</c:v>
                </c:pt>
                <c:pt idx="637">
                  <c:v>1416.88</c:v>
                </c:pt>
                <c:pt idx="638">
                  <c:v>1430.3500000000001</c:v>
                </c:pt>
                <c:pt idx="639">
                  <c:v>1431.1000000000001</c:v>
                </c:pt>
                <c:pt idx="640">
                  <c:v>1420.95</c:v>
                </c:pt>
                <c:pt idx="641">
                  <c:v>1445.7</c:v>
                </c:pt>
                <c:pt idx="642">
                  <c:v>1442.58</c:v>
                </c:pt>
                <c:pt idx="643">
                  <c:v>1432.31</c:v>
                </c:pt>
                <c:pt idx="644">
                  <c:v>1429.9</c:v>
                </c:pt>
                <c:pt idx="645">
                  <c:v>1434.33</c:v>
                </c:pt>
                <c:pt idx="646">
                  <c:v>1419.64</c:v>
                </c:pt>
                <c:pt idx="647">
                  <c:v>1423.51</c:v>
                </c:pt>
                <c:pt idx="648">
                  <c:v>1398.42</c:v>
                </c:pt>
                <c:pt idx="649">
                  <c:v>1401.01</c:v>
                </c:pt>
                <c:pt idx="650">
                  <c:v>1411.26</c:v>
                </c:pt>
                <c:pt idx="651">
                  <c:v>1416.3</c:v>
                </c:pt>
                <c:pt idx="652">
                  <c:v>1421.01</c:v>
                </c:pt>
                <c:pt idx="653">
                  <c:v>1435.17</c:v>
                </c:pt>
                <c:pt idx="654">
                  <c:v>1426.55</c:v>
                </c:pt>
                <c:pt idx="655">
                  <c:v>1435.95</c:v>
                </c:pt>
                <c:pt idx="656">
                  <c:v>1436.43</c:v>
                </c:pt>
                <c:pt idx="657">
                  <c:v>1449.65</c:v>
                </c:pt>
                <c:pt idx="658">
                  <c:v>1453.45</c:v>
                </c:pt>
                <c:pt idx="659">
                  <c:v>1450.6000000000001</c:v>
                </c:pt>
                <c:pt idx="660">
                  <c:v>1454.98</c:v>
                </c:pt>
                <c:pt idx="661">
                  <c:v>1440.16</c:v>
                </c:pt>
                <c:pt idx="662">
                  <c:v>1441.1100000000001</c:v>
                </c:pt>
                <c:pt idx="663">
                  <c:v>1445.5</c:v>
                </c:pt>
                <c:pt idx="664">
                  <c:v>1445.84</c:v>
                </c:pt>
                <c:pt idx="665">
                  <c:v>1454.7</c:v>
                </c:pt>
                <c:pt idx="666">
                  <c:v>1462.3</c:v>
                </c:pt>
                <c:pt idx="667">
                  <c:v>1482.6100000000001</c:v>
                </c:pt>
                <c:pt idx="668">
                  <c:v>1489.25</c:v>
                </c:pt>
                <c:pt idx="669">
                  <c:v>1491.77</c:v>
                </c:pt>
                <c:pt idx="670">
                  <c:v>1482.24</c:v>
                </c:pt>
                <c:pt idx="671">
                  <c:v>1497.22</c:v>
                </c:pt>
                <c:pt idx="672">
                  <c:v>1484.93</c:v>
                </c:pt>
                <c:pt idx="673">
                  <c:v>1467.29</c:v>
                </c:pt>
                <c:pt idx="674">
                  <c:v>1475.71</c:v>
                </c:pt>
                <c:pt idx="675">
                  <c:v>1478.93</c:v>
                </c:pt>
                <c:pt idx="676">
                  <c:v>1473.43</c:v>
                </c:pt>
                <c:pt idx="677">
                  <c:v>1494.5</c:v>
                </c:pt>
                <c:pt idx="678">
                  <c:v>1489.69</c:v>
                </c:pt>
                <c:pt idx="679">
                  <c:v>1509.47</c:v>
                </c:pt>
                <c:pt idx="680">
                  <c:v>1504.74</c:v>
                </c:pt>
                <c:pt idx="681">
                  <c:v>1485.16</c:v>
                </c:pt>
                <c:pt idx="682">
                  <c:v>1494.19</c:v>
                </c:pt>
                <c:pt idx="683">
                  <c:v>1465.66</c:v>
                </c:pt>
                <c:pt idx="684">
                  <c:v>1457.09</c:v>
                </c:pt>
                <c:pt idx="685">
                  <c:v>1448.03</c:v>
                </c:pt>
                <c:pt idx="686">
                  <c:v>1462.2</c:v>
                </c:pt>
                <c:pt idx="687">
                  <c:v>1446.77</c:v>
                </c:pt>
                <c:pt idx="688">
                  <c:v>1479.23</c:v>
                </c:pt>
                <c:pt idx="689">
                  <c:v>1482.3600000000001</c:v>
                </c:pt>
                <c:pt idx="690">
                  <c:v>1496.32</c:v>
                </c:pt>
                <c:pt idx="691">
                  <c:v>1502.8600000000001</c:v>
                </c:pt>
                <c:pt idx="692">
                  <c:v>1510.05</c:v>
                </c:pt>
                <c:pt idx="693">
                  <c:v>1502.65</c:v>
                </c:pt>
                <c:pt idx="694">
                  <c:v>1509.8600000000001</c:v>
                </c:pt>
                <c:pt idx="695">
                  <c:v>1509</c:v>
                </c:pt>
                <c:pt idx="696">
                  <c:v>1519.6000000000001</c:v>
                </c:pt>
                <c:pt idx="697">
                  <c:v>1525.6000000000001</c:v>
                </c:pt>
                <c:pt idx="698">
                  <c:v>1521.95</c:v>
                </c:pt>
                <c:pt idx="699">
                  <c:v>1526.8</c:v>
                </c:pt>
                <c:pt idx="700">
                  <c:v>1511.18</c:v>
                </c:pt>
                <c:pt idx="701">
                  <c:v>1518.97</c:v>
                </c:pt>
                <c:pt idx="702">
                  <c:v>1520.93</c:v>
                </c:pt>
                <c:pt idx="703">
                  <c:v>1498.28</c:v>
                </c:pt>
                <c:pt idx="704">
                  <c:v>1503.26</c:v>
                </c:pt>
                <c:pt idx="705">
                  <c:v>1496.19</c:v>
                </c:pt>
                <c:pt idx="706">
                  <c:v>1499.43</c:v>
                </c:pt>
                <c:pt idx="707">
                  <c:v>1522.21</c:v>
                </c:pt>
                <c:pt idx="708">
                  <c:v>1524.41</c:v>
                </c:pt>
                <c:pt idx="709">
                  <c:v>1523.1200000000001</c:v>
                </c:pt>
                <c:pt idx="710">
                  <c:v>1528.6200000000001</c:v>
                </c:pt>
                <c:pt idx="711">
                  <c:v>1540.71</c:v>
                </c:pt>
                <c:pt idx="712">
                  <c:v>1532.3400000000001</c:v>
                </c:pt>
                <c:pt idx="713">
                  <c:v>1530.54</c:v>
                </c:pt>
                <c:pt idx="714">
                  <c:v>1539.75</c:v>
                </c:pt>
                <c:pt idx="715">
                  <c:v>1533.02</c:v>
                </c:pt>
                <c:pt idx="716">
                  <c:v>1524.26</c:v>
                </c:pt>
                <c:pt idx="717">
                  <c:v>1523.47</c:v>
                </c:pt>
                <c:pt idx="718">
                  <c:v>1541.49</c:v>
                </c:pt>
                <c:pt idx="719">
                  <c:v>1541.3</c:v>
                </c:pt>
                <c:pt idx="720">
                  <c:v>1529.83</c:v>
                </c:pt>
                <c:pt idx="721">
                  <c:v>1520.07</c:v>
                </c:pt>
                <c:pt idx="722">
                  <c:v>1506.32</c:v>
                </c:pt>
                <c:pt idx="723">
                  <c:v>1518.51</c:v>
                </c:pt>
                <c:pt idx="724">
                  <c:v>1505.76</c:v>
                </c:pt>
                <c:pt idx="725">
                  <c:v>1508.21</c:v>
                </c:pt>
                <c:pt idx="726">
                  <c:v>1532.68</c:v>
                </c:pt>
                <c:pt idx="727">
                  <c:v>1535.49</c:v>
                </c:pt>
                <c:pt idx="728">
                  <c:v>1542.39</c:v>
                </c:pt>
                <c:pt idx="729">
                  <c:v>1542.07</c:v>
                </c:pt>
                <c:pt idx="730">
                  <c:v>1559.5</c:v>
                </c:pt>
                <c:pt idx="731">
                  <c:v>1554.41</c:v>
                </c:pt>
                <c:pt idx="732">
                  <c:v>1552.0900000000001</c:v>
                </c:pt>
                <c:pt idx="733">
                  <c:v>1559.47</c:v>
                </c:pt>
                <c:pt idx="734">
                  <c:v>1547.51</c:v>
                </c:pt>
                <c:pt idx="735">
                  <c:v>1558.96</c:v>
                </c:pt>
                <c:pt idx="736">
                  <c:v>1545.68</c:v>
                </c:pt>
                <c:pt idx="737">
                  <c:v>1544.31</c:v>
                </c:pt>
                <c:pt idx="738">
                  <c:v>1562.23</c:v>
                </c:pt>
                <c:pt idx="739">
                  <c:v>1566.5</c:v>
                </c:pt>
                <c:pt idx="740">
                  <c:v>1557.66</c:v>
                </c:pt>
                <c:pt idx="741">
                  <c:v>1568.02</c:v>
                </c:pt>
                <c:pt idx="742">
                  <c:v>1570.15</c:v>
                </c:pt>
                <c:pt idx="743">
                  <c:v>1588.9</c:v>
                </c:pt>
                <c:pt idx="744">
                  <c:v>1588.19</c:v>
                </c:pt>
                <c:pt idx="745">
                  <c:v>1594.43</c:v>
                </c:pt>
                <c:pt idx="746">
                  <c:v>1598.93</c:v>
                </c:pt>
                <c:pt idx="747">
                  <c:v>1596.05</c:v>
                </c:pt>
                <c:pt idx="748">
                  <c:v>1598.74</c:v>
                </c:pt>
                <c:pt idx="749">
                  <c:v>1619.16</c:v>
                </c:pt>
                <c:pt idx="750">
                  <c:v>1619.5900000000001</c:v>
                </c:pt>
                <c:pt idx="751">
                  <c:v>1622.94</c:v>
                </c:pt>
                <c:pt idx="752">
                  <c:v>1618.05</c:v>
                </c:pt>
                <c:pt idx="753">
                  <c:v>1638.1000000000001</c:v>
                </c:pt>
                <c:pt idx="754">
                  <c:v>1640.3</c:v>
                </c:pt>
                <c:pt idx="755">
                  <c:v>1644.6000000000001</c:v>
                </c:pt>
                <c:pt idx="756">
                  <c:v>1652.83</c:v>
                </c:pt>
                <c:pt idx="757">
                  <c:v>1638.13</c:v>
                </c:pt>
                <c:pt idx="758">
                  <c:v>1646.03</c:v>
                </c:pt>
                <c:pt idx="759">
                  <c:v>1637.33</c:v>
                </c:pt>
                <c:pt idx="760">
                  <c:v>1650.96</c:v>
                </c:pt>
                <c:pt idx="761">
                  <c:v>1653.2</c:v>
                </c:pt>
                <c:pt idx="762">
                  <c:v>1664.57</c:v>
                </c:pt>
                <c:pt idx="763">
                  <c:v>1663.02</c:v>
                </c:pt>
                <c:pt idx="764">
                  <c:v>1676.07</c:v>
                </c:pt>
                <c:pt idx="765">
                  <c:v>1670.73</c:v>
                </c:pt>
                <c:pt idx="766">
                  <c:v>1667.26</c:v>
                </c:pt>
                <c:pt idx="767">
                  <c:v>1687.44</c:v>
                </c:pt>
                <c:pt idx="768">
                  <c:v>1670.9</c:v>
                </c:pt>
                <c:pt idx="769">
                  <c:v>1648.43</c:v>
                </c:pt>
                <c:pt idx="770">
                  <c:v>1657.0900000000001</c:v>
                </c:pt>
                <c:pt idx="771">
                  <c:v>1652.72</c:v>
                </c:pt>
                <c:pt idx="772">
                  <c:v>1658.79</c:v>
                </c:pt>
                <c:pt idx="773">
                  <c:v>1659.92</c:v>
                </c:pt>
                <c:pt idx="774">
                  <c:v>1646.29</c:v>
                </c:pt>
                <c:pt idx="775">
                  <c:v>1649.3500000000001</c:v>
                </c:pt>
                <c:pt idx="776">
                  <c:v>1670.14</c:v>
                </c:pt>
                <c:pt idx="777">
                  <c:v>1666.16</c:v>
                </c:pt>
                <c:pt idx="778">
                  <c:v>1674.55</c:v>
                </c:pt>
                <c:pt idx="779">
                  <c:v>1693.03</c:v>
                </c:pt>
                <c:pt idx="780">
                  <c:v>1684.92</c:v>
                </c:pt>
                <c:pt idx="781">
                  <c:v>1675.8600000000001</c:v>
                </c:pt>
                <c:pt idx="782">
                  <c:v>1692.22</c:v>
                </c:pt>
                <c:pt idx="783">
                  <c:v>1684.89</c:v>
                </c:pt>
                <c:pt idx="784">
                  <c:v>1678.01</c:v>
                </c:pt>
                <c:pt idx="785">
                  <c:v>1673.71</c:v>
                </c:pt>
                <c:pt idx="786">
                  <c:v>1669.2</c:v>
                </c:pt>
                <c:pt idx="787">
                  <c:v>1666.42</c:v>
                </c:pt>
                <c:pt idx="788">
                  <c:v>1673.3400000000001</c:v>
                </c:pt>
                <c:pt idx="789">
                  <c:v>1675.63</c:v>
                </c:pt>
                <c:pt idx="790">
                  <c:v>1675.7</c:v>
                </c:pt>
                <c:pt idx="791">
                  <c:v>1691.9</c:v>
                </c:pt>
                <c:pt idx="792">
                  <c:v>1681.88</c:v>
                </c:pt>
                <c:pt idx="793">
                  <c:v>1685.17</c:v>
                </c:pt>
                <c:pt idx="794">
                  <c:v>1690.83</c:v>
                </c:pt>
                <c:pt idx="795">
                  <c:v>1693.76</c:v>
                </c:pt>
                <c:pt idx="796">
                  <c:v>1679.74</c:v>
                </c:pt>
                <c:pt idx="797">
                  <c:v>1670.07</c:v>
                </c:pt>
                <c:pt idx="798">
                  <c:v>1645.79</c:v>
                </c:pt>
                <c:pt idx="799">
                  <c:v>1621.21</c:v>
                </c:pt>
                <c:pt idx="800">
                  <c:v>1641.42</c:v>
                </c:pt>
                <c:pt idx="801">
                  <c:v>1617.91</c:v>
                </c:pt>
                <c:pt idx="802">
                  <c:v>1627.03</c:v>
                </c:pt>
                <c:pt idx="803">
                  <c:v>1646.29</c:v>
                </c:pt>
                <c:pt idx="804">
                  <c:v>1644.21</c:v>
                </c:pt>
                <c:pt idx="805">
                  <c:v>1625.8400000000001</c:v>
                </c:pt>
                <c:pt idx="806">
                  <c:v>1604.8</c:v>
                </c:pt>
                <c:pt idx="807">
                  <c:v>1602.67</c:v>
                </c:pt>
                <c:pt idx="808">
                  <c:v>1598.8500000000001</c:v>
                </c:pt>
                <c:pt idx="809">
                  <c:v>1625.01</c:v>
                </c:pt>
                <c:pt idx="810">
                  <c:v>1623.3600000000001</c:v>
                </c:pt>
                <c:pt idx="811">
                  <c:v>1644.75</c:v>
                </c:pt>
                <c:pt idx="812">
                  <c:v>1651.43</c:v>
                </c:pt>
                <c:pt idx="813">
                  <c:v>1650.42</c:v>
                </c:pt>
                <c:pt idx="814">
                  <c:v>1659.16</c:v>
                </c:pt>
                <c:pt idx="815">
                  <c:v>1673.4</c:v>
                </c:pt>
                <c:pt idx="816">
                  <c:v>1686.24</c:v>
                </c:pt>
                <c:pt idx="817">
                  <c:v>1683.23</c:v>
                </c:pt>
                <c:pt idx="818">
                  <c:v>1672.14</c:v>
                </c:pt>
                <c:pt idx="819">
                  <c:v>1670.3600000000001</c:v>
                </c:pt>
                <c:pt idx="820">
                  <c:v>1679.02</c:v>
                </c:pt>
                <c:pt idx="821">
                  <c:v>1655.99</c:v>
                </c:pt>
                <c:pt idx="822">
                  <c:v>1654.17</c:v>
                </c:pt>
                <c:pt idx="823">
                  <c:v>1655.15</c:v>
                </c:pt>
                <c:pt idx="824">
                  <c:v>1663.6200000000001</c:v>
                </c:pt>
                <c:pt idx="825">
                  <c:v>1665.39</c:v>
                </c:pt>
                <c:pt idx="826">
                  <c:v>1639.49</c:v>
                </c:pt>
                <c:pt idx="827">
                  <c:v>1648.31</c:v>
                </c:pt>
                <c:pt idx="828">
                  <c:v>1671.63</c:v>
                </c:pt>
                <c:pt idx="829">
                  <c:v>1672.6200000000001</c:v>
                </c:pt>
                <c:pt idx="830">
                  <c:v>1665.19</c:v>
                </c:pt>
                <c:pt idx="831">
                  <c:v>1668.98</c:v>
                </c:pt>
                <c:pt idx="832">
                  <c:v>1646.19</c:v>
                </c:pt>
                <c:pt idx="833">
                  <c:v>1634.16</c:v>
                </c:pt>
                <c:pt idx="834">
                  <c:v>1624.51</c:v>
                </c:pt>
                <c:pt idx="835">
                  <c:v>1639.46</c:v>
                </c:pt>
                <c:pt idx="836">
                  <c:v>1642.5</c:v>
                </c:pt>
                <c:pt idx="837">
                  <c:v>1645.65</c:v>
                </c:pt>
                <c:pt idx="838">
                  <c:v>1634.75</c:v>
                </c:pt>
                <c:pt idx="839">
                  <c:v>1612.31</c:v>
                </c:pt>
                <c:pt idx="840">
                  <c:v>1595.38</c:v>
                </c:pt>
                <c:pt idx="841">
                  <c:v>1607.94</c:v>
                </c:pt>
                <c:pt idx="842">
                  <c:v>1611.15</c:v>
                </c:pt>
                <c:pt idx="843">
                  <c:v>1610.05</c:v>
                </c:pt>
                <c:pt idx="844">
                  <c:v>1609.1200000000001</c:v>
                </c:pt>
                <c:pt idx="845">
                  <c:v>1592.23</c:v>
                </c:pt>
                <c:pt idx="846">
                  <c:v>1603.14</c:v>
                </c:pt>
                <c:pt idx="847">
                  <c:v>1599.29</c:v>
                </c:pt>
                <c:pt idx="848">
                  <c:v>1600.06</c:v>
                </c:pt>
                <c:pt idx="849">
                  <c:v>1606.49</c:v>
                </c:pt>
                <c:pt idx="850">
                  <c:v>1609.22</c:v>
                </c:pt>
                <c:pt idx="851">
                  <c:v>1635.14</c:v>
                </c:pt>
                <c:pt idx="852">
                  <c:v>1638.16</c:v>
                </c:pt>
                <c:pt idx="853">
                  <c:v>1647.65</c:v>
                </c:pt>
                <c:pt idx="854">
                  <c:v>1646.8</c:v>
                </c:pt>
                <c:pt idx="855">
                  <c:v>1647.57</c:v>
                </c:pt>
                <c:pt idx="856">
                  <c:v>1653.66</c:v>
                </c:pt>
                <c:pt idx="857">
                  <c:v>1641.43</c:v>
                </c:pt>
                <c:pt idx="858">
                  <c:v>1650.07</c:v>
                </c:pt>
                <c:pt idx="859">
                  <c:v>1676.48</c:v>
                </c:pt>
                <c:pt idx="860">
                  <c:v>1679.21</c:v>
                </c:pt>
                <c:pt idx="861">
                  <c:v>1663.38</c:v>
                </c:pt>
                <c:pt idx="862">
                  <c:v>1671.01</c:v>
                </c:pt>
                <c:pt idx="863">
                  <c:v>1655</c:v>
                </c:pt>
                <c:pt idx="864">
                  <c:v>1664.92</c:v>
                </c:pt>
                <c:pt idx="865">
                  <c:v>1667.23</c:v>
                </c:pt>
                <c:pt idx="866">
                  <c:v>1665.02</c:v>
                </c:pt>
                <c:pt idx="867">
                  <c:v>1669.39</c:v>
                </c:pt>
                <c:pt idx="868">
                  <c:v>1662.46</c:v>
                </c:pt>
                <c:pt idx="869">
                  <c:v>1668.54</c:v>
                </c:pt>
                <c:pt idx="870">
                  <c:v>1682.75</c:v>
                </c:pt>
                <c:pt idx="871">
                  <c:v>1678.07</c:v>
                </c:pt>
                <c:pt idx="872">
                  <c:v>1668.93</c:v>
                </c:pt>
                <c:pt idx="873">
                  <c:v>1667.6100000000001</c:v>
                </c:pt>
                <c:pt idx="874">
                  <c:v>1671.8400000000001</c:v>
                </c:pt>
                <c:pt idx="875">
                  <c:v>1678.83</c:v>
                </c:pt>
                <c:pt idx="876">
                  <c:v>1661.45</c:v>
                </c:pt>
                <c:pt idx="877">
                  <c:v>1656.25</c:v>
                </c:pt>
                <c:pt idx="878">
                  <c:v>1642.76</c:v>
                </c:pt>
                <c:pt idx="879">
                  <c:v>1646.28</c:v>
                </c:pt>
                <c:pt idx="880">
                  <c:v>1632.81</c:v>
                </c:pt>
                <c:pt idx="881">
                  <c:v>1638.3400000000001</c:v>
                </c:pt>
                <c:pt idx="882">
                  <c:v>1640.65</c:v>
                </c:pt>
                <c:pt idx="883">
                  <c:v>1641.89</c:v>
                </c:pt>
                <c:pt idx="884">
                  <c:v>1636.6200000000001</c:v>
                </c:pt>
                <c:pt idx="885">
                  <c:v>1629.58</c:v>
                </c:pt>
                <c:pt idx="886">
                  <c:v>1621.8</c:v>
                </c:pt>
                <c:pt idx="887">
                  <c:v>1621.08</c:v>
                </c:pt>
                <c:pt idx="888">
                  <c:v>1632.52</c:v>
                </c:pt>
                <c:pt idx="889">
                  <c:v>1610.88</c:v>
                </c:pt>
                <c:pt idx="890">
                  <c:v>1615.27</c:v>
                </c:pt>
                <c:pt idx="891">
                  <c:v>1599.6200000000001</c:v>
                </c:pt>
                <c:pt idx="892">
                  <c:v>1596.48</c:v>
                </c:pt>
                <c:pt idx="893">
                  <c:v>1612.33</c:v>
                </c:pt>
                <c:pt idx="894">
                  <c:v>1613.5</c:v>
                </c:pt>
                <c:pt idx="895">
                  <c:v>1621.3500000000001</c:v>
                </c:pt>
                <c:pt idx="896">
                  <c:v>1623.26</c:v>
                </c:pt>
                <c:pt idx="897">
                  <c:v>1630.48</c:v>
                </c:pt>
                <c:pt idx="898">
                  <c:v>1620.28</c:v>
                </c:pt>
                <c:pt idx="899">
                  <c:v>1619</c:v>
                </c:pt>
                <c:pt idx="900">
                  <c:v>1592.64</c:v>
                </c:pt>
                <c:pt idx="901">
                  <c:v>1568.07</c:v>
                </c:pt>
                <c:pt idx="902">
                  <c:v>1569.96</c:v>
                </c:pt>
                <c:pt idx="903">
                  <c:v>1590.3500000000001</c:v>
                </c:pt>
                <c:pt idx="904">
                  <c:v>1586.43</c:v>
                </c:pt>
                <c:pt idx="905">
                  <c:v>1567.95</c:v>
                </c:pt>
                <c:pt idx="906">
                  <c:v>1570.44</c:v>
                </c:pt>
                <c:pt idx="907">
                  <c:v>1591.94</c:v>
                </c:pt>
                <c:pt idx="908">
                  <c:v>1595.57</c:v>
                </c:pt>
                <c:pt idx="909">
                  <c:v>1615.72</c:v>
                </c:pt>
                <c:pt idx="910">
                  <c:v>1609.97</c:v>
                </c:pt>
                <c:pt idx="911">
                  <c:v>1620.47</c:v>
                </c:pt>
                <c:pt idx="912">
                  <c:v>1616.68</c:v>
                </c:pt>
                <c:pt idx="913">
                  <c:v>1617.46</c:v>
                </c:pt>
                <c:pt idx="914">
                  <c:v>1630.48</c:v>
                </c:pt>
                <c:pt idx="915">
                  <c:v>1630.68</c:v>
                </c:pt>
                <c:pt idx="916">
                  <c:v>1634.83</c:v>
                </c:pt>
                <c:pt idx="917">
                  <c:v>1622.28</c:v>
                </c:pt>
                <c:pt idx="918">
                  <c:v>1629.83</c:v>
                </c:pt>
                <c:pt idx="919">
                  <c:v>1632.82</c:v>
                </c:pt>
                <c:pt idx="920">
                  <c:v>1651.14</c:v>
                </c:pt>
                <c:pt idx="921">
                  <c:v>1644.25</c:v>
                </c:pt>
                <c:pt idx="922">
                  <c:v>1655.65</c:v>
                </c:pt>
                <c:pt idx="923">
                  <c:v>1648.52</c:v>
                </c:pt>
                <c:pt idx="924">
                  <c:v>1651.65</c:v>
                </c:pt>
                <c:pt idx="925">
                  <c:v>1659.8400000000001</c:v>
                </c:pt>
                <c:pt idx="926">
                  <c:v>1663.1000000000001</c:v>
                </c:pt>
                <c:pt idx="927">
                  <c:v>1666.82</c:v>
                </c:pt>
                <c:pt idx="928">
                  <c:v>1655.1000000000001</c:v>
                </c:pt>
                <c:pt idx="929">
                  <c:v>1659.78</c:v>
                </c:pt>
                <c:pt idx="930">
                  <c:v>1667.25</c:v>
                </c:pt>
                <c:pt idx="931">
                  <c:v>1657.88</c:v>
                </c:pt>
                <c:pt idx="932">
                  <c:v>1668.39</c:v>
                </c:pt>
                <c:pt idx="933">
                  <c:v>1645.17</c:v>
                </c:pt>
                <c:pt idx="934">
                  <c:v>1637.82</c:v>
                </c:pt>
                <c:pt idx="935">
                  <c:v>1640.4</c:v>
                </c:pt>
                <c:pt idx="936">
                  <c:v>1630.67</c:v>
                </c:pt>
                <c:pt idx="937">
                  <c:v>1640.6200000000001</c:v>
                </c:pt>
                <c:pt idx="938">
                  <c:v>1647.79</c:v>
                </c:pt>
                <c:pt idx="939">
                  <c:v>1647.48</c:v>
                </c:pt>
                <c:pt idx="940">
                  <c:v>1672.49</c:v>
                </c:pt>
                <c:pt idx="941">
                  <c:v>1678.1000000000001</c:v>
                </c:pt>
                <c:pt idx="942">
                  <c:v>1677.0900000000001</c:v>
                </c:pt>
                <c:pt idx="943">
                  <c:v>1688.83</c:v>
                </c:pt>
                <c:pt idx="944">
                  <c:v>1672.08</c:v>
                </c:pt>
                <c:pt idx="945">
                  <c:v>1659.51</c:v>
                </c:pt>
                <c:pt idx="946">
                  <c:v>1662.8400000000001</c:v>
                </c:pt>
                <c:pt idx="947">
                  <c:v>1659.07</c:v>
                </c:pt>
                <c:pt idx="948">
                  <c:v>1647.13</c:v>
                </c:pt>
                <c:pt idx="949">
                  <c:v>1631.81</c:v>
                </c:pt>
                <c:pt idx="950">
                  <c:v>1639.08</c:v>
                </c:pt>
                <c:pt idx="951">
                  <c:v>1647.69</c:v>
                </c:pt>
                <c:pt idx="952">
                  <c:v>1631.74</c:v>
                </c:pt>
                <c:pt idx="953">
                  <c:v>1632.49</c:v>
                </c:pt>
                <c:pt idx="954">
                  <c:v>1636.76</c:v>
                </c:pt>
                <c:pt idx="955">
                  <c:v>1620.8500000000001</c:v>
                </c:pt>
                <c:pt idx="956">
                  <c:v>1619.48</c:v>
                </c:pt>
                <c:pt idx="957">
                  <c:v>1643.57</c:v>
                </c:pt>
                <c:pt idx="958">
                  <c:v>1665.01</c:v>
                </c:pt>
                <c:pt idx="959">
                  <c:v>1668.55</c:v>
                </c:pt>
                <c:pt idx="960">
                  <c:v>1672.65</c:v>
                </c:pt>
                <c:pt idx="961">
                  <c:v>1673.1000000000001</c:v>
                </c:pt>
                <c:pt idx="962">
                  <c:v>1673.16</c:v>
                </c:pt>
                <c:pt idx="963">
                  <c:v>1692.22</c:v>
                </c:pt>
                <c:pt idx="964">
                  <c:v>1719.64</c:v>
                </c:pt>
                <c:pt idx="965">
                  <c:v>1726.3400000000001</c:v>
                </c:pt>
                <c:pt idx="966">
                  <c:v>1724.5900000000001</c:v>
                </c:pt>
                <c:pt idx="967">
                  <c:v>1724.08</c:v>
                </c:pt>
                <c:pt idx="968">
                  <c:v>1722.67</c:v>
                </c:pt>
                <c:pt idx="969">
                  <c:v>1738.32</c:v>
                </c:pt>
                <c:pt idx="970">
                  <c:v>1754.33</c:v>
                </c:pt>
                <c:pt idx="971">
                  <c:v>1753.99</c:v>
                </c:pt>
                <c:pt idx="972">
                  <c:v>1741.72</c:v>
                </c:pt>
                <c:pt idx="973">
                  <c:v>1751.57</c:v>
                </c:pt>
                <c:pt idx="974">
                  <c:v>1753.97</c:v>
                </c:pt>
                <c:pt idx="975">
                  <c:v>1734.45</c:v>
                </c:pt>
                <c:pt idx="976">
                  <c:v>1744.71</c:v>
                </c:pt>
                <c:pt idx="977">
                  <c:v>1744.31</c:v>
                </c:pt>
                <c:pt idx="978">
                  <c:v>1751.55</c:v>
                </c:pt>
                <c:pt idx="979">
                  <c:v>1753.0900000000001</c:v>
                </c:pt>
                <c:pt idx="980">
                  <c:v>1747.3400000000001</c:v>
                </c:pt>
                <c:pt idx="981">
                  <c:v>1740.33</c:v>
                </c:pt>
                <c:pt idx="982">
                  <c:v>1766.9</c:v>
                </c:pt>
                <c:pt idx="983">
                  <c:v>1765.3700000000001</c:v>
                </c:pt>
                <c:pt idx="984">
                  <c:v>1766.63</c:v>
                </c:pt>
                <c:pt idx="985">
                  <c:v>1765.33</c:v>
                </c:pt>
                <c:pt idx="986">
                  <c:v>1745.83</c:v>
                </c:pt>
                <c:pt idx="987">
                  <c:v>1754.75</c:v>
                </c:pt>
                <c:pt idx="988">
                  <c:v>1764.3500000000001</c:v>
                </c:pt>
                <c:pt idx="989">
                  <c:v>1762.51</c:v>
                </c:pt>
                <c:pt idx="990">
                  <c:v>1778.54</c:v>
                </c:pt>
                <c:pt idx="991">
                  <c:v>1785.51</c:v>
                </c:pt>
                <c:pt idx="992">
                  <c:v>1789.14</c:v>
                </c:pt>
                <c:pt idx="993">
                  <c:v>1785.51</c:v>
                </c:pt>
                <c:pt idx="994">
                  <c:v>1772.19</c:v>
                </c:pt>
                <c:pt idx="995">
                  <c:v>1772.8700000000001</c:v>
                </c:pt>
                <c:pt idx="996">
                  <c:v>1788.93</c:v>
                </c:pt>
                <c:pt idx="997">
                  <c:v>1795.66</c:v>
                </c:pt>
                <c:pt idx="998">
                  <c:v>1796.49</c:v>
                </c:pt>
                <c:pt idx="999">
                  <c:v>1788.76</c:v>
                </c:pt>
                <c:pt idx="1000">
                  <c:v>1801.58</c:v>
                </c:pt>
                <c:pt idx="1001">
                  <c:v>1801.71</c:v>
                </c:pt>
                <c:pt idx="1002">
                  <c:v>1801.98</c:v>
                </c:pt>
                <c:pt idx="1003">
                  <c:v>1799.55</c:v>
                </c:pt>
                <c:pt idx="1004">
                  <c:v>1784.96</c:v>
                </c:pt>
                <c:pt idx="1005">
                  <c:v>1764.3</c:v>
                </c:pt>
                <c:pt idx="1006">
                  <c:v>1758.07</c:v>
                </c:pt>
                <c:pt idx="1007">
                  <c:v>1764.63</c:v>
                </c:pt>
                <c:pt idx="1008">
                  <c:v>1762.1200000000001</c:v>
                </c:pt>
                <c:pt idx="1009">
                  <c:v>1768.17</c:v>
                </c:pt>
                <c:pt idx="1010">
                  <c:v>1757.51</c:v>
                </c:pt>
                <c:pt idx="1011">
                  <c:v>1764.72</c:v>
                </c:pt>
                <c:pt idx="1012">
                  <c:v>1749.48</c:v>
                </c:pt>
                <c:pt idx="1013">
                  <c:v>1759.98</c:v>
                </c:pt>
                <c:pt idx="1014">
                  <c:v>1777.03</c:v>
                </c:pt>
                <c:pt idx="1015">
                  <c:v>1760.28</c:v>
                </c:pt>
                <c:pt idx="1016">
                  <c:v>1746.6100000000001</c:v>
                </c:pt>
                <c:pt idx="1017">
                  <c:v>1735.42</c:v>
                </c:pt>
                <c:pt idx="1018">
                  <c:v>1729.33</c:v>
                </c:pt>
                <c:pt idx="1019">
                  <c:v>1736.25</c:v>
                </c:pt>
                <c:pt idx="1020">
                  <c:v>1744.72</c:v>
                </c:pt>
                <c:pt idx="1021">
                  <c:v>1745.58</c:v>
                </c:pt>
                <c:pt idx="1022">
                  <c:v>1740.96</c:v>
                </c:pt>
                <c:pt idx="1023">
                  <c:v>1755.68</c:v>
                </c:pt>
                <c:pt idx="1024">
                  <c:v>1767.79</c:v>
                </c:pt>
                <c:pt idx="1025">
                  <c:v>1773.63</c:v>
                </c:pt>
                <c:pt idx="1026">
                  <c:v>1769.26</c:v>
                </c:pt>
                <c:pt idx="1027">
                  <c:v>1788.82</c:v>
                </c:pt>
                <c:pt idx="1028">
                  <c:v>1786.92</c:v>
                </c:pt>
                <c:pt idx="1029">
                  <c:v>1788.16</c:v>
                </c:pt>
                <c:pt idx="1030">
                  <c:v>1773.28</c:v>
                </c:pt>
                <c:pt idx="1031">
                  <c:v>1780.8</c:v>
                </c:pt>
                <c:pt idx="1032">
                  <c:v>1793.54</c:v>
                </c:pt>
                <c:pt idx="1033">
                  <c:v>1794.98</c:v>
                </c:pt>
                <c:pt idx="1034">
                  <c:v>1801.06</c:v>
                </c:pt>
                <c:pt idx="1035">
                  <c:v>1801.5900000000001</c:v>
                </c:pt>
                <c:pt idx="1036">
                  <c:v>1787.41</c:v>
                </c:pt>
                <c:pt idx="1037">
                  <c:v>1788.65</c:v>
                </c:pt>
                <c:pt idx="1038">
                  <c:v>1762.76</c:v>
                </c:pt>
                <c:pt idx="1039">
                  <c:v>1772.76</c:v>
                </c:pt>
                <c:pt idx="1040">
                  <c:v>1787.3400000000001</c:v>
                </c:pt>
                <c:pt idx="1041">
                  <c:v>1804.17</c:v>
                </c:pt>
                <c:pt idx="1042">
                  <c:v>1792.63</c:v>
                </c:pt>
                <c:pt idx="1043">
                  <c:v>1802.79</c:v>
                </c:pt>
                <c:pt idx="1044">
                  <c:v>1802.92</c:v>
                </c:pt>
                <c:pt idx="1045">
                  <c:v>1803.51</c:v>
                </c:pt>
                <c:pt idx="1046">
                  <c:v>1820.88</c:v>
                </c:pt>
                <c:pt idx="1047">
                  <c:v>1825.7</c:v>
                </c:pt>
                <c:pt idx="1048">
                  <c:v>1817.1200000000001</c:v>
                </c:pt>
                <c:pt idx="1049">
                  <c:v>1798.79</c:v>
                </c:pt>
                <c:pt idx="1050">
                  <c:v>1802.2</c:v>
                </c:pt>
                <c:pt idx="1051">
                  <c:v>1789.01</c:v>
                </c:pt>
                <c:pt idx="1052">
                  <c:v>1799.14</c:v>
                </c:pt>
                <c:pt idx="1053">
                  <c:v>1785.6100000000001</c:v>
                </c:pt>
                <c:pt idx="1054">
                  <c:v>1771.3500000000001</c:v>
                </c:pt>
                <c:pt idx="1055">
                  <c:v>1774.55</c:v>
                </c:pt>
                <c:pt idx="1056">
                  <c:v>1773.72</c:v>
                </c:pt>
                <c:pt idx="1057">
                  <c:v>1764.98</c:v>
                </c:pt>
                <c:pt idx="1058">
                  <c:v>1747.03</c:v>
                </c:pt>
                <c:pt idx="1059">
                  <c:v>1748.28</c:v>
                </c:pt>
                <c:pt idx="1060">
                  <c:v>1746.6200000000001</c:v>
                </c:pt>
                <c:pt idx="1061">
                  <c:v>1750.88</c:v>
                </c:pt>
                <c:pt idx="1062">
                  <c:v>1737.94</c:v>
                </c:pt>
                <c:pt idx="1063">
                  <c:v>1762.0900000000001</c:v>
                </c:pt>
                <c:pt idx="1064">
                  <c:v>1760.89</c:v>
                </c:pt>
                <c:pt idx="1065">
                  <c:v>1749.45</c:v>
                </c:pt>
                <c:pt idx="1066">
                  <c:v>1754.43</c:v>
                </c:pt>
                <c:pt idx="1067">
                  <c:v>1762.32</c:v>
                </c:pt>
                <c:pt idx="1068">
                  <c:v>1766.69</c:v>
                </c:pt>
                <c:pt idx="1069">
                  <c:v>1777.3500000000001</c:v>
                </c:pt>
                <c:pt idx="1070">
                  <c:v>1762.52</c:v>
                </c:pt>
                <c:pt idx="1071">
                  <c:v>1762.56</c:v>
                </c:pt>
                <c:pt idx="1072">
                  <c:v>1772.43</c:v>
                </c:pt>
                <c:pt idx="1073">
                  <c:v>1751.77</c:v>
                </c:pt>
                <c:pt idx="1074">
                  <c:v>1734.25</c:v>
                </c:pt>
                <c:pt idx="1075">
                  <c:v>1705.26</c:v>
                </c:pt>
                <c:pt idx="1076">
                  <c:v>1710.27</c:v>
                </c:pt>
                <c:pt idx="1077">
                  <c:v>1720.43</c:v>
                </c:pt>
                <c:pt idx="1078">
                  <c:v>1697.74</c:v>
                </c:pt>
                <c:pt idx="1079">
                  <c:v>1731.27</c:v>
                </c:pt>
                <c:pt idx="1080">
                  <c:v>1719.66</c:v>
                </c:pt>
                <c:pt idx="1081">
                  <c:v>1734.56</c:v>
                </c:pt>
                <c:pt idx="1082">
                  <c:v>1719.0900000000001</c:v>
                </c:pt>
                <c:pt idx="1083">
                  <c:v>1726.21</c:v>
                </c:pt>
                <c:pt idx="1084">
                  <c:v>1707.13</c:v>
                </c:pt>
                <c:pt idx="1085">
                  <c:v>1727.49</c:v>
                </c:pt>
                <c:pt idx="1086">
                  <c:v>1735.43</c:v>
                </c:pt>
                <c:pt idx="1087">
                  <c:v>1733.95</c:v>
                </c:pt>
                <c:pt idx="1088">
                  <c:v>1755.92</c:v>
                </c:pt>
                <c:pt idx="1089">
                  <c:v>1751.47</c:v>
                </c:pt>
                <c:pt idx="1090">
                  <c:v>1749.65</c:v>
                </c:pt>
                <c:pt idx="1091">
                  <c:v>1760.8700000000001</c:v>
                </c:pt>
                <c:pt idx="1092">
                  <c:v>1742.06</c:v>
                </c:pt>
                <c:pt idx="1093">
                  <c:v>1750.26</c:v>
                </c:pt>
                <c:pt idx="1094">
                  <c:v>1732.89</c:v>
                </c:pt>
                <c:pt idx="1095">
                  <c:v>1725.15</c:v>
                </c:pt>
                <c:pt idx="1096">
                  <c:v>1742.74</c:v>
                </c:pt>
                <c:pt idx="1097">
                  <c:v>1755.1000000000001</c:v>
                </c:pt>
                <c:pt idx="1098">
                  <c:v>1773.01</c:v>
                </c:pt>
                <c:pt idx="1099">
                  <c:v>1781.28</c:v>
                </c:pt>
                <c:pt idx="1100">
                  <c:v>1778.5900000000001</c:v>
                </c:pt>
                <c:pt idx="1101">
                  <c:v>1785.46</c:v>
                </c:pt>
                <c:pt idx="1102">
                  <c:v>1785.79</c:v>
                </c:pt>
                <c:pt idx="1103">
                  <c:v>1779.81</c:v>
                </c:pt>
                <c:pt idx="1104">
                  <c:v>1791.41</c:v>
                </c:pt>
                <c:pt idx="1105">
                  <c:v>1793.3400000000001</c:v>
                </c:pt>
                <c:pt idx="1106">
                  <c:v>1782.46</c:v>
                </c:pt>
                <c:pt idx="1107">
                  <c:v>1799.15</c:v>
                </c:pt>
                <c:pt idx="1108">
                  <c:v>1802.19</c:v>
                </c:pt>
                <c:pt idx="1109">
                  <c:v>1789.83</c:v>
                </c:pt>
                <c:pt idx="1110">
                  <c:v>1792.14</c:v>
                </c:pt>
                <c:pt idx="1111">
                  <c:v>1791.89</c:v>
                </c:pt>
                <c:pt idx="1112">
                  <c:v>1788.3</c:v>
                </c:pt>
                <c:pt idx="1113">
                  <c:v>1797.72</c:v>
                </c:pt>
                <c:pt idx="1114">
                  <c:v>1793.51</c:v>
                </c:pt>
                <c:pt idx="1115">
                  <c:v>1798.07</c:v>
                </c:pt>
                <c:pt idx="1116">
                  <c:v>1802.73</c:v>
                </c:pt>
                <c:pt idx="1117">
                  <c:v>1806.78</c:v>
                </c:pt>
                <c:pt idx="1118">
                  <c:v>1813.3500000000001</c:v>
                </c:pt>
                <c:pt idx="1119">
                  <c:v>1822.3500000000001</c:v>
                </c:pt>
                <c:pt idx="1120">
                  <c:v>1821.06</c:v>
                </c:pt>
                <c:pt idx="1121">
                  <c:v>1817.3600000000001</c:v>
                </c:pt>
                <c:pt idx="1122">
                  <c:v>1817.8</c:v>
                </c:pt>
                <c:pt idx="1123">
                  <c:v>1798.49</c:v>
                </c:pt>
                <c:pt idx="1124">
                  <c:v>1784.77</c:v>
                </c:pt>
                <c:pt idx="1125">
                  <c:v>1783.45</c:v>
                </c:pt>
                <c:pt idx="1126">
                  <c:v>1800.07</c:v>
                </c:pt>
                <c:pt idx="1127">
                  <c:v>1797.73</c:v>
                </c:pt>
                <c:pt idx="1128">
                  <c:v>1784.99</c:v>
                </c:pt>
                <c:pt idx="1129">
                  <c:v>1789.8500000000001</c:v>
                </c:pt>
                <c:pt idx="1130">
                  <c:v>1805.68</c:v>
                </c:pt>
                <c:pt idx="1131">
                  <c:v>1791.05</c:v>
                </c:pt>
                <c:pt idx="1132">
                  <c:v>1795.55</c:v>
                </c:pt>
                <c:pt idx="1133">
                  <c:v>1816.52</c:v>
                </c:pt>
                <c:pt idx="1134">
                  <c:v>1827.91</c:v>
                </c:pt>
                <c:pt idx="1135">
                  <c:v>1832.15</c:v>
                </c:pt>
                <c:pt idx="1136">
                  <c:v>1833.98</c:v>
                </c:pt>
                <c:pt idx="1137">
                  <c:v>1838.8</c:v>
                </c:pt>
                <c:pt idx="1138">
                  <c:v>1840.93</c:v>
                </c:pt>
                <c:pt idx="1139">
                  <c:v>1830.75</c:v>
                </c:pt>
                <c:pt idx="1140">
                  <c:v>1843.07</c:v>
                </c:pt>
                <c:pt idx="1141">
                  <c:v>1852.02</c:v>
                </c:pt>
                <c:pt idx="1142">
                  <c:v>1839.8</c:v>
                </c:pt>
                <c:pt idx="1143">
                  <c:v>1849.81</c:v>
                </c:pt>
                <c:pt idx="1144">
                  <c:v>1842.8400000000001</c:v>
                </c:pt>
                <c:pt idx="1145">
                  <c:v>1846.04</c:v>
                </c:pt>
                <c:pt idx="1146">
                  <c:v>1854.72</c:v>
                </c:pt>
                <c:pt idx="1147">
                  <c:v>1865.64</c:v>
                </c:pt>
                <c:pt idx="1148">
                  <c:v>1851.3700000000001</c:v>
                </c:pt>
                <c:pt idx="1149">
                  <c:v>1853.13</c:v>
                </c:pt>
                <c:pt idx="1150">
                  <c:v>1866.28</c:v>
                </c:pt>
                <c:pt idx="1151">
                  <c:v>1868.06</c:v>
                </c:pt>
                <c:pt idx="1152">
                  <c:v>1854.3</c:v>
                </c:pt>
                <c:pt idx="1153">
                  <c:v>1840.19</c:v>
                </c:pt>
                <c:pt idx="1154">
                  <c:v>1835.3700000000001</c:v>
                </c:pt>
                <c:pt idx="1155">
                  <c:v>1847.76</c:v>
                </c:pt>
                <c:pt idx="1156">
                  <c:v>1845.16</c:v>
                </c:pt>
                <c:pt idx="1157">
                  <c:v>1858.43</c:v>
                </c:pt>
                <c:pt idx="1158">
                  <c:v>1847.31</c:v>
                </c:pt>
                <c:pt idx="1159">
                  <c:v>1852.78</c:v>
                </c:pt>
                <c:pt idx="1160">
                  <c:v>1830.98</c:v>
                </c:pt>
                <c:pt idx="1161">
                  <c:v>1832.82</c:v>
                </c:pt>
                <c:pt idx="1162">
                  <c:v>1831.0900000000001</c:v>
                </c:pt>
                <c:pt idx="1163">
                  <c:v>1832.29</c:v>
                </c:pt>
                <c:pt idx="1164">
                  <c:v>1835.32</c:v>
                </c:pt>
                <c:pt idx="1165">
                  <c:v>1829.1100000000001</c:v>
                </c:pt>
                <c:pt idx="1166">
                  <c:v>1817.22</c:v>
                </c:pt>
                <c:pt idx="1167">
                  <c:v>1821.45</c:v>
                </c:pt>
                <c:pt idx="1168">
                  <c:v>1810.52</c:v>
                </c:pt>
                <c:pt idx="1169">
                  <c:v>1821.56</c:v>
                </c:pt>
                <c:pt idx="1170">
                  <c:v>1815.97</c:v>
                </c:pt>
                <c:pt idx="1171">
                  <c:v>1834.48</c:v>
                </c:pt>
                <c:pt idx="1172">
                  <c:v>1836.3700000000001</c:v>
                </c:pt>
                <c:pt idx="1173">
                  <c:v>1831.06</c:v>
                </c:pt>
                <c:pt idx="1174">
                  <c:v>1854.23</c:v>
                </c:pt>
                <c:pt idx="1175">
                  <c:v>1859</c:v>
                </c:pt>
                <c:pt idx="1176">
                  <c:v>1852</c:v>
                </c:pt>
                <c:pt idx="1177">
                  <c:v>1866.74</c:v>
                </c:pt>
                <c:pt idx="1178">
                  <c:v>1865.45</c:v>
                </c:pt>
                <c:pt idx="1179">
                  <c:v>1851.8700000000001</c:v>
                </c:pt>
                <c:pt idx="1180">
                  <c:v>1845.8400000000001</c:v>
                </c:pt>
                <c:pt idx="1181">
                  <c:v>1846.76</c:v>
                </c:pt>
                <c:pt idx="1182">
                  <c:v>1862.1100000000001</c:v>
                </c:pt>
                <c:pt idx="1183">
                  <c:v>1851.74</c:v>
                </c:pt>
                <c:pt idx="1184">
                  <c:v>1837.2</c:v>
                </c:pt>
                <c:pt idx="1185">
                  <c:v>1820.49</c:v>
                </c:pt>
                <c:pt idx="1186">
                  <c:v>1827.54</c:v>
                </c:pt>
                <c:pt idx="1187">
                  <c:v>1828.54</c:v>
                </c:pt>
                <c:pt idx="1188">
                  <c:v>1829.05</c:v>
                </c:pt>
                <c:pt idx="1189">
                  <c:v>1829.13</c:v>
                </c:pt>
                <c:pt idx="1190">
                  <c:v>1831.32</c:v>
                </c:pt>
                <c:pt idx="1191">
                  <c:v>1847.6200000000001</c:v>
                </c:pt>
                <c:pt idx="1192">
                  <c:v>1849.33</c:v>
                </c:pt>
                <c:pt idx="1193">
                  <c:v>1846.17</c:v>
                </c:pt>
                <c:pt idx="1194">
                  <c:v>1827.96</c:v>
                </c:pt>
                <c:pt idx="1195">
                  <c:v>1801.4</c:v>
                </c:pt>
                <c:pt idx="1196">
                  <c:v>1794.04</c:v>
                </c:pt>
                <c:pt idx="1197">
                  <c:v>1800.71</c:v>
                </c:pt>
                <c:pt idx="1198">
                  <c:v>1787.8</c:v>
                </c:pt>
                <c:pt idx="1199">
                  <c:v>1784.22</c:v>
                </c:pt>
                <c:pt idx="1200">
                  <c:v>1773.6000000000001</c:v>
                </c:pt>
                <c:pt idx="1201">
                  <c:v>1772.3600000000001</c:v>
                </c:pt>
                <c:pt idx="1202">
                  <c:v>1787.01</c:v>
                </c:pt>
                <c:pt idx="1203">
                  <c:v>1792.33</c:v>
                </c:pt>
                <c:pt idx="1204">
                  <c:v>1774.32</c:v>
                </c:pt>
                <c:pt idx="1205">
                  <c:v>1801.01</c:v>
                </c:pt>
                <c:pt idx="1206">
                  <c:v>1774.02</c:v>
                </c:pt>
                <c:pt idx="1207">
                  <c:v>1776.73</c:v>
                </c:pt>
                <c:pt idx="1208">
                  <c:v>1806.5900000000001</c:v>
                </c:pt>
                <c:pt idx="1209">
                  <c:v>1802.3</c:v>
                </c:pt>
                <c:pt idx="1210">
                  <c:v>1794.56</c:v>
                </c:pt>
                <c:pt idx="1211">
                  <c:v>1776</c:v>
                </c:pt>
                <c:pt idx="1212">
                  <c:v>1805.56</c:v>
                </c:pt>
                <c:pt idx="1213">
                  <c:v>1818.5</c:v>
                </c:pt>
                <c:pt idx="1214">
                  <c:v>1812.1100000000001</c:v>
                </c:pt>
                <c:pt idx="1215">
                  <c:v>1830.43</c:v>
                </c:pt>
                <c:pt idx="1216">
                  <c:v>1838.8600000000001</c:v>
                </c:pt>
                <c:pt idx="1217">
                  <c:v>1839.16</c:v>
                </c:pt>
                <c:pt idx="1218">
                  <c:v>1843.27</c:v>
                </c:pt>
                <c:pt idx="1219">
                  <c:v>1837.8</c:v>
                </c:pt>
                <c:pt idx="1220">
                  <c:v>1841</c:v>
                </c:pt>
                <c:pt idx="1221">
                  <c:v>1856.9</c:v>
                </c:pt>
                <c:pt idx="1222">
                  <c:v>1862.56</c:v>
                </c:pt>
                <c:pt idx="1223">
                  <c:v>1861.25</c:v>
                </c:pt>
                <c:pt idx="1224">
                  <c:v>1854.28</c:v>
                </c:pt>
                <c:pt idx="1225">
                  <c:v>1857.97</c:v>
                </c:pt>
                <c:pt idx="1226">
                  <c:v>1875.49</c:v>
                </c:pt>
                <c:pt idx="1227">
                  <c:v>1883.99</c:v>
                </c:pt>
                <c:pt idx="1228">
                  <c:v>1893.93</c:v>
                </c:pt>
                <c:pt idx="1229">
                  <c:v>1903.66</c:v>
                </c:pt>
                <c:pt idx="1230">
                  <c:v>1910.39</c:v>
                </c:pt>
                <c:pt idx="1231">
                  <c:v>1914.4</c:v>
                </c:pt>
                <c:pt idx="1232">
                  <c:v>1898.3700000000001</c:v>
                </c:pt>
                <c:pt idx="1233">
                  <c:v>1898.74</c:v>
                </c:pt>
                <c:pt idx="1234">
                  <c:v>1887.28</c:v>
                </c:pt>
                <c:pt idx="1235">
                  <c:v>1910.23</c:v>
                </c:pt>
                <c:pt idx="1236">
                  <c:v>1910.8600000000001</c:v>
                </c:pt>
                <c:pt idx="1237">
                  <c:v>1906.42</c:v>
                </c:pt>
                <c:pt idx="1238">
                  <c:v>1908.89</c:v>
                </c:pt>
                <c:pt idx="1239">
                  <c:v>1899.69</c:v>
                </c:pt>
                <c:pt idx="1240">
                  <c:v>1897.57</c:v>
                </c:pt>
                <c:pt idx="1241">
                  <c:v>1902.92</c:v>
                </c:pt>
                <c:pt idx="1242">
                  <c:v>1904.5900000000001</c:v>
                </c:pt>
                <c:pt idx="1243">
                  <c:v>1915.3</c:v>
                </c:pt>
                <c:pt idx="1244">
                  <c:v>1923.43</c:v>
                </c:pt>
                <c:pt idx="1245">
                  <c:v>1920.8500000000001</c:v>
                </c:pt>
                <c:pt idx="1246">
                  <c:v>1915.4</c:v>
                </c:pt>
                <c:pt idx="1247">
                  <c:v>1904.21</c:v>
                </c:pt>
                <c:pt idx="1248">
                  <c:v>1903.81</c:v>
                </c:pt>
                <c:pt idx="1249">
                  <c:v>1908.65</c:v>
                </c:pt>
                <c:pt idx="1250">
                  <c:v>1917.16</c:v>
                </c:pt>
                <c:pt idx="1251">
                  <c:v>1918.25</c:v>
                </c:pt>
                <c:pt idx="1252">
                  <c:v>1899.93</c:v>
                </c:pt>
                <c:pt idx="1253">
                  <c:v>1902.73</c:v>
                </c:pt>
                <c:pt idx="1254">
                  <c:v>1897.19</c:v>
                </c:pt>
                <c:pt idx="1255">
                  <c:v>1887.93</c:v>
                </c:pt>
                <c:pt idx="1256">
                  <c:v>1918.95</c:v>
                </c:pt>
                <c:pt idx="1257">
                  <c:v>1926.38</c:v>
                </c:pt>
                <c:pt idx="1258">
                  <c:v>1926.43</c:v>
                </c:pt>
                <c:pt idx="1259">
                  <c:v>1945</c:v>
                </c:pt>
                <c:pt idx="1260">
                  <c:v>1952.13</c:v>
                </c:pt>
                <c:pt idx="1261">
                  <c:v>1951.53</c:v>
                </c:pt>
                <c:pt idx="1262">
                  <c:v>1958.56</c:v>
                </c:pt>
                <c:pt idx="1263">
                  <c:v>1946.28</c:v>
                </c:pt>
                <c:pt idx="1264">
                  <c:v>1948.64</c:v>
                </c:pt>
                <c:pt idx="1265">
                  <c:v>1941.57</c:v>
                </c:pt>
                <c:pt idx="1266">
                  <c:v>1934.21</c:v>
                </c:pt>
                <c:pt idx="1267">
                  <c:v>1944.98</c:v>
                </c:pt>
                <c:pt idx="1268">
                  <c:v>1909.3500000000001</c:v>
                </c:pt>
                <c:pt idx="1269">
                  <c:v>1912.91</c:v>
                </c:pt>
                <c:pt idx="1270">
                  <c:v>1917.54</c:v>
                </c:pt>
                <c:pt idx="1271">
                  <c:v>1914.28</c:v>
                </c:pt>
                <c:pt idx="1272">
                  <c:v>1928.17</c:v>
                </c:pt>
                <c:pt idx="1273">
                  <c:v>1943.3400000000001</c:v>
                </c:pt>
                <c:pt idx="1274">
                  <c:v>1945.66</c:v>
                </c:pt>
                <c:pt idx="1275">
                  <c:v>1937.93</c:v>
                </c:pt>
                <c:pt idx="1276">
                  <c:v>1941.75</c:v>
                </c:pt>
                <c:pt idx="1277">
                  <c:v>1924.67</c:v>
                </c:pt>
                <c:pt idx="1278">
                  <c:v>1914.5</c:v>
                </c:pt>
                <c:pt idx="1279">
                  <c:v>1916.04</c:v>
                </c:pt>
                <c:pt idx="1280">
                  <c:v>1900.58</c:v>
                </c:pt>
                <c:pt idx="1281">
                  <c:v>1917.8400000000001</c:v>
                </c:pt>
                <c:pt idx="1282">
                  <c:v>1915.1000000000001</c:v>
                </c:pt>
                <c:pt idx="1283">
                  <c:v>1920</c:v>
                </c:pt>
                <c:pt idx="1284">
                  <c:v>1914.02</c:v>
                </c:pt>
                <c:pt idx="1285">
                  <c:v>1933.46</c:v>
                </c:pt>
                <c:pt idx="1286">
                  <c:v>1940.68</c:v>
                </c:pt>
                <c:pt idx="1287">
                  <c:v>1955.06</c:v>
                </c:pt>
                <c:pt idx="1288">
                  <c:v>1951.83</c:v>
                </c:pt>
                <c:pt idx="1289">
                  <c:v>1945.45</c:v>
                </c:pt>
                <c:pt idx="1290">
                  <c:v>1960.26</c:v>
                </c:pt>
                <c:pt idx="1291">
                  <c:v>1953.3700000000001</c:v>
                </c:pt>
                <c:pt idx="1292">
                  <c:v>1956.14</c:v>
                </c:pt>
                <c:pt idx="1293">
                  <c:v>1963.58</c:v>
                </c:pt>
                <c:pt idx="1294">
                  <c:v>1943.19</c:v>
                </c:pt>
                <c:pt idx="1295">
                  <c:v>1959.76</c:v>
                </c:pt>
                <c:pt idx="1296">
                  <c:v>1956.6000000000001</c:v>
                </c:pt>
                <c:pt idx="1297">
                  <c:v>1953.74</c:v>
                </c:pt>
                <c:pt idx="1298">
                  <c:v>1940.2</c:v>
                </c:pt>
                <c:pt idx="1299">
                  <c:v>1936.68</c:v>
                </c:pt>
                <c:pt idx="1300">
                  <c:v>1941.17</c:v>
                </c:pt>
                <c:pt idx="1301">
                  <c:v>1931.73</c:v>
                </c:pt>
                <c:pt idx="1302">
                  <c:v>1945.92</c:v>
                </c:pt>
                <c:pt idx="1303">
                  <c:v>1950.39</c:v>
                </c:pt>
                <c:pt idx="1304">
                  <c:v>1970.65</c:v>
                </c:pt>
                <c:pt idx="1305">
                  <c:v>1979.21</c:v>
                </c:pt>
                <c:pt idx="1306">
                  <c:v>1982.76</c:v>
                </c:pt>
                <c:pt idx="1307">
                  <c:v>1985.69</c:v>
                </c:pt>
                <c:pt idx="1308">
                  <c:v>1982.4</c:v>
                </c:pt>
                <c:pt idx="1309">
                  <c:v>1970.5</c:v>
                </c:pt>
                <c:pt idx="1310">
                  <c:v>1982.4</c:v>
                </c:pt>
                <c:pt idx="1311">
                  <c:v>1977.29</c:v>
                </c:pt>
                <c:pt idx="1312">
                  <c:v>1979.24</c:v>
                </c:pt>
                <c:pt idx="1313">
                  <c:v>1977.19</c:v>
                </c:pt>
                <c:pt idx="1314">
                  <c:v>1964.47</c:v>
                </c:pt>
                <c:pt idx="1315">
                  <c:v>1979.51</c:v>
                </c:pt>
                <c:pt idx="1316">
                  <c:v>1975.6000000000001</c:v>
                </c:pt>
                <c:pt idx="1317">
                  <c:v>1967.38</c:v>
                </c:pt>
                <c:pt idx="1318">
                  <c:v>1971.92</c:v>
                </c:pt>
                <c:pt idx="1319">
                  <c:v>1984.47</c:v>
                </c:pt>
                <c:pt idx="1320">
                  <c:v>1993.21</c:v>
                </c:pt>
                <c:pt idx="1321">
                  <c:v>1989.8700000000001</c:v>
                </c:pt>
                <c:pt idx="1322">
                  <c:v>1969.3</c:v>
                </c:pt>
                <c:pt idx="1323">
                  <c:v>1971.02</c:v>
                </c:pt>
                <c:pt idx="1324">
                  <c:v>1956.1100000000001</c:v>
                </c:pt>
                <c:pt idx="1325">
                  <c:v>1958.49</c:v>
                </c:pt>
                <c:pt idx="1326">
                  <c:v>1960.01</c:v>
                </c:pt>
                <c:pt idx="1327">
                  <c:v>1954.25</c:v>
                </c:pt>
                <c:pt idx="1328">
                  <c:v>1988.18</c:v>
                </c:pt>
                <c:pt idx="1329">
                  <c:v>1991.8400000000001</c:v>
                </c:pt>
                <c:pt idx="1330">
                  <c:v>1994.23</c:v>
                </c:pt>
                <c:pt idx="1331">
                  <c:v>1993.99</c:v>
                </c:pt>
                <c:pt idx="1332">
                  <c:v>1989.2</c:v>
                </c:pt>
                <c:pt idx="1333">
                  <c:v>1979.51</c:v>
                </c:pt>
                <c:pt idx="1334">
                  <c:v>1985.28</c:v>
                </c:pt>
                <c:pt idx="1335">
                  <c:v>1992.39</c:v>
                </c:pt>
                <c:pt idx="1336">
                  <c:v>1993.79</c:v>
                </c:pt>
                <c:pt idx="1337">
                  <c:v>1985.55</c:v>
                </c:pt>
                <c:pt idx="1338">
                  <c:v>1997.75</c:v>
                </c:pt>
                <c:pt idx="1339">
                  <c:v>1989.97</c:v>
                </c:pt>
                <c:pt idx="1340">
                  <c:v>1996.74</c:v>
                </c:pt>
                <c:pt idx="1341">
                  <c:v>2017.3400000000001</c:v>
                </c:pt>
                <c:pt idx="1342">
                  <c:v>2015.8400000000001</c:v>
                </c:pt>
                <c:pt idx="1343">
                  <c:v>2016.5900000000001</c:v>
                </c:pt>
                <c:pt idx="1344">
                  <c:v>2013.99</c:v>
                </c:pt>
                <c:pt idx="1345">
                  <c:v>1988.56</c:v>
                </c:pt>
                <c:pt idx="1346">
                  <c:v>1966.27</c:v>
                </c:pt>
                <c:pt idx="1347">
                  <c:v>1971.45</c:v>
                </c:pt>
                <c:pt idx="1348">
                  <c:v>1967.79</c:v>
                </c:pt>
                <c:pt idx="1349">
                  <c:v>1935.18</c:v>
                </c:pt>
                <c:pt idx="1350">
                  <c:v>1922.32</c:v>
                </c:pt>
                <c:pt idx="1351">
                  <c:v>1930.27</c:v>
                </c:pt>
                <c:pt idx="1352">
                  <c:v>1922.72</c:v>
                </c:pt>
                <c:pt idx="1353">
                  <c:v>1914.38</c:v>
                </c:pt>
                <c:pt idx="1354">
                  <c:v>1917.48</c:v>
                </c:pt>
                <c:pt idx="1355">
                  <c:v>1939.52</c:v>
                </c:pt>
                <c:pt idx="1356">
                  <c:v>1950.8700000000001</c:v>
                </c:pt>
                <c:pt idx="1357">
                  <c:v>1920.0900000000001</c:v>
                </c:pt>
                <c:pt idx="1358">
                  <c:v>1936.41</c:v>
                </c:pt>
                <c:pt idx="1359">
                  <c:v>1960.28</c:v>
                </c:pt>
                <c:pt idx="1360">
                  <c:v>1964.1100000000001</c:v>
                </c:pt>
                <c:pt idx="1361">
                  <c:v>1929.23</c:v>
                </c:pt>
                <c:pt idx="1362">
                  <c:v>1927.13</c:v>
                </c:pt>
                <c:pt idx="1363">
                  <c:v>1915.77</c:v>
                </c:pt>
                <c:pt idx="1364">
                  <c:v>1918.5900000000001</c:v>
                </c:pt>
                <c:pt idx="1365">
                  <c:v>1910.01</c:v>
                </c:pt>
                <c:pt idx="1366">
                  <c:v>1885.81</c:v>
                </c:pt>
                <c:pt idx="1367">
                  <c:v>1866.92</c:v>
                </c:pt>
                <c:pt idx="1368">
                  <c:v>1876.67</c:v>
                </c:pt>
                <c:pt idx="1369">
                  <c:v>1916.56</c:v>
                </c:pt>
                <c:pt idx="1370">
                  <c:v>1909.52</c:v>
                </c:pt>
                <c:pt idx="1371">
                  <c:v>1892.1200000000001</c:v>
                </c:pt>
                <c:pt idx="1372">
                  <c:v>1892.13</c:v>
                </c:pt>
                <c:pt idx="1373">
                  <c:v>1910.6200000000001</c:v>
                </c:pt>
                <c:pt idx="1374">
                  <c:v>1900.98</c:v>
                </c:pt>
                <c:pt idx="1375">
                  <c:v>1899.32</c:v>
                </c:pt>
                <c:pt idx="1376">
                  <c:v>1908.56</c:v>
                </c:pt>
                <c:pt idx="1377">
                  <c:v>1891.24</c:v>
                </c:pt>
                <c:pt idx="1378">
                  <c:v>1901.98</c:v>
                </c:pt>
                <c:pt idx="1379">
                  <c:v>1943.08</c:v>
                </c:pt>
                <c:pt idx="1380">
                  <c:v>1939.03</c:v>
                </c:pt>
                <c:pt idx="1381">
                  <c:v>1954.49</c:v>
                </c:pt>
                <c:pt idx="1382">
                  <c:v>1940.55</c:v>
                </c:pt>
                <c:pt idx="1383">
                  <c:v>1945.9</c:v>
                </c:pt>
                <c:pt idx="1384">
                  <c:v>1932.75</c:v>
                </c:pt>
                <c:pt idx="1385">
                  <c:v>1935.6100000000001</c:v>
                </c:pt>
                <c:pt idx="1386">
                  <c:v>1943.66</c:v>
                </c:pt>
                <c:pt idx="1387">
                  <c:v>1922.6200000000001</c:v>
                </c:pt>
                <c:pt idx="1388">
                  <c:v>1897.73</c:v>
                </c:pt>
                <c:pt idx="1389">
                  <c:v>1888.43</c:v>
                </c:pt>
                <c:pt idx="1390">
                  <c:v>1885.82</c:v>
                </c:pt>
                <c:pt idx="1391">
                  <c:v>1889.48</c:v>
                </c:pt>
                <c:pt idx="1392">
                  <c:v>1924.74</c:v>
                </c:pt>
                <c:pt idx="1393">
                  <c:v>1908.42</c:v>
                </c:pt>
                <c:pt idx="1394">
                  <c:v>1894.94</c:v>
                </c:pt>
                <c:pt idx="1395">
                  <c:v>1926.5</c:v>
                </c:pt>
                <c:pt idx="1396">
                  <c:v>1938.68</c:v>
                </c:pt>
                <c:pt idx="1397">
                  <c:v>1937.96</c:v>
                </c:pt>
                <c:pt idx="1398">
                  <c:v>1930.32</c:v>
                </c:pt>
                <c:pt idx="1399">
                  <c:v>1953.8600000000001</c:v>
                </c:pt>
                <c:pt idx="1400">
                  <c:v>1950.99</c:v>
                </c:pt>
                <c:pt idx="1401">
                  <c:v>1942.22</c:v>
                </c:pt>
                <c:pt idx="1402">
                  <c:v>1954.18</c:v>
                </c:pt>
                <c:pt idx="1403">
                  <c:v>1957.41</c:v>
                </c:pt>
                <c:pt idx="1404">
                  <c:v>1956.05</c:v>
                </c:pt>
                <c:pt idx="1405">
                  <c:v>1950.63</c:v>
                </c:pt>
                <c:pt idx="1406">
                  <c:v>1944.22</c:v>
                </c:pt>
                <c:pt idx="1407">
                  <c:v>1936.3</c:v>
                </c:pt>
                <c:pt idx="1408">
                  <c:v>1945.6100000000001</c:v>
                </c:pt>
                <c:pt idx="1409">
                  <c:v>1938.13</c:v>
                </c:pt>
                <c:pt idx="1410">
                  <c:v>1940.5</c:v>
                </c:pt>
                <c:pt idx="1411">
                  <c:v>1967.26</c:v>
                </c:pt>
                <c:pt idx="1412">
                  <c:v>1982.81</c:v>
                </c:pt>
                <c:pt idx="1413">
                  <c:v>1986.04</c:v>
                </c:pt>
                <c:pt idx="1414">
                  <c:v>1993.43</c:v>
                </c:pt>
                <c:pt idx="1415">
                  <c:v>1986.1100000000001</c:v>
                </c:pt>
                <c:pt idx="1416">
                  <c:v>1988.1000000000001</c:v>
                </c:pt>
                <c:pt idx="1417">
                  <c:v>1979.3500000000001</c:v>
                </c:pt>
                <c:pt idx="1418">
                  <c:v>1984.0900000000001</c:v>
                </c:pt>
                <c:pt idx="1419">
                  <c:v>1982.81</c:v>
                </c:pt>
                <c:pt idx="1420">
                  <c:v>1993.06</c:v>
                </c:pt>
                <c:pt idx="1421">
                  <c:v>1997.2</c:v>
                </c:pt>
                <c:pt idx="1422">
                  <c:v>1998.0800000000002</c:v>
                </c:pt>
                <c:pt idx="1423">
                  <c:v>1997.42</c:v>
                </c:pt>
                <c:pt idx="1424">
                  <c:v>2008.47</c:v>
                </c:pt>
                <c:pt idx="1425">
                  <c:v>2012</c:v>
                </c:pt>
                <c:pt idx="1426">
                  <c:v>1992.42</c:v>
                </c:pt>
                <c:pt idx="1427">
                  <c:v>1982.93</c:v>
                </c:pt>
                <c:pt idx="1428">
                  <c:v>1990.44</c:v>
                </c:pt>
                <c:pt idx="1429">
                  <c:v>1991.49</c:v>
                </c:pt>
                <c:pt idx="1430">
                  <c:v>2012.32</c:v>
                </c:pt>
                <c:pt idx="1431">
                  <c:v>2020.49</c:v>
                </c:pt>
                <c:pt idx="1432">
                  <c:v>2017.8600000000001</c:v>
                </c:pt>
                <c:pt idx="1433">
                  <c:v>2023.3500000000001</c:v>
                </c:pt>
                <c:pt idx="1434">
                  <c:v>2025.39</c:v>
                </c:pt>
                <c:pt idx="1435">
                  <c:v>2021</c:v>
                </c:pt>
                <c:pt idx="1436">
                  <c:v>2031.5900000000001</c:v>
                </c:pt>
                <c:pt idx="1437">
                  <c:v>2021.0800000000002</c:v>
                </c:pt>
                <c:pt idx="1438">
                  <c:v>2016.0900000000001</c:v>
                </c:pt>
                <c:pt idx="1439">
                  <c:v>2033.8700000000001</c:v>
                </c:pt>
                <c:pt idx="1440">
                  <c:v>2049.1999999999998</c:v>
                </c:pt>
                <c:pt idx="1441">
                  <c:v>2049.9700000000003</c:v>
                </c:pt>
                <c:pt idx="1442">
                  <c:v>2053.9299999999998</c:v>
                </c:pt>
                <c:pt idx="1443">
                  <c:v>2048.89</c:v>
                </c:pt>
                <c:pt idx="1444">
                  <c:v>2041.99</c:v>
                </c:pt>
                <c:pt idx="1445">
                  <c:v>2046.28</c:v>
                </c:pt>
                <c:pt idx="1446">
                  <c:v>2071.4499999999998</c:v>
                </c:pt>
                <c:pt idx="1447">
                  <c:v>2076.63</c:v>
                </c:pt>
                <c:pt idx="1448">
                  <c:v>2071.0500000000002</c:v>
                </c:pt>
                <c:pt idx="1449">
                  <c:v>2072.71</c:v>
                </c:pt>
                <c:pt idx="1450">
                  <c:v>2077.0100000000002</c:v>
                </c:pt>
                <c:pt idx="1451">
                  <c:v>2071.9</c:v>
                </c:pt>
                <c:pt idx="1452">
                  <c:v>2091.69</c:v>
                </c:pt>
                <c:pt idx="1453">
                  <c:v>2095.9700000000003</c:v>
                </c:pt>
                <c:pt idx="1454">
                  <c:v>2101.2600000000002</c:v>
                </c:pt>
                <c:pt idx="1455">
                  <c:v>2093.58</c:v>
                </c:pt>
                <c:pt idx="1456">
                  <c:v>2096.71</c:v>
                </c:pt>
                <c:pt idx="1457">
                  <c:v>2098.3200000000002</c:v>
                </c:pt>
                <c:pt idx="1458">
                  <c:v>2100.86</c:v>
                </c:pt>
                <c:pt idx="1459">
                  <c:v>2113.8200000000002</c:v>
                </c:pt>
                <c:pt idx="1460">
                  <c:v>2114.36</c:v>
                </c:pt>
                <c:pt idx="1461">
                  <c:v>2121.83</c:v>
                </c:pt>
                <c:pt idx="1462">
                  <c:v>2132.39</c:v>
                </c:pt>
                <c:pt idx="1463">
                  <c:v>2114.65</c:v>
                </c:pt>
                <c:pt idx="1464">
                  <c:v>2115.63</c:v>
                </c:pt>
                <c:pt idx="1465">
                  <c:v>2115.65</c:v>
                </c:pt>
                <c:pt idx="1466">
                  <c:v>2100.36</c:v>
                </c:pt>
                <c:pt idx="1467">
                  <c:v>2100.21</c:v>
                </c:pt>
                <c:pt idx="1468">
                  <c:v>2095.6799999999998</c:v>
                </c:pt>
                <c:pt idx="1469">
                  <c:v>2119.5300000000002</c:v>
                </c:pt>
                <c:pt idx="1470">
                  <c:v>2124.2800000000002</c:v>
                </c:pt>
                <c:pt idx="1471">
                  <c:v>2129.2200000000003</c:v>
                </c:pt>
                <c:pt idx="1472">
                  <c:v>2118.3200000000002</c:v>
                </c:pt>
                <c:pt idx="1473">
                  <c:v>2122.2600000000002</c:v>
                </c:pt>
                <c:pt idx="1474">
                  <c:v>2128.17</c:v>
                </c:pt>
                <c:pt idx="1475">
                  <c:v>2141.9499999999998</c:v>
                </c:pt>
                <c:pt idx="1476">
                  <c:v>2147.6</c:v>
                </c:pt>
                <c:pt idx="1477">
                  <c:v>2152.5700000000002</c:v>
                </c:pt>
                <c:pt idx="1478">
                  <c:v>2154.8000000000002</c:v>
                </c:pt>
                <c:pt idx="1479">
                  <c:v>2153.7600000000002</c:v>
                </c:pt>
                <c:pt idx="1480">
                  <c:v>2157.42</c:v>
                </c:pt>
                <c:pt idx="1481">
                  <c:v>2162.65</c:v>
                </c:pt>
                <c:pt idx="1482">
                  <c:v>2154.96</c:v>
                </c:pt>
                <c:pt idx="1483">
                  <c:v>2125.67</c:v>
                </c:pt>
                <c:pt idx="1484">
                  <c:v>2133.52</c:v>
                </c:pt>
                <c:pt idx="1485">
                  <c:v>2154.09</c:v>
                </c:pt>
                <c:pt idx="1486">
                  <c:v>2155.89</c:v>
                </c:pt>
                <c:pt idx="1487">
                  <c:v>2149.85</c:v>
                </c:pt>
                <c:pt idx="1488">
                  <c:v>2169</c:v>
                </c:pt>
                <c:pt idx="1489">
                  <c:v>2177.75</c:v>
                </c:pt>
                <c:pt idx="1490">
                  <c:v>2175.4499999999998</c:v>
                </c:pt>
                <c:pt idx="1491">
                  <c:v>2166.87</c:v>
                </c:pt>
                <c:pt idx="1492">
                  <c:v>2170.84</c:v>
                </c:pt>
                <c:pt idx="1493">
                  <c:v>2175.8000000000002</c:v>
                </c:pt>
                <c:pt idx="1494">
                  <c:v>2173.58</c:v>
                </c:pt>
                <c:pt idx="1495">
                  <c:v>2176.52</c:v>
                </c:pt>
                <c:pt idx="1496">
                  <c:v>2195.59</c:v>
                </c:pt>
                <c:pt idx="1497">
                  <c:v>2198.0700000000002</c:v>
                </c:pt>
                <c:pt idx="1498">
                  <c:v>2190.9700000000003</c:v>
                </c:pt>
                <c:pt idx="1499">
                  <c:v>2195.8000000000002</c:v>
                </c:pt>
                <c:pt idx="1500">
                  <c:v>2192.7600000000002</c:v>
                </c:pt>
                <c:pt idx="1501">
                  <c:v>2185.21</c:v>
                </c:pt>
                <c:pt idx="1502">
                  <c:v>2173.9</c:v>
                </c:pt>
                <c:pt idx="1503">
                  <c:v>2183.38</c:v>
                </c:pt>
                <c:pt idx="1504">
                  <c:v>2199.15</c:v>
                </c:pt>
                <c:pt idx="1505">
                  <c:v>2196</c:v>
                </c:pt>
                <c:pt idx="1506">
                  <c:v>2186.13</c:v>
                </c:pt>
                <c:pt idx="1507">
                  <c:v>2183.92</c:v>
                </c:pt>
                <c:pt idx="1508">
                  <c:v>2186.6</c:v>
                </c:pt>
                <c:pt idx="1509">
                  <c:v>2173.29</c:v>
                </c:pt>
                <c:pt idx="1510">
                  <c:v>2178.8000000000002</c:v>
                </c:pt>
                <c:pt idx="1511">
                  <c:v>2177.6799999999998</c:v>
                </c:pt>
                <c:pt idx="1512">
                  <c:v>2182.15</c:v>
                </c:pt>
                <c:pt idx="1513">
                  <c:v>2196.02</c:v>
                </c:pt>
                <c:pt idx="1514">
                  <c:v>2206.6799999999998</c:v>
                </c:pt>
                <c:pt idx="1515">
                  <c:v>2208.48</c:v>
                </c:pt>
                <c:pt idx="1516">
                  <c:v>2206.7000000000003</c:v>
                </c:pt>
                <c:pt idx="1517">
                  <c:v>2200.2000000000003</c:v>
                </c:pt>
                <c:pt idx="1518">
                  <c:v>2206.6</c:v>
                </c:pt>
                <c:pt idx="1519">
                  <c:v>2195</c:v>
                </c:pt>
                <c:pt idx="1520">
                  <c:v>2202.77</c:v>
                </c:pt>
                <c:pt idx="1521">
                  <c:v>2221.56</c:v>
                </c:pt>
                <c:pt idx="1522">
                  <c:v>2196.54</c:v>
                </c:pt>
                <c:pt idx="1523">
                  <c:v>2193.89</c:v>
                </c:pt>
                <c:pt idx="1524">
                  <c:v>2191.71</c:v>
                </c:pt>
                <c:pt idx="1525">
                  <c:v>2204.4</c:v>
                </c:pt>
                <c:pt idx="1526">
                  <c:v>2219.19</c:v>
                </c:pt>
                <c:pt idx="1527">
                  <c:v>2231.61</c:v>
                </c:pt>
                <c:pt idx="1528">
                  <c:v>2235.39</c:v>
                </c:pt>
                <c:pt idx="1529">
                  <c:v>2233.44</c:v>
                </c:pt>
                <c:pt idx="1530">
                  <c:v>2235.02</c:v>
                </c:pt>
                <c:pt idx="1531">
                  <c:v>2239.0500000000002</c:v>
                </c:pt>
                <c:pt idx="1532">
                  <c:v>2236.46</c:v>
                </c:pt>
                <c:pt idx="1533">
                  <c:v>2220.7200000000003</c:v>
                </c:pt>
                <c:pt idx="1534">
                  <c:v>2213.58</c:v>
                </c:pt>
                <c:pt idx="1535">
                  <c:v>2230.8000000000002</c:v>
                </c:pt>
                <c:pt idx="1536">
                  <c:v>2248.4</c:v>
                </c:pt>
                <c:pt idx="1537">
                  <c:v>2250.9700000000003</c:v>
                </c:pt>
                <c:pt idx="1538">
                  <c:v>2249.06</c:v>
                </c:pt>
                <c:pt idx="1539">
                  <c:v>2255.48</c:v>
                </c:pt>
                <c:pt idx="1540">
                  <c:v>2252.4299999999998</c:v>
                </c:pt>
                <c:pt idx="1541">
                  <c:v>2251.0300000000002</c:v>
                </c:pt>
                <c:pt idx="1542">
                  <c:v>2243.2600000000002</c:v>
                </c:pt>
                <c:pt idx="1543">
                  <c:v>2240.73</c:v>
                </c:pt>
                <c:pt idx="1544">
                  <c:v>2163.11</c:v>
                </c:pt>
                <c:pt idx="1545">
                  <c:v>2175.7800000000002</c:v>
                </c:pt>
                <c:pt idx="1546">
                  <c:v>2170.17</c:v>
                </c:pt>
                <c:pt idx="1547">
                  <c:v>2145.4299999999998</c:v>
                </c:pt>
                <c:pt idx="1548">
                  <c:v>2125.34</c:v>
                </c:pt>
                <c:pt idx="1549">
                  <c:v>2158.36</c:v>
                </c:pt>
                <c:pt idx="1550">
                  <c:v>2153.65</c:v>
                </c:pt>
                <c:pt idx="1551">
                  <c:v>2169.14</c:v>
                </c:pt>
                <c:pt idx="1552">
                  <c:v>2170.62</c:v>
                </c:pt>
                <c:pt idx="1553">
                  <c:v>2176.5</c:v>
                </c:pt>
                <c:pt idx="1554">
                  <c:v>2132.7600000000002</c:v>
                </c:pt>
                <c:pt idx="1555">
                  <c:v>2147.1799999999998</c:v>
                </c:pt>
                <c:pt idx="1556">
                  <c:v>2155.1799999999998</c:v>
                </c:pt>
                <c:pt idx="1557">
                  <c:v>2146.9299999999998</c:v>
                </c:pt>
                <c:pt idx="1558">
                  <c:v>2170.33</c:v>
                </c:pt>
                <c:pt idx="1559">
                  <c:v>2184.1</c:v>
                </c:pt>
                <c:pt idx="1560">
                  <c:v>2221.46</c:v>
                </c:pt>
                <c:pt idx="1561">
                  <c:v>2220.6799999999998</c:v>
                </c:pt>
                <c:pt idx="1562">
                  <c:v>2223.12</c:v>
                </c:pt>
                <c:pt idx="1563">
                  <c:v>2225.2600000000002</c:v>
                </c:pt>
                <c:pt idx="1564">
                  <c:v>2211.52</c:v>
                </c:pt>
                <c:pt idx="1565">
                  <c:v>2194.38</c:v>
                </c:pt>
                <c:pt idx="1566">
                  <c:v>2202.6799999999998</c:v>
                </c:pt>
                <c:pt idx="1567">
                  <c:v>2200.12</c:v>
                </c:pt>
                <c:pt idx="1568">
                  <c:v>2205.85</c:v>
                </c:pt>
                <c:pt idx="1569">
                  <c:v>2226.7600000000002</c:v>
                </c:pt>
                <c:pt idx="1570">
                  <c:v>2229.25</c:v>
                </c:pt>
                <c:pt idx="1571">
                  <c:v>2236.71</c:v>
                </c:pt>
                <c:pt idx="1572">
                  <c:v>2238.0300000000002</c:v>
                </c:pt>
                <c:pt idx="1573">
                  <c:v>2243.9299999999998</c:v>
                </c:pt>
                <c:pt idx="1574">
                  <c:v>2229.44</c:v>
                </c:pt>
                <c:pt idx="1575">
                  <c:v>2243.3000000000002</c:v>
                </c:pt>
                <c:pt idx="1576">
                  <c:v>2251.12</c:v>
                </c:pt>
                <c:pt idx="1577">
                  <c:v>2275.35</c:v>
                </c:pt>
                <c:pt idx="1578">
                  <c:v>2280.0100000000002</c:v>
                </c:pt>
                <c:pt idx="1579">
                  <c:v>2281.61</c:v>
                </c:pt>
                <c:pt idx="1580">
                  <c:v>2278.91</c:v>
                </c:pt>
                <c:pt idx="1581">
                  <c:v>2300.08</c:v>
                </c:pt>
                <c:pt idx="1582">
                  <c:v>2294.8200000000002</c:v>
                </c:pt>
                <c:pt idx="1583">
                  <c:v>2294.02</c:v>
                </c:pt>
                <c:pt idx="1584">
                  <c:v>2317.5</c:v>
                </c:pt>
                <c:pt idx="1585">
                  <c:v>2315.91</c:v>
                </c:pt>
                <c:pt idx="1586">
                  <c:v>2315.7000000000003</c:v>
                </c:pt>
                <c:pt idx="1587">
                  <c:v>2297.5700000000002</c:v>
                </c:pt>
                <c:pt idx="1588">
                  <c:v>2303.6799999999998</c:v>
                </c:pt>
                <c:pt idx="1589">
                  <c:v>2318.84</c:v>
                </c:pt>
                <c:pt idx="1590">
                  <c:v>2329.54</c:v>
                </c:pt>
                <c:pt idx="1591">
                  <c:v>2334.61</c:v>
                </c:pt>
                <c:pt idx="1592">
                  <c:v>2340.6799999999998</c:v>
                </c:pt>
                <c:pt idx="1593">
                  <c:v>2338.14</c:v>
                </c:pt>
                <c:pt idx="1594">
                  <c:v>2346.3000000000002</c:v>
                </c:pt>
                <c:pt idx="1595">
                  <c:v>2313.94</c:v>
                </c:pt>
                <c:pt idx="1596">
                  <c:v>2336.48</c:v>
                </c:pt>
                <c:pt idx="1597">
                  <c:v>2332.4299999999998</c:v>
                </c:pt>
                <c:pt idx="1598">
                  <c:v>2329.61</c:v>
                </c:pt>
                <c:pt idx="1599">
                  <c:v>2350.4</c:v>
                </c:pt>
                <c:pt idx="1600">
                  <c:v>2348.44</c:v>
                </c:pt>
                <c:pt idx="1601">
                  <c:v>2363.9700000000003</c:v>
                </c:pt>
                <c:pt idx="1602">
                  <c:v>2367.63</c:v>
                </c:pt>
                <c:pt idx="1603">
                  <c:v>2366.1</c:v>
                </c:pt>
                <c:pt idx="1604">
                  <c:v>2363.29</c:v>
                </c:pt>
                <c:pt idx="1605">
                  <c:v>2340.64</c:v>
                </c:pt>
                <c:pt idx="1606">
                  <c:v>2353.42</c:v>
                </c:pt>
                <c:pt idx="1607">
                  <c:v>2357.39</c:v>
                </c:pt>
                <c:pt idx="1608">
                  <c:v>2377.09</c:v>
                </c:pt>
                <c:pt idx="1609">
                  <c:v>2377.75</c:v>
                </c:pt>
                <c:pt idx="1610">
                  <c:v>2386.63</c:v>
                </c:pt>
                <c:pt idx="1611">
                  <c:v>2391.13</c:v>
                </c:pt>
                <c:pt idx="1612">
                  <c:v>2378.44</c:v>
                </c:pt>
                <c:pt idx="1613">
                  <c:v>2357.9500000000003</c:v>
                </c:pt>
                <c:pt idx="1614">
                  <c:v>2316.63</c:v>
                </c:pt>
                <c:pt idx="1615">
                  <c:v>2342.98</c:v>
                </c:pt>
                <c:pt idx="1616">
                  <c:v>2345.27</c:v>
                </c:pt>
                <c:pt idx="1617">
                  <c:v>2320.2200000000003</c:v>
                </c:pt>
                <c:pt idx="1618">
                  <c:v>2356.02</c:v>
                </c:pt>
                <c:pt idx="1619">
                  <c:v>2367.52</c:v>
                </c:pt>
                <c:pt idx="1620">
                  <c:v>2382.9700000000003</c:v>
                </c:pt>
                <c:pt idx="1621">
                  <c:v>2380.09</c:v>
                </c:pt>
                <c:pt idx="1622">
                  <c:v>2384.25</c:v>
                </c:pt>
                <c:pt idx="1623">
                  <c:v>2351.87</c:v>
                </c:pt>
                <c:pt idx="1624">
                  <c:v>2366.92</c:v>
                </c:pt>
                <c:pt idx="1625">
                  <c:v>2336.41</c:v>
                </c:pt>
                <c:pt idx="1626">
                  <c:v>2328.91</c:v>
                </c:pt>
                <c:pt idx="1627">
                  <c:v>2321.46</c:v>
                </c:pt>
                <c:pt idx="1628">
                  <c:v>2342.84</c:v>
                </c:pt>
                <c:pt idx="1629">
                  <c:v>2341.9</c:v>
                </c:pt>
                <c:pt idx="1630">
                  <c:v>2338.25</c:v>
                </c:pt>
                <c:pt idx="1631">
                  <c:v>2363.2800000000002</c:v>
                </c:pt>
                <c:pt idx="1632">
                  <c:v>2372.2200000000003</c:v>
                </c:pt>
                <c:pt idx="1633">
                  <c:v>2373.0700000000002</c:v>
                </c:pt>
                <c:pt idx="1634">
                  <c:v>2381.59</c:v>
                </c:pt>
                <c:pt idx="1635">
                  <c:v>2383.8000000000002</c:v>
                </c:pt>
                <c:pt idx="1636">
                  <c:v>2349.98</c:v>
                </c:pt>
                <c:pt idx="1637">
                  <c:v>2363.7200000000003</c:v>
                </c:pt>
                <c:pt idx="1638">
                  <c:v>2408.79</c:v>
                </c:pt>
                <c:pt idx="1639">
                  <c:v>2416.2800000000002</c:v>
                </c:pt>
                <c:pt idx="1640">
                  <c:v>2411.65</c:v>
                </c:pt>
                <c:pt idx="1641">
                  <c:v>2411.41</c:v>
                </c:pt>
                <c:pt idx="1642">
                  <c:v>2406.69</c:v>
                </c:pt>
                <c:pt idx="1643">
                  <c:v>2417.5</c:v>
                </c:pt>
                <c:pt idx="1644">
                  <c:v>2387.96</c:v>
                </c:pt>
                <c:pt idx="1645">
                  <c:v>2399.64</c:v>
                </c:pt>
                <c:pt idx="1646">
                  <c:v>2352.12</c:v>
                </c:pt>
                <c:pt idx="1647">
                  <c:v>2363.12</c:v>
                </c:pt>
                <c:pt idx="1648">
                  <c:v>2307.98</c:v>
                </c:pt>
                <c:pt idx="1649">
                  <c:v>2271.41</c:v>
                </c:pt>
                <c:pt idx="1650">
                  <c:v>2294.75</c:v>
                </c:pt>
                <c:pt idx="1651">
                  <c:v>2265.75</c:v>
                </c:pt>
                <c:pt idx="1652">
                  <c:v>2282.3000000000002</c:v>
                </c:pt>
                <c:pt idx="1653">
                  <c:v>2292.79</c:v>
                </c:pt>
                <c:pt idx="1654">
                  <c:v>2231.98</c:v>
                </c:pt>
                <c:pt idx="1655">
                  <c:v>2285.9299999999998</c:v>
                </c:pt>
                <c:pt idx="1656">
                  <c:v>2300.1</c:v>
                </c:pt>
                <c:pt idx="1657">
                  <c:v>2333.2400000000002</c:v>
                </c:pt>
                <c:pt idx="1658">
                  <c:v>2264.5</c:v>
                </c:pt>
                <c:pt idx="1659">
                  <c:v>2265.36</c:v>
                </c:pt>
                <c:pt idx="1660">
                  <c:v>2264.58</c:v>
                </c:pt>
                <c:pt idx="1661">
                  <c:v>2223.7000000000003</c:v>
                </c:pt>
                <c:pt idx="1662">
                  <c:v>2193.4</c:v>
                </c:pt>
                <c:pt idx="1663">
                  <c:v>2200.61</c:v>
                </c:pt>
                <c:pt idx="1664">
                  <c:v>2254.6799999999998</c:v>
                </c:pt>
                <c:pt idx="1665">
                  <c:v>2254.0700000000002</c:v>
                </c:pt>
                <c:pt idx="1666">
                  <c:v>2256.52</c:v>
                </c:pt>
                <c:pt idx="1667">
                  <c:v>2283.08</c:v>
                </c:pt>
                <c:pt idx="1668">
                  <c:v>2280.6799999999998</c:v>
                </c:pt>
                <c:pt idx="1669">
                  <c:v>2307.2200000000003</c:v>
                </c:pt>
                <c:pt idx="1670">
                  <c:v>2287.62</c:v>
                </c:pt>
                <c:pt idx="1671">
                  <c:v>2234.02</c:v>
                </c:pt>
                <c:pt idx="1672">
                  <c:v>2283.58</c:v>
                </c:pt>
                <c:pt idx="1673">
                  <c:v>2274.16</c:v>
                </c:pt>
                <c:pt idx="1674">
                  <c:v>2299.71</c:v>
                </c:pt>
                <c:pt idx="1675">
                  <c:v>2323.83</c:v>
                </c:pt>
                <c:pt idx="1676">
                  <c:v>2298.16</c:v>
                </c:pt>
                <c:pt idx="1677">
                  <c:v>2308.34</c:v>
                </c:pt>
                <c:pt idx="1678">
                  <c:v>2269.3200000000002</c:v>
                </c:pt>
                <c:pt idx="1679">
                  <c:v>2266.5100000000002</c:v>
                </c:pt>
                <c:pt idx="1680">
                  <c:v>2297.41</c:v>
                </c:pt>
                <c:pt idx="1681">
                  <c:v>2298.14</c:v>
                </c:pt>
                <c:pt idx="1682">
                  <c:v>2317.63</c:v>
                </c:pt>
                <c:pt idx="1683">
                  <c:v>2318.11</c:v>
                </c:pt>
                <c:pt idx="1684">
                  <c:v>2306.25</c:v>
                </c:pt>
                <c:pt idx="1685">
                  <c:v>2373.63</c:v>
                </c:pt>
                <c:pt idx="1686">
                  <c:v>2388.15</c:v>
                </c:pt>
                <c:pt idx="1687">
                  <c:v>2372.61</c:v>
                </c:pt>
                <c:pt idx="1688">
                  <c:v>2383.5500000000002</c:v>
                </c:pt>
                <c:pt idx="1689">
                  <c:v>2371.0300000000002</c:v>
                </c:pt>
                <c:pt idx="1690">
                  <c:v>2370.2600000000002</c:v>
                </c:pt>
                <c:pt idx="1691">
                  <c:v>2383.5300000000002</c:v>
                </c:pt>
                <c:pt idx="1692">
                  <c:v>2392.92</c:v>
                </c:pt>
                <c:pt idx="1693">
                  <c:v>2385.7200000000003</c:v>
                </c:pt>
                <c:pt idx="1694">
                  <c:v>2417.44</c:v>
                </c:pt>
                <c:pt idx="1695">
                  <c:v>2416.83</c:v>
                </c:pt>
                <c:pt idx="1696">
                  <c:v>2406.3000000000002</c:v>
                </c:pt>
                <c:pt idx="1697">
                  <c:v>2411.41</c:v>
                </c:pt>
                <c:pt idx="1698">
                  <c:v>2435.16</c:v>
                </c:pt>
                <c:pt idx="1699">
                  <c:v>2427.33</c:v>
                </c:pt>
                <c:pt idx="1700">
                  <c:v>2447.0300000000002</c:v>
                </c:pt>
                <c:pt idx="1701">
                  <c:v>2443.02</c:v>
                </c:pt>
                <c:pt idx="1702">
                  <c:v>2430.5500000000002</c:v>
                </c:pt>
                <c:pt idx="1703">
                  <c:v>2442.12</c:v>
                </c:pt>
                <c:pt idx="1704">
                  <c:v>2421.67</c:v>
                </c:pt>
                <c:pt idx="1705">
                  <c:v>2405.7600000000002</c:v>
                </c:pt>
                <c:pt idx="1706">
                  <c:v>2410.2200000000003</c:v>
                </c:pt>
                <c:pt idx="1707">
                  <c:v>2408.46</c:v>
                </c:pt>
                <c:pt idx="1708">
                  <c:v>2346.7800000000002</c:v>
                </c:pt>
                <c:pt idx="1709">
                  <c:v>2355.7400000000002</c:v>
                </c:pt>
                <c:pt idx="1710">
                  <c:v>2376.4700000000003</c:v>
                </c:pt>
                <c:pt idx="1711">
                  <c:v>2370.71</c:v>
                </c:pt>
                <c:pt idx="1712">
                  <c:v>2368.4299999999998</c:v>
                </c:pt>
                <c:pt idx="1713">
                  <c:v>2401.0700000000002</c:v>
                </c:pt>
                <c:pt idx="1714">
                  <c:v>2410.33</c:v>
                </c:pt>
                <c:pt idx="1715">
                  <c:v>2394.81</c:v>
                </c:pt>
                <c:pt idx="1716">
                  <c:v>2423.67</c:v>
                </c:pt>
                <c:pt idx="1717">
                  <c:v>2360.21</c:v>
                </c:pt>
                <c:pt idx="1718">
                  <c:v>2362.21</c:v>
                </c:pt>
                <c:pt idx="1719">
                  <c:v>2350.69</c:v>
                </c:pt>
                <c:pt idx="1720">
                  <c:v>2379.0500000000002</c:v>
                </c:pt>
                <c:pt idx="1721">
                  <c:v>2310.41</c:v>
                </c:pt>
                <c:pt idx="1722">
                  <c:v>2309.1799999999998</c:v>
                </c:pt>
                <c:pt idx="1723">
                  <c:v>2276.2600000000002</c:v>
                </c:pt>
                <c:pt idx="1724">
                  <c:v>2253.5300000000002</c:v>
                </c:pt>
                <c:pt idx="1725">
                  <c:v>2319.86</c:v>
                </c:pt>
                <c:pt idx="1726">
                  <c:v>2304.06</c:v>
                </c:pt>
                <c:pt idx="1727">
                  <c:v>2273.73</c:v>
                </c:pt>
                <c:pt idx="1728">
                  <c:v>2285.67</c:v>
                </c:pt>
                <c:pt idx="1729">
                  <c:v>2245.81</c:v>
                </c:pt>
                <c:pt idx="1730">
                  <c:v>2256.02</c:v>
                </c:pt>
                <c:pt idx="1731">
                  <c:v>2220.21</c:v>
                </c:pt>
                <c:pt idx="1732">
                  <c:v>2257.9500000000003</c:v>
                </c:pt>
                <c:pt idx="1733">
                  <c:v>2205.4900000000002</c:v>
                </c:pt>
                <c:pt idx="1734">
                  <c:v>2238.52</c:v>
                </c:pt>
                <c:pt idx="1735">
                  <c:v>2303.17</c:v>
                </c:pt>
                <c:pt idx="1736">
                  <c:v>2304.4299999999998</c:v>
                </c:pt>
                <c:pt idx="1737">
                  <c:v>2322.34</c:v>
                </c:pt>
                <c:pt idx="1738">
                  <c:v>2308.7400000000002</c:v>
                </c:pt>
                <c:pt idx="1739">
                  <c:v>2293.65</c:v>
                </c:pt>
                <c:pt idx="1740">
                  <c:v>2329.71</c:v>
                </c:pt>
                <c:pt idx="1741">
                  <c:v>2364.9700000000003</c:v>
                </c:pt>
                <c:pt idx="1742">
                  <c:v>2360.79</c:v>
                </c:pt>
                <c:pt idx="1743">
                  <c:v>2378.6</c:v>
                </c:pt>
                <c:pt idx="1744">
                  <c:v>2318.5100000000002</c:v>
                </c:pt>
                <c:pt idx="1745">
                  <c:v>2332.85</c:v>
                </c:pt>
                <c:pt idx="1746">
                  <c:v>2335.79</c:v>
                </c:pt>
                <c:pt idx="1747">
                  <c:v>2303.79</c:v>
                </c:pt>
                <c:pt idx="1748">
                  <c:v>2269.2400000000002</c:v>
                </c:pt>
                <c:pt idx="1749">
                  <c:v>2283.5</c:v>
                </c:pt>
                <c:pt idx="1750">
                  <c:v>2280.4700000000003</c:v>
                </c:pt>
                <c:pt idx="1751">
                  <c:v>2292.23</c:v>
                </c:pt>
                <c:pt idx="1752">
                  <c:v>2330.81</c:v>
                </c:pt>
                <c:pt idx="1753">
                  <c:v>2349.66</c:v>
                </c:pt>
                <c:pt idx="1754">
                  <c:v>2351.6</c:v>
                </c:pt>
                <c:pt idx="1755">
                  <c:v>2318.7200000000003</c:v>
                </c:pt>
                <c:pt idx="1756">
                  <c:v>2322.11</c:v>
                </c:pt>
                <c:pt idx="1757">
                  <c:v>2306.23</c:v>
                </c:pt>
                <c:pt idx="1758">
                  <c:v>2273.41</c:v>
                </c:pt>
                <c:pt idx="1759">
                  <c:v>2217.59</c:v>
                </c:pt>
                <c:pt idx="1760">
                  <c:v>2224.7600000000002</c:v>
                </c:pt>
                <c:pt idx="1761">
                  <c:v>2184.67</c:v>
                </c:pt>
                <c:pt idx="1762">
                  <c:v>2214.6</c:v>
                </c:pt>
                <c:pt idx="1763">
                  <c:v>2232.2400000000002</c:v>
                </c:pt>
                <c:pt idx="1764">
                  <c:v>2202.0300000000002</c:v>
                </c:pt>
                <c:pt idx="1765">
                  <c:v>2225.98</c:v>
                </c:pt>
                <c:pt idx="1766">
                  <c:v>2170.5100000000002</c:v>
                </c:pt>
                <c:pt idx="1767">
                  <c:v>2158.5700000000002</c:v>
                </c:pt>
                <c:pt idx="1768">
                  <c:v>2095.86</c:v>
                </c:pt>
                <c:pt idx="1769">
                  <c:v>2083.2400000000002</c:v>
                </c:pt>
                <c:pt idx="1770">
                  <c:v>2060.15</c:v>
                </c:pt>
                <c:pt idx="1771">
                  <c:v>2104.37</c:v>
                </c:pt>
                <c:pt idx="1772">
                  <c:v>2125.6</c:v>
                </c:pt>
                <c:pt idx="1773">
                  <c:v>2091.88</c:v>
                </c:pt>
                <c:pt idx="1774">
                  <c:v>2128.64</c:v>
                </c:pt>
                <c:pt idx="1775">
                  <c:v>2141.85</c:v>
                </c:pt>
                <c:pt idx="1776">
                  <c:v>2131.7800000000002</c:v>
                </c:pt>
                <c:pt idx="1777">
                  <c:v>2167.9</c:v>
                </c:pt>
                <c:pt idx="1778">
                  <c:v>2194.4299999999998</c:v>
                </c:pt>
                <c:pt idx="1779">
                  <c:v>2171.5100000000002</c:v>
                </c:pt>
                <c:pt idx="1780">
                  <c:v>2102.23</c:v>
                </c:pt>
                <c:pt idx="1781">
                  <c:v>2087.0500000000002</c:v>
                </c:pt>
                <c:pt idx="1782">
                  <c:v>2104.02</c:v>
                </c:pt>
                <c:pt idx="1783">
                  <c:v>2095.21</c:v>
                </c:pt>
                <c:pt idx="1784">
                  <c:v>2107.65</c:v>
                </c:pt>
                <c:pt idx="1785">
                  <c:v>2123.06</c:v>
                </c:pt>
                <c:pt idx="1786">
                  <c:v>2152.7600000000002</c:v>
                </c:pt>
                <c:pt idx="1787">
                  <c:v>2123.94</c:v>
                </c:pt>
                <c:pt idx="1788">
                  <c:v>2125.85</c:v>
                </c:pt>
                <c:pt idx="1789">
                  <c:v>2124.12</c:v>
                </c:pt>
                <c:pt idx="1790">
                  <c:v>2141.9499999999998</c:v>
                </c:pt>
                <c:pt idx="1791">
                  <c:v>2115.13</c:v>
                </c:pt>
                <c:pt idx="1792">
                  <c:v>2132.02</c:v>
                </c:pt>
                <c:pt idx="1793">
                  <c:v>2161.5100000000002</c:v>
                </c:pt>
                <c:pt idx="1794">
                  <c:v>2176.48</c:v>
                </c:pt>
                <c:pt idx="1795">
                  <c:v>2175</c:v>
                </c:pt>
                <c:pt idx="1796">
                  <c:v>2155.81</c:v>
                </c:pt>
                <c:pt idx="1797">
                  <c:v>2097.4700000000003</c:v>
                </c:pt>
                <c:pt idx="1798">
                  <c:v>2098.64</c:v>
                </c:pt>
                <c:pt idx="1799">
                  <c:v>2091.42</c:v>
                </c:pt>
                <c:pt idx="1800">
                  <c:v>2103.42</c:v>
                </c:pt>
                <c:pt idx="1801">
                  <c:v>2057.44</c:v>
                </c:pt>
                <c:pt idx="1802">
                  <c:v>2040.17</c:v>
                </c:pt>
                <c:pt idx="1803">
                  <c:v>2008.71</c:v>
                </c:pt>
                <c:pt idx="1804">
                  <c:v>2083.36</c:v>
                </c:pt>
                <c:pt idx="1805">
                  <c:v>2065.21</c:v>
                </c:pt>
                <c:pt idx="1806">
                  <c:v>2075.88</c:v>
                </c:pt>
                <c:pt idx="1807">
                  <c:v>2032.79</c:v>
                </c:pt>
                <c:pt idx="1808">
                  <c:v>2014.88</c:v>
                </c:pt>
                <c:pt idx="1809">
                  <c:v>2100.38</c:v>
                </c:pt>
                <c:pt idx="1810">
                  <c:v>2049.4</c:v>
                </c:pt>
                <c:pt idx="1811">
                  <c:v>2098.46</c:v>
                </c:pt>
                <c:pt idx="1812">
                  <c:v>2130.62</c:v>
                </c:pt>
                <c:pt idx="1813">
                  <c:v>2135.54</c:v>
                </c:pt>
                <c:pt idx="1814">
                  <c:v>2116.9299999999998</c:v>
                </c:pt>
                <c:pt idx="1815">
                  <c:v>2093.11</c:v>
                </c:pt>
                <c:pt idx="1816">
                  <c:v>2076.56</c:v>
                </c:pt>
                <c:pt idx="1817">
                  <c:v>2088.42</c:v>
                </c:pt>
                <c:pt idx="1818">
                  <c:v>2163.38</c:v>
                </c:pt>
                <c:pt idx="1819">
                  <c:v>2159.63</c:v>
                </c:pt>
                <c:pt idx="1820">
                  <c:v>2162.46</c:v>
                </c:pt>
                <c:pt idx="1821">
                  <c:v>2164.21</c:v>
                </c:pt>
                <c:pt idx="1822">
                  <c:v>2167.61</c:v>
                </c:pt>
                <c:pt idx="1823">
                  <c:v>2157.2800000000002</c:v>
                </c:pt>
                <c:pt idx="1824">
                  <c:v>2139.9900000000002</c:v>
                </c:pt>
                <c:pt idx="1825">
                  <c:v>2149.67</c:v>
                </c:pt>
                <c:pt idx="1826">
                  <c:v>2106.0100000000002</c:v>
                </c:pt>
                <c:pt idx="1827">
                  <c:v>2098.92</c:v>
                </c:pt>
                <c:pt idx="1828">
                  <c:v>2108.59</c:v>
                </c:pt>
                <c:pt idx="1829">
                  <c:v>2156.67</c:v>
                </c:pt>
                <c:pt idx="1830">
                  <c:v>2158.08</c:v>
                </c:pt>
                <c:pt idx="1831">
                  <c:v>2197.2400000000002</c:v>
                </c:pt>
                <c:pt idx="1832">
                  <c:v>2193.87</c:v>
                </c:pt>
                <c:pt idx="1833">
                  <c:v>2174.59</c:v>
                </c:pt>
                <c:pt idx="1834">
                  <c:v>2180.91</c:v>
                </c:pt>
                <c:pt idx="1835">
                  <c:v>2194.96</c:v>
                </c:pt>
                <c:pt idx="1836">
                  <c:v>2209.25</c:v>
                </c:pt>
                <c:pt idx="1837">
                  <c:v>2207.02</c:v>
                </c:pt>
                <c:pt idx="1838">
                  <c:v>2198.5</c:v>
                </c:pt>
                <c:pt idx="1839">
                  <c:v>2190.13</c:v>
                </c:pt>
                <c:pt idx="1840">
                  <c:v>2228.09</c:v>
                </c:pt>
                <c:pt idx="1841">
                  <c:v>2235.3000000000002</c:v>
                </c:pt>
                <c:pt idx="1842">
                  <c:v>2225.37</c:v>
                </c:pt>
                <c:pt idx="1843">
                  <c:v>2242.4700000000003</c:v>
                </c:pt>
                <c:pt idx="1844">
                  <c:v>2202.77</c:v>
                </c:pt>
                <c:pt idx="1845">
                  <c:v>2210.9500000000003</c:v>
                </c:pt>
                <c:pt idx="1846">
                  <c:v>2196.54</c:v>
                </c:pt>
                <c:pt idx="1847">
                  <c:v>2220.81</c:v>
                </c:pt>
                <c:pt idx="1848">
                  <c:v>2220.46</c:v>
                </c:pt>
                <c:pt idx="1849">
                  <c:v>2229.7400000000002</c:v>
                </c:pt>
                <c:pt idx="1850">
                  <c:v>2253.7600000000002</c:v>
                </c:pt>
                <c:pt idx="1851">
                  <c:v>2256.63</c:v>
                </c:pt>
                <c:pt idx="1852">
                  <c:v>2258.7400000000002</c:v>
                </c:pt>
                <c:pt idx="1853">
                  <c:v>2237.79</c:v>
                </c:pt>
                <c:pt idx="1854">
                  <c:v>2202.02</c:v>
                </c:pt>
                <c:pt idx="1855">
                  <c:v>2208.2000000000003</c:v>
                </c:pt>
                <c:pt idx="1856">
                  <c:v>2179.0500000000002</c:v>
                </c:pt>
                <c:pt idx="1857">
                  <c:v>2193.98</c:v>
                </c:pt>
                <c:pt idx="1858">
                  <c:v>2203.1</c:v>
                </c:pt>
                <c:pt idx="1859">
                  <c:v>2215.12</c:v>
                </c:pt>
                <c:pt idx="1860">
                  <c:v>2218.5</c:v>
                </c:pt>
                <c:pt idx="1861">
                  <c:v>2195.27</c:v>
                </c:pt>
                <c:pt idx="1862">
                  <c:v>2182.65</c:v>
                </c:pt>
                <c:pt idx="1863">
                  <c:v>2183.0100000000002</c:v>
                </c:pt>
                <c:pt idx="1864">
                  <c:v>2225.7400000000002</c:v>
                </c:pt>
                <c:pt idx="1865">
                  <c:v>2157.2400000000002</c:v>
                </c:pt>
                <c:pt idx="1866">
                  <c:v>2159.0300000000002</c:v>
                </c:pt>
                <c:pt idx="1867">
                  <c:v>2153.77</c:v>
                </c:pt>
                <c:pt idx="1868">
                  <c:v>2117.84</c:v>
                </c:pt>
                <c:pt idx="1869">
                  <c:v>2124.94</c:v>
                </c:pt>
                <c:pt idx="1870">
                  <c:v>2156.96</c:v>
                </c:pt>
                <c:pt idx="1871">
                  <c:v>2157.14</c:v>
                </c:pt>
                <c:pt idx="1872">
                  <c:v>2142.5500000000002</c:v>
                </c:pt>
                <c:pt idx="1873">
                  <c:v>2121.7800000000002</c:v>
                </c:pt>
                <c:pt idx="1874">
                  <c:v>2130.3000000000002</c:v>
                </c:pt>
                <c:pt idx="1875">
                  <c:v>2090.81</c:v>
                </c:pt>
                <c:pt idx="1876">
                  <c:v>2090.94</c:v>
                </c:pt>
                <c:pt idx="1877">
                  <c:v>2085.08</c:v>
                </c:pt>
                <c:pt idx="1878">
                  <c:v>2097.36</c:v>
                </c:pt>
                <c:pt idx="1879">
                  <c:v>2036.4</c:v>
                </c:pt>
                <c:pt idx="1880">
                  <c:v>2028.89</c:v>
                </c:pt>
                <c:pt idx="1881">
                  <c:v>2031.47</c:v>
                </c:pt>
                <c:pt idx="1882">
                  <c:v>2039.66</c:v>
                </c:pt>
                <c:pt idx="1883">
                  <c:v>2002.64</c:v>
                </c:pt>
                <c:pt idx="1884">
                  <c:v>2004.8700000000001</c:v>
                </c:pt>
                <c:pt idx="1885">
                  <c:v>1988.0900000000001</c:v>
                </c:pt>
                <c:pt idx="1886">
                  <c:v>2022.8300000000002</c:v>
                </c:pt>
                <c:pt idx="1887">
                  <c:v>1976.97</c:v>
                </c:pt>
                <c:pt idx="1888">
                  <c:v>1990.78</c:v>
                </c:pt>
                <c:pt idx="1889">
                  <c:v>1968.8600000000001</c:v>
                </c:pt>
                <c:pt idx="1890">
                  <c:v>1951.08</c:v>
                </c:pt>
                <c:pt idx="1891">
                  <c:v>1929.8500000000001</c:v>
                </c:pt>
                <c:pt idx="1892">
                  <c:v>1978.47</c:v>
                </c:pt>
                <c:pt idx="1893">
                  <c:v>2002.3</c:v>
                </c:pt>
                <c:pt idx="1894">
                  <c:v>2002.88</c:v>
                </c:pt>
                <c:pt idx="1895">
                  <c:v>2001.8600000000001</c:v>
                </c:pt>
                <c:pt idx="1896">
                  <c:v>2028.91</c:v>
                </c:pt>
                <c:pt idx="1897">
                  <c:v>2037.15</c:v>
                </c:pt>
                <c:pt idx="1898">
                  <c:v>1990.0900000000001</c:v>
                </c:pt>
                <c:pt idx="1899">
                  <c:v>1998.41</c:v>
                </c:pt>
                <c:pt idx="1900">
                  <c:v>1961.23</c:v>
                </c:pt>
                <c:pt idx="1901">
                  <c:v>2007.21</c:v>
                </c:pt>
                <c:pt idx="1902">
                  <c:v>2040.81</c:v>
                </c:pt>
                <c:pt idx="1903">
                  <c:v>2014.39</c:v>
                </c:pt>
                <c:pt idx="1904">
                  <c:v>2003.16</c:v>
                </c:pt>
                <c:pt idx="1905">
                  <c:v>1985.23</c:v>
                </c:pt>
                <c:pt idx="1906">
                  <c:v>2042.44</c:v>
                </c:pt>
                <c:pt idx="1907">
                  <c:v>2050.23</c:v>
                </c:pt>
                <c:pt idx="1908">
                  <c:v>2013.66</c:v>
                </c:pt>
                <c:pt idx="1909">
                  <c:v>2061.77</c:v>
                </c:pt>
                <c:pt idx="1910">
                  <c:v>2076.59</c:v>
                </c:pt>
                <c:pt idx="1911">
                  <c:v>2051.66</c:v>
                </c:pt>
                <c:pt idx="1912">
                  <c:v>2046.3500000000001</c:v>
                </c:pt>
                <c:pt idx="1913">
                  <c:v>2057.7200000000003</c:v>
                </c:pt>
                <c:pt idx="1914">
                  <c:v>2066.36</c:v>
                </c:pt>
                <c:pt idx="1915">
                  <c:v>2035.3</c:v>
                </c:pt>
                <c:pt idx="1916">
                  <c:v>2016.52</c:v>
                </c:pt>
                <c:pt idx="1917">
                  <c:v>2029.15</c:v>
                </c:pt>
                <c:pt idx="1918">
                  <c:v>2034.3500000000001</c:v>
                </c:pt>
                <c:pt idx="1919">
                  <c:v>2057.64</c:v>
                </c:pt>
                <c:pt idx="1920">
                  <c:v>2017.27</c:v>
                </c:pt>
                <c:pt idx="1921">
                  <c:v>2024.72</c:v>
                </c:pt>
                <c:pt idx="1922">
                  <c:v>2041.24</c:v>
                </c:pt>
                <c:pt idx="1923">
                  <c:v>2071.86</c:v>
                </c:pt>
                <c:pt idx="1924">
                  <c:v>2043.53</c:v>
                </c:pt>
                <c:pt idx="1925">
                  <c:v>2035.24</c:v>
                </c:pt>
                <c:pt idx="1926">
                  <c:v>2032.13</c:v>
                </c:pt>
                <c:pt idx="1927">
                  <c:v>1971.3700000000001</c:v>
                </c:pt>
                <c:pt idx="1928">
                  <c:v>1980.18</c:v>
                </c:pt>
                <c:pt idx="1929">
                  <c:v>2021.13</c:v>
                </c:pt>
                <c:pt idx="1930">
                  <c:v>1952.14</c:v>
                </c:pt>
                <c:pt idx="1931">
                  <c:v>1964.25</c:v>
                </c:pt>
                <c:pt idx="1932">
                  <c:v>1992</c:v>
                </c:pt>
                <c:pt idx="1933">
                  <c:v>1996.25</c:v>
                </c:pt>
                <c:pt idx="1934">
                  <c:v>1902.17</c:v>
                </c:pt>
                <c:pt idx="1935">
                  <c:v>1935.49</c:v>
                </c:pt>
                <c:pt idx="1936">
                  <c:v>1844.31</c:v>
                </c:pt>
                <c:pt idx="1937">
                  <c:v>1924.8500000000001</c:v>
                </c:pt>
                <c:pt idx="1938">
                  <c:v>2002.32</c:v>
                </c:pt>
                <c:pt idx="1939">
                  <c:v>1925.8500000000001</c:v>
                </c:pt>
                <c:pt idx="1940">
                  <c:v>1895.78</c:v>
                </c:pt>
                <c:pt idx="1941">
                  <c:v>1892.05</c:v>
                </c:pt>
                <c:pt idx="1942">
                  <c:v>1929.24</c:v>
                </c:pt>
                <c:pt idx="1943">
                  <c:v>1935.79</c:v>
                </c:pt>
                <c:pt idx="1944">
                  <c:v>1765.72</c:v>
                </c:pt>
                <c:pt idx="1945">
                  <c:v>1861.44</c:v>
                </c:pt>
                <c:pt idx="1946">
                  <c:v>1853.26</c:v>
                </c:pt>
                <c:pt idx="1947">
                  <c:v>1778.9</c:v>
                </c:pt>
                <c:pt idx="1948">
                  <c:v>1754.91</c:v>
                </c:pt>
                <c:pt idx="1949">
                  <c:v>1687.33</c:v>
                </c:pt>
                <c:pt idx="1950">
                  <c:v>1590.51</c:v>
                </c:pt>
                <c:pt idx="1951">
                  <c:v>1573.3400000000001</c:v>
                </c:pt>
                <c:pt idx="1952">
                  <c:v>1453.52</c:v>
                </c:pt>
                <c:pt idx="1953">
                  <c:v>1436.56</c:v>
                </c:pt>
                <c:pt idx="1954">
                  <c:v>1602.93</c:v>
                </c:pt>
                <c:pt idx="1955">
                  <c:v>1594.41</c:v>
                </c:pt>
                <c:pt idx="1956">
                  <c:v>1450.5</c:v>
                </c:pt>
                <c:pt idx="1957">
                  <c:v>1512.21</c:v>
                </c:pt>
                <c:pt idx="1958">
                  <c:v>1502.84</c:v>
                </c:pt>
                <c:pt idx="1959">
                  <c:v>1574.5</c:v>
                </c:pt>
                <c:pt idx="1960">
                  <c:v>1526.02</c:v>
                </c:pt>
                <c:pt idx="1961">
                  <c:v>1433.22</c:v>
                </c:pt>
                <c:pt idx="1962">
                  <c:v>1451.3700000000001</c:v>
                </c:pt>
                <c:pt idx="1963">
                  <c:v>1401.29</c:v>
                </c:pt>
                <c:pt idx="1964">
                  <c:v>1356.78</c:v>
                </c:pt>
                <c:pt idx="1965">
                  <c:v>1503.16</c:v>
                </c:pt>
                <c:pt idx="1966">
                  <c:v>1486.73</c:v>
                </c:pt>
                <c:pt idx="1967">
                  <c:v>1525.3700000000001</c:v>
                </c:pt>
                <c:pt idx="1968">
                  <c:v>1548.81</c:v>
                </c:pt>
                <c:pt idx="1969">
                  <c:v>1544.91</c:v>
                </c:pt>
                <c:pt idx="1970">
                  <c:v>1608</c:v>
                </c:pt>
                <c:pt idx="1971">
                  <c:v>1524.21</c:v>
                </c:pt>
                <c:pt idx="1972">
                  <c:v>1448.01</c:v>
                </c:pt>
                <c:pt idx="1973">
                  <c:v>1490.31</c:v>
                </c:pt>
                <c:pt idx="1974">
                  <c:v>1471.64</c:v>
                </c:pt>
                <c:pt idx="1975">
                  <c:v>1439.22</c:v>
                </c:pt>
                <c:pt idx="1976">
                  <c:v>1365.15</c:v>
                </c:pt>
                <c:pt idx="1977">
                  <c:v>1459.82</c:v>
                </c:pt>
                <c:pt idx="1978">
                  <c:v>1399.2</c:v>
                </c:pt>
                <c:pt idx="1979">
                  <c:v>1363.14</c:v>
                </c:pt>
                <c:pt idx="1980">
                  <c:v>1376.81</c:v>
                </c:pt>
                <c:pt idx="1981">
                  <c:v>1292.76</c:v>
                </c:pt>
                <c:pt idx="1982">
                  <c:v>1206.04</c:v>
                </c:pt>
                <c:pt idx="1983">
                  <c:v>1282.5899999999999</c:v>
                </c:pt>
                <c:pt idx="1984">
                  <c:v>1365.63</c:v>
                </c:pt>
                <c:pt idx="1985">
                  <c:v>1374.79</c:v>
                </c:pt>
                <c:pt idx="1986">
                  <c:v>1423.9</c:v>
                </c:pt>
                <c:pt idx="1987">
                  <c:v>1437.68</c:v>
                </c:pt>
                <c:pt idx="1988">
                  <c:v>1309.3900000000001</c:v>
                </c:pt>
                <c:pt idx="1989">
                  <c:v>1361.79</c:v>
                </c:pt>
                <c:pt idx="1990">
                  <c:v>1397.72</c:v>
                </c:pt>
                <c:pt idx="1991">
                  <c:v>1356.81</c:v>
                </c:pt>
                <c:pt idx="1992">
                  <c:v>1406.3600000000001</c:v>
                </c:pt>
                <c:pt idx="1993">
                  <c:v>1460.6000000000001</c:v>
                </c:pt>
                <c:pt idx="1994">
                  <c:v>1426.88</c:v>
                </c:pt>
                <c:pt idx="1995">
                  <c:v>1444</c:v>
                </c:pt>
                <c:pt idx="1996">
                  <c:v>1403.2</c:v>
                </c:pt>
                <c:pt idx="1997">
                  <c:v>1413.07</c:v>
                </c:pt>
                <c:pt idx="1998">
                  <c:v>1395.21</c:v>
                </c:pt>
                <c:pt idx="1999">
                  <c:v>1466.8700000000001</c:v>
                </c:pt>
                <c:pt idx="2000">
                  <c:v>1452.88</c:v>
                </c:pt>
                <c:pt idx="2001">
                  <c:v>1422.19</c:v>
                </c:pt>
                <c:pt idx="2002">
                  <c:v>1426.39</c:v>
                </c:pt>
                <c:pt idx="2003">
                  <c:v>1400.42</c:v>
                </c:pt>
                <c:pt idx="2004">
                  <c:v>1387.08</c:v>
                </c:pt>
                <c:pt idx="2005">
                  <c:v>1395.75</c:v>
                </c:pt>
                <c:pt idx="2006">
                  <c:v>1403.22</c:v>
                </c:pt>
                <c:pt idx="2007">
                  <c:v>1398.25</c:v>
                </c:pt>
                <c:pt idx="2008">
                  <c:v>1432.65</c:v>
                </c:pt>
                <c:pt idx="2009">
                  <c:v>1452.98</c:v>
                </c:pt>
                <c:pt idx="2010">
                  <c:v>1499.17</c:v>
                </c:pt>
                <c:pt idx="2011">
                  <c:v>1492.21</c:v>
                </c:pt>
                <c:pt idx="2012">
                  <c:v>1503.8700000000001</c:v>
                </c:pt>
                <c:pt idx="2013">
                  <c:v>1459.58</c:v>
                </c:pt>
                <c:pt idx="2014">
                  <c:v>1464.6000000000001</c:v>
                </c:pt>
                <c:pt idx="2015">
                  <c:v>1433.41</c:v>
                </c:pt>
                <c:pt idx="2016">
                  <c:v>1401.07</c:v>
                </c:pt>
                <c:pt idx="2017">
                  <c:v>1403.63</c:v>
                </c:pt>
                <c:pt idx="2018">
                  <c:v>1356.79</c:v>
                </c:pt>
                <c:pt idx="2019">
                  <c:v>1358.64</c:v>
                </c:pt>
                <c:pt idx="2020">
                  <c:v>1368.92</c:v>
                </c:pt>
                <c:pt idx="2021">
                  <c:v>1296.6300000000001</c:v>
                </c:pt>
                <c:pt idx="2022">
                  <c:v>1353.33</c:v>
                </c:pt>
                <c:pt idx="2023">
                  <c:v>1332.84</c:v>
                </c:pt>
                <c:pt idx="2024">
                  <c:v>1340.02</c:v>
                </c:pt>
                <c:pt idx="2025">
                  <c:v>1347.47</c:v>
                </c:pt>
                <c:pt idx="2026">
                  <c:v>1362.18</c:v>
                </c:pt>
                <c:pt idx="2027">
                  <c:v>1408.07</c:v>
                </c:pt>
                <c:pt idx="2028">
                  <c:v>1361.54</c:v>
                </c:pt>
                <c:pt idx="2029">
                  <c:v>1330.51</c:v>
                </c:pt>
                <c:pt idx="2030">
                  <c:v>1329.81</c:v>
                </c:pt>
                <c:pt idx="2031">
                  <c:v>1350.88</c:v>
                </c:pt>
                <c:pt idx="2032">
                  <c:v>1341.77</c:v>
                </c:pt>
                <c:pt idx="2033">
                  <c:v>1363.82</c:v>
                </c:pt>
                <c:pt idx="2034">
                  <c:v>1401.06</c:v>
                </c:pt>
                <c:pt idx="2035">
                  <c:v>1403.19</c:v>
                </c:pt>
                <c:pt idx="2036">
                  <c:v>1334.3</c:v>
                </c:pt>
                <c:pt idx="2037">
                  <c:v>1345.5</c:v>
                </c:pt>
                <c:pt idx="2038">
                  <c:v>1348.15</c:v>
                </c:pt>
                <c:pt idx="2039">
                  <c:v>1334.83</c:v>
                </c:pt>
                <c:pt idx="2040">
                  <c:v>1274.26</c:v>
                </c:pt>
                <c:pt idx="2041">
                  <c:v>1273.29</c:v>
                </c:pt>
                <c:pt idx="2042">
                  <c:v>1258.82</c:v>
                </c:pt>
                <c:pt idx="2043">
                  <c:v>1244.72</c:v>
                </c:pt>
                <c:pt idx="2044">
                  <c:v>1201.56</c:v>
                </c:pt>
                <c:pt idx="2045">
                  <c:v>1249.76</c:v>
                </c:pt>
                <c:pt idx="2046">
                  <c:v>1236.74</c:v>
                </c:pt>
                <c:pt idx="2047">
                  <c:v>1217.49</c:v>
                </c:pt>
                <c:pt idx="2048">
                  <c:v>1188.8399999999999</c:v>
                </c:pt>
                <c:pt idx="2049">
                  <c:v>1133.43</c:v>
                </c:pt>
                <c:pt idx="2050">
                  <c:v>1126.18</c:v>
                </c:pt>
                <c:pt idx="2051">
                  <c:v>1153.3500000000001</c:v>
                </c:pt>
                <c:pt idx="2052">
                  <c:v>1104.3800000000001</c:v>
                </c:pt>
                <c:pt idx="2053">
                  <c:v>1106</c:v>
                </c:pt>
                <c:pt idx="2054">
                  <c:v>1095.04</c:v>
                </c:pt>
                <c:pt idx="2055">
                  <c:v>1164.83</c:v>
                </c:pt>
                <c:pt idx="2056">
                  <c:v>1168.07</c:v>
                </c:pt>
                <c:pt idx="2057">
                  <c:v>1215.8700000000001</c:v>
                </c:pt>
                <c:pt idx="2058">
                  <c:v>1225.32</c:v>
                </c:pt>
                <c:pt idx="2059">
                  <c:v>1221.03</c:v>
                </c:pt>
                <c:pt idx="2060">
                  <c:v>1260.29</c:v>
                </c:pt>
                <c:pt idx="2061">
                  <c:v>1286.6200000000001</c:v>
                </c:pt>
                <c:pt idx="2062">
                  <c:v>1269.92</c:v>
                </c:pt>
                <c:pt idx="2063">
                  <c:v>1244.8500000000001</c:v>
                </c:pt>
                <c:pt idx="2064">
                  <c:v>1333.21</c:v>
                </c:pt>
                <c:pt idx="2065">
                  <c:v>1306.03</c:v>
                </c:pt>
                <c:pt idx="2066">
                  <c:v>1318.6100000000001</c:v>
                </c:pt>
                <c:pt idx="2067">
                  <c:v>1349.3700000000001</c:v>
                </c:pt>
                <c:pt idx="2068">
                  <c:v>1322.19</c:v>
                </c:pt>
                <c:pt idx="2069">
                  <c:v>1276.22</c:v>
                </c:pt>
                <c:pt idx="2070">
                  <c:v>1292.98</c:v>
                </c:pt>
                <c:pt idx="2071">
                  <c:v>1314.63</c:v>
                </c:pt>
                <c:pt idx="2072">
                  <c:v>1352.47</c:v>
                </c:pt>
                <c:pt idx="2073">
                  <c:v>1365.66</c:v>
                </c:pt>
                <c:pt idx="2074">
                  <c:v>1354.3600000000001</c:v>
                </c:pt>
                <c:pt idx="2075">
                  <c:v>1322.91</c:v>
                </c:pt>
                <c:pt idx="2076">
                  <c:v>1338.53</c:v>
                </c:pt>
                <c:pt idx="2077">
                  <c:v>1389.49</c:v>
                </c:pt>
                <c:pt idx="2078">
                  <c:v>1393.13</c:v>
                </c:pt>
                <c:pt idx="2079">
                  <c:v>1365.2</c:v>
                </c:pt>
                <c:pt idx="2080">
                  <c:v>1382.3600000000001</c:v>
                </c:pt>
                <c:pt idx="2081">
                  <c:v>1403.89</c:v>
                </c:pt>
                <c:pt idx="2082">
                  <c:v>1410.8500000000001</c:v>
                </c:pt>
                <c:pt idx="2083">
                  <c:v>1350.52</c:v>
                </c:pt>
                <c:pt idx="2084">
                  <c:v>1379.22</c:v>
                </c:pt>
                <c:pt idx="2085">
                  <c:v>1368.92</c:v>
                </c:pt>
                <c:pt idx="2086">
                  <c:v>1382.52</c:v>
                </c:pt>
                <c:pt idx="2087">
                  <c:v>1405.74</c:v>
                </c:pt>
                <c:pt idx="2088">
                  <c:v>1391.58</c:v>
                </c:pt>
                <c:pt idx="2089">
                  <c:v>1387.82</c:v>
                </c:pt>
                <c:pt idx="2090">
                  <c:v>1417.99</c:v>
                </c:pt>
                <c:pt idx="2091">
                  <c:v>1416.73</c:v>
                </c:pt>
                <c:pt idx="2092">
                  <c:v>1424.41</c:v>
                </c:pt>
                <c:pt idx="2093">
                  <c:v>1472.64</c:v>
                </c:pt>
                <c:pt idx="2094">
                  <c:v>1467.25</c:v>
                </c:pt>
                <c:pt idx="2095">
                  <c:v>1493.31</c:v>
                </c:pt>
                <c:pt idx="2096">
                  <c:v>1473.66</c:v>
                </c:pt>
                <c:pt idx="2097">
                  <c:v>1509.14</c:v>
                </c:pt>
                <c:pt idx="2098">
                  <c:v>1477.2</c:v>
                </c:pt>
                <c:pt idx="2099">
                  <c:v>1475.83</c:v>
                </c:pt>
                <c:pt idx="2100">
                  <c:v>1436.74</c:v>
                </c:pt>
                <c:pt idx="2101">
                  <c:v>1451.79</c:v>
                </c:pt>
                <c:pt idx="2102">
                  <c:v>1435.48</c:v>
                </c:pt>
                <c:pt idx="2103">
                  <c:v>1479.24</c:v>
                </c:pt>
                <c:pt idx="2104">
                  <c:v>1476.94</c:v>
                </c:pt>
                <c:pt idx="2105">
                  <c:v>1469.47</c:v>
                </c:pt>
                <c:pt idx="2106">
                  <c:v>1445.28</c:v>
                </c:pt>
                <c:pt idx="2107">
                  <c:v>1443.14</c:v>
                </c:pt>
                <c:pt idx="2108">
                  <c:v>1481.1000000000001</c:v>
                </c:pt>
                <c:pt idx="2109">
                  <c:v>1453.28</c:v>
                </c:pt>
                <c:pt idx="2110">
                  <c:v>1475.94</c:v>
                </c:pt>
                <c:pt idx="2111">
                  <c:v>1495.97</c:v>
                </c:pt>
                <c:pt idx="2112">
                  <c:v>1534.65</c:v>
                </c:pt>
                <c:pt idx="2113">
                  <c:v>1537.69</c:v>
                </c:pt>
                <c:pt idx="2114">
                  <c:v>1516.88</c:v>
                </c:pt>
                <c:pt idx="2115">
                  <c:v>1534.5900000000001</c:v>
                </c:pt>
                <c:pt idx="2116">
                  <c:v>1530.82</c:v>
                </c:pt>
                <c:pt idx="2117">
                  <c:v>1529.5900000000001</c:v>
                </c:pt>
                <c:pt idx="2118">
                  <c:v>1535.03</c:v>
                </c:pt>
                <c:pt idx="2119">
                  <c:v>1529.76</c:v>
                </c:pt>
                <c:pt idx="2120">
                  <c:v>1539.5</c:v>
                </c:pt>
                <c:pt idx="2121">
                  <c:v>1541.7</c:v>
                </c:pt>
                <c:pt idx="2122">
                  <c:v>1505.06</c:v>
                </c:pt>
                <c:pt idx="2123">
                  <c:v>1485.92</c:v>
                </c:pt>
                <c:pt idx="2124">
                  <c:v>1483.9</c:v>
                </c:pt>
                <c:pt idx="2125">
                  <c:v>1496.59</c:v>
                </c:pt>
                <c:pt idx="2126">
                  <c:v>1501.25</c:v>
                </c:pt>
                <c:pt idx="2127">
                  <c:v>1455.54</c:v>
                </c:pt>
                <c:pt idx="2128">
                  <c:v>1458.92</c:v>
                </c:pt>
                <c:pt idx="2129">
                  <c:v>1468.48</c:v>
                </c:pt>
                <c:pt idx="2130">
                  <c:v>1499.98</c:v>
                </c:pt>
                <c:pt idx="2131">
                  <c:v>1498.08</c:v>
                </c:pt>
                <c:pt idx="2132">
                  <c:v>1511.7</c:v>
                </c:pt>
                <c:pt idx="2133">
                  <c:v>1498.94</c:v>
                </c:pt>
                <c:pt idx="2134">
                  <c:v>1505.64</c:v>
                </c:pt>
                <c:pt idx="2135">
                  <c:v>1461.8</c:v>
                </c:pt>
                <c:pt idx="2136">
                  <c:v>1465.58</c:v>
                </c:pt>
                <c:pt idx="2137">
                  <c:v>1436.74</c:v>
                </c:pt>
                <c:pt idx="2138">
                  <c:v>1435.2</c:v>
                </c:pt>
                <c:pt idx="2139">
                  <c:v>1440.3</c:v>
                </c:pt>
                <c:pt idx="2140">
                  <c:v>1434.5</c:v>
                </c:pt>
                <c:pt idx="2141">
                  <c:v>1470.43</c:v>
                </c:pt>
                <c:pt idx="2142">
                  <c:v>1478.24</c:v>
                </c:pt>
                <c:pt idx="2143">
                  <c:v>1522.09</c:v>
                </c:pt>
                <c:pt idx="2144">
                  <c:v>1535.3</c:v>
                </c:pt>
                <c:pt idx="2145">
                  <c:v>1534.7</c:v>
                </c:pt>
                <c:pt idx="2146">
                  <c:v>1552.26</c:v>
                </c:pt>
                <c:pt idx="2147">
                  <c:v>1557.91</c:v>
                </c:pt>
                <c:pt idx="2148">
                  <c:v>1557.3700000000001</c:v>
                </c:pt>
                <c:pt idx="2149">
                  <c:v>1593.65</c:v>
                </c:pt>
                <c:pt idx="2150">
                  <c:v>1598.5</c:v>
                </c:pt>
                <c:pt idx="2151">
                  <c:v>1603.26</c:v>
                </c:pt>
                <c:pt idx="2152">
                  <c:v>1599.0900000000001</c:v>
                </c:pt>
                <c:pt idx="2153">
                  <c:v>1592</c:v>
                </c:pt>
                <c:pt idx="2154">
                  <c:v>1611.14</c:v>
                </c:pt>
                <c:pt idx="2155">
                  <c:v>1612.31</c:v>
                </c:pt>
                <c:pt idx="2156">
                  <c:v>1637.06</c:v>
                </c:pt>
                <c:pt idx="2157">
                  <c:v>1642.03</c:v>
                </c:pt>
                <c:pt idx="2158">
                  <c:v>1637.81</c:v>
                </c:pt>
                <c:pt idx="2159">
                  <c:v>1628.82</c:v>
                </c:pt>
                <c:pt idx="2160">
                  <c:v>1650.73</c:v>
                </c:pt>
                <c:pt idx="2161">
                  <c:v>1645.26</c:v>
                </c:pt>
                <c:pt idx="2162">
                  <c:v>1624.91</c:v>
                </c:pt>
                <c:pt idx="2163">
                  <c:v>1644.23</c:v>
                </c:pt>
                <c:pt idx="2164">
                  <c:v>1655.66</c:v>
                </c:pt>
                <c:pt idx="2165">
                  <c:v>1641.54</c:v>
                </c:pt>
                <c:pt idx="2166">
                  <c:v>1602.06</c:v>
                </c:pt>
                <c:pt idx="2167">
                  <c:v>1618.6000000000001</c:v>
                </c:pt>
                <c:pt idx="2168">
                  <c:v>1629.92</c:v>
                </c:pt>
                <c:pt idx="2169">
                  <c:v>1647.8500000000001</c:v>
                </c:pt>
                <c:pt idx="2170">
                  <c:v>1678.8400000000001</c:v>
                </c:pt>
                <c:pt idx="2171">
                  <c:v>1677.94</c:v>
                </c:pt>
                <c:pt idx="2172">
                  <c:v>1681.92</c:v>
                </c:pt>
                <c:pt idx="2173">
                  <c:v>1682.29</c:v>
                </c:pt>
                <c:pt idx="2174">
                  <c:v>1687.16</c:v>
                </c:pt>
                <c:pt idx="2175">
                  <c:v>1684.05</c:v>
                </c:pt>
                <c:pt idx="2176">
                  <c:v>1670.52</c:v>
                </c:pt>
                <c:pt idx="2177">
                  <c:v>1633.63</c:v>
                </c:pt>
                <c:pt idx="2178">
                  <c:v>1628.66</c:v>
                </c:pt>
                <c:pt idx="2179">
                  <c:v>1642.68</c:v>
                </c:pt>
                <c:pt idx="2180">
                  <c:v>1664.3400000000001</c:v>
                </c:pt>
                <c:pt idx="2181">
                  <c:v>1679.32</c:v>
                </c:pt>
                <c:pt idx="2182">
                  <c:v>1692.48</c:v>
                </c:pt>
                <c:pt idx="2183">
                  <c:v>1710.14</c:v>
                </c:pt>
                <c:pt idx="2184">
                  <c:v>1708.19</c:v>
                </c:pt>
                <c:pt idx="2185">
                  <c:v>1719.04</c:v>
                </c:pt>
                <c:pt idx="2186">
                  <c:v>1724.45</c:v>
                </c:pt>
                <c:pt idx="2187">
                  <c:v>1750.91</c:v>
                </c:pt>
                <c:pt idx="2188">
                  <c:v>1745.8</c:v>
                </c:pt>
                <c:pt idx="2189">
                  <c:v>1750.43</c:v>
                </c:pt>
                <c:pt idx="2190">
                  <c:v>1744.47</c:v>
                </c:pt>
                <c:pt idx="2191">
                  <c:v>1755.99</c:v>
                </c:pt>
                <c:pt idx="2192">
                  <c:v>1738.32</c:v>
                </c:pt>
                <c:pt idx="2193">
                  <c:v>1722.02</c:v>
                </c:pt>
                <c:pt idx="2194">
                  <c:v>1711.53</c:v>
                </c:pt>
                <c:pt idx="2195">
                  <c:v>1742.32</c:v>
                </c:pt>
                <c:pt idx="2196">
                  <c:v>1738.48</c:v>
                </c:pt>
                <c:pt idx="2197">
                  <c:v>1732.8600000000001</c:v>
                </c:pt>
                <c:pt idx="2198">
                  <c:v>1688.24</c:v>
                </c:pt>
                <c:pt idx="2199">
                  <c:v>1680.7</c:v>
                </c:pt>
                <c:pt idx="2200">
                  <c:v>1705.73</c:v>
                </c:pt>
                <c:pt idx="2201">
                  <c:v>1729.14</c:v>
                </c:pt>
                <c:pt idx="2202">
                  <c:v>1734.74</c:v>
                </c:pt>
                <c:pt idx="2203">
                  <c:v>1747.7</c:v>
                </c:pt>
                <c:pt idx="2204">
                  <c:v>1757.6000000000001</c:v>
                </c:pt>
                <c:pt idx="2205">
                  <c:v>1765.31</c:v>
                </c:pt>
                <c:pt idx="2206">
                  <c:v>1760.51</c:v>
                </c:pt>
                <c:pt idx="2207">
                  <c:v>1791.47</c:v>
                </c:pt>
                <c:pt idx="2208">
                  <c:v>1798.91</c:v>
                </c:pt>
                <c:pt idx="2209">
                  <c:v>1784.3500000000001</c:v>
                </c:pt>
                <c:pt idx="2210">
                  <c:v>1801.1200000000001</c:v>
                </c:pt>
                <c:pt idx="2211">
                  <c:v>1789.93</c:v>
                </c:pt>
                <c:pt idx="2212">
                  <c:v>1774.33</c:v>
                </c:pt>
                <c:pt idx="2213">
                  <c:v>1793.3400000000001</c:v>
                </c:pt>
                <c:pt idx="2214">
                  <c:v>1771.5</c:v>
                </c:pt>
                <c:pt idx="2215">
                  <c:v>1750.75</c:v>
                </c:pt>
                <c:pt idx="2216">
                  <c:v>1744.95</c:v>
                </c:pt>
                <c:pt idx="2217">
                  <c:v>1711.0900000000001</c:v>
                </c:pt>
                <c:pt idx="2218">
                  <c:v>1749.76</c:v>
                </c:pt>
                <c:pt idx="2219">
                  <c:v>1700.67</c:v>
                </c:pt>
                <c:pt idx="2220">
                  <c:v>1711.65</c:v>
                </c:pt>
                <c:pt idx="2221">
                  <c:v>1715.81</c:v>
                </c:pt>
                <c:pt idx="2222">
                  <c:v>1718.21</c:v>
                </c:pt>
                <c:pt idx="2223">
                  <c:v>1751.45</c:v>
                </c:pt>
                <c:pt idx="2224">
                  <c:v>1756.07</c:v>
                </c:pt>
                <c:pt idx="2225">
                  <c:v>1795.56</c:v>
                </c:pt>
                <c:pt idx="2226">
                  <c:v>1795.9</c:v>
                </c:pt>
                <c:pt idx="2227">
                  <c:v>1804.93</c:v>
                </c:pt>
                <c:pt idx="2228">
                  <c:v>1786.66</c:v>
                </c:pt>
                <c:pt idx="2229">
                  <c:v>1796.93</c:v>
                </c:pt>
                <c:pt idx="2230">
                  <c:v>1823.29</c:v>
                </c:pt>
                <c:pt idx="2231">
                  <c:v>1825.18</c:v>
                </c:pt>
                <c:pt idx="2232">
                  <c:v>1824.6100000000001</c:v>
                </c:pt>
                <c:pt idx="2233">
                  <c:v>1800.1200000000001</c:v>
                </c:pt>
                <c:pt idx="2234">
                  <c:v>1794.65</c:v>
                </c:pt>
                <c:pt idx="2235">
                  <c:v>1819.17</c:v>
                </c:pt>
                <c:pt idx="2236">
                  <c:v>1818.31</c:v>
                </c:pt>
                <c:pt idx="2237">
                  <c:v>1826.74</c:v>
                </c:pt>
                <c:pt idx="2238">
                  <c:v>1795.7</c:v>
                </c:pt>
                <c:pt idx="2239">
                  <c:v>1802.68</c:v>
                </c:pt>
                <c:pt idx="2240">
                  <c:v>1824.54</c:v>
                </c:pt>
                <c:pt idx="2241">
                  <c:v>1825.4</c:v>
                </c:pt>
                <c:pt idx="2242">
                  <c:v>1810.13</c:v>
                </c:pt>
                <c:pt idx="2243">
                  <c:v>1820.1100000000001</c:v>
                </c:pt>
                <c:pt idx="2244">
                  <c:v>1815.7</c:v>
                </c:pt>
                <c:pt idx="2245">
                  <c:v>1797.31</c:v>
                </c:pt>
                <c:pt idx="2246">
                  <c:v>1804.1000000000001</c:v>
                </c:pt>
                <c:pt idx="2247">
                  <c:v>1814.81</c:v>
                </c:pt>
                <c:pt idx="2248">
                  <c:v>1821.8</c:v>
                </c:pt>
                <c:pt idx="2249">
                  <c:v>1834.55</c:v>
                </c:pt>
                <c:pt idx="2250">
                  <c:v>1824.3700000000001</c:v>
                </c:pt>
                <c:pt idx="2251">
                  <c:v>1826.45</c:v>
                </c:pt>
                <c:pt idx="2252">
                  <c:v>1804.96</c:v>
                </c:pt>
                <c:pt idx="2253">
                  <c:v>1815.5</c:v>
                </c:pt>
                <c:pt idx="2254">
                  <c:v>1834.5900000000001</c:v>
                </c:pt>
                <c:pt idx="2255">
                  <c:v>1841.17</c:v>
                </c:pt>
                <c:pt idx="2256">
                  <c:v>1845.8</c:v>
                </c:pt>
                <c:pt idx="2257">
                  <c:v>1855.5</c:v>
                </c:pt>
                <c:pt idx="2258">
                  <c:v>1857.89</c:v>
                </c:pt>
                <c:pt idx="2259">
                  <c:v>1855.6100000000001</c:v>
                </c:pt>
                <c:pt idx="2260">
                  <c:v>1856.14</c:v>
                </c:pt>
                <c:pt idx="2261">
                  <c:v>1837.5</c:v>
                </c:pt>
                <c:pt idx="2262">
                  <c:v>1867.06</c:v>
                </c:pt>
                <c:pt idx="2263">
                  <c:v>1872.9</c:v>
                </c:pt>
                <c:pt idx="2264">
                  <c:v>1874.73</c:v>
                </c:pt>
                <c:pt idx="2265">
                  <c:v>1882.3400000000001</c:v>
                </c:pt>
                <c:pt idx="2266">
                  <c:v>1887.77</c:v>
                </c:pt>
                <c:pt idx="2267">
                  <c:v>1891.06</c:v>
                </c:pt>
                <c:pt idx="2268">
                  <c:v>1873.32</c:v>
                </c:pt>
                <c:pt idx="2269">
                  <c:v>1889.1000000000001</c:v>
                </c:pt>
                <c:pt idx="2270">
                  <c:v>1893.72</c:v>
                </c:pt>
                <c:pt idx="2271">
                  <c:v>1873.3</c:v>
                </c:pt>
                <c:pt idx="2272">
                  <c:v>1896.72</c:v>
                </c:pt>
                <c:pt idx="2273">
                  <c:v>1876.9</c:v>
                </c:pt>
                <c:pt idx="2274">
                  <c:v>1841.39</c:v>
                </c:pt>
                <c:pt idx="2275">
                  <c:v>1800.6100000000001</c:v>
                </c:pt>
                <c:pt idx="2276">
                  <c:v>1808.93</c:v>
                </c:pt>
                <c:pt idx="2277">
                  <c:v>1801.3400000000001</c:v>
                </c:pt>
                <c:pt idx="2278">
                  <c:v>1810.21</c:v>
                </c:pt>
                <c:pt idx="2279">
                  <c:v>1788.97</c:v>
                </c:pt>
                <c:pt idx="2280">
                  <c:v>1771.4</c:v>
                </c:pt>
                <c:pt idx="2281">
                  <c:v>1796.67</c:v>
                </c:pt>
                <c:pt idx="2282">
                  <c:v>1819.99</c:v>
                </c:pt>
                <c:pt idx="2283">
                  <c:v>1810.64</c:v>
                </c:pt>
                <c:pt idx="2284">
                  <c:v>1754.3</c:v>
                </c:pt>
                <c:pt idx="2285">
                  <c:v>1759.38</c:v>
                </c:pt>
                <c:pt idx="2286">
                  <c:v>1744.3700000000001</c:v>
                </c:pt>
                <c:pt idx="2287">
                  <c:v>1767.18</c:v>
                </c:pt>
                <c:pt idx="2288">
                  <c:v>1763.69</c:v>
                </c:pt>
                <c:pt idx="2289">
                  <c:v>1781.01</c:v>
                </c:pt>
                <c:pt idx="2290">
                  <c:v>1776.5</c:v>
                </c:pt>
                <c:pt idx="2291">
                  <c:v>1808.72</c:v>
                </c:pt>
                <c:pt idx="2292">
                  <c:v>1816.7</c:v>
                </c:pt>
                <c:pt idx="2293">
                  <c:v>1828.81</c:v>
                </c:pt>
                <c:pt idx="2294">
                  <c:v>1833.0900000000001</c:v>
                </c:pt>
                <c:pt idx="2295">
                  <c:v>1831.21</c:v>
                </c:pt>
                <c:pt idx="2296">
                  <c:v>1809.05</c:v>
                </c:pt>
                <c:pt idx="2297">
                  <c:v>1826.98</c:v>
                </c:pt>
                <c:pt idx="2298">
                  <c:v>1823.64</c:v>
                </c:pt>
                <c:pt idx="2299">
                  <c:v>1826.27</c:v>
                </c:pt>
                <c:pt idx="2300">
                  <c:v>1844.8700000000001</c:v>
                </c:pt>
                <c:pt idx="2301">
                  <c:v>1849.17</c:v>
                </c:pt>
                <c:pt idx="2302">
                  <c:v>1850.24</c:v>
                </c:pt>
                <c:pt idx="2303">
                  <c:v>1857.2</c:v>
                </c:pt>
                <c:pt idx="2304">
                  <c:v>1883.28</c:v>
                </c:pt>
                <c:pt idx="2305">
                  <c:v>1883.29</c:v>
                </c:pt>
                <c:pt idx="2306">
                  <c:v>1886.6000000000001</c:v>
                </c:pt>
                <c:pt idx="2307">
                  <c:v>1895.38</c:v>
                </c:pt>
                <c:pt idx="2308">
                  <c:v>1903.68</c:v>
                </c:pt>
                <c:pt idx="2309">
                  <c:v>1903.29</c:v>
                </c:pt>
                <c:pt idx="2310">
                  <c:v>1904.19</c:v>
                </c:pt>
                <c:pt idx="2311">
                  <c:v>1919.02</c:v>
                </c:pt>
                <c:pt idx="2312">
                  <c:v>1930.22</c:v>
                </c:pt>
                <c:pt idx="2313">
                  <c:v>1929.63</c:v>
                </c:pt>
                <c:pt idx="2314">
                  <c:v>1919.8</c:v>
                </c:pt>
                <c:pt idx="2315">
                  <c:v>1929.64</c:v>
                </c:pt>
                <c:pt idx="2316">
                  <c:v>1943.7</c:v>
                </c:pt>
                <c:pt idx="2317">
                  <c:v>1933.04</c:v>
                </c:pt>
                <c:pt idx="2318">
                  <c:v>1929.75</c:v>
                </c:pt>
                <c:pt idx="2319">
                  <c:v>1931.18</c:v>
                </c:pt>
                <c:pt idx="2320">
                  <c:v>1942.51</c:v>
                </c:pt>
                <c:pt idx="2321">
                  <c:v>1942.81</c:v>
                </c:pt>
                <c:pt idx="2322">
                  <c:v>1936.48</c:v>
                </c:pt>
                <c:pt idx="2323">
                  <c:v>1950.91</c:v>
                </c:pt>
                <c:pt idx="2324">
                  <c:v>1966.44</c:v>
                </c:pt>
                <c:pt idx="2325">
                  <c:v>1969.76</c:v>
                </c:pt>
                <c:pt idx="2326">
                  <c:v>1959.04</c:v>
                </c:pt>
                <c:pt idx="2327">
                  <c:v>1965.72</c:v>
                </c:pt>
                <c:pt idx="2328">
                  <c:v>1978.8600000000001</c:v>
                </c:pt>
                <c:pt idx="2329">
                  <c:v>1982.4</c:v>
                </c:pt>
                <c:pt idx="2330">
                  <c:v>1983.91</c:v>
                </c:pt>
                <c:pt idx="2331">
                  <c:v>2006.06</c:v>
                </c:pt>
                <c:pt idx="2332">
                  <c:v>2007.74</c:v>
                </c:pt>
                <c:pt idx="2333">
                  <c:v>1975.3600000000001</c:v>
                </c:pt>
                <c:pt idx="2334">
                  <c:v>1984.32</c:v>
                </c:pt>
                <c:pt idx="2335">
                  <c:v>2000.3300000000002</c:v>
                </c:pt>
                <c:pt idx="2336">
                  <c:v>1998.31</c:v>
                </c:pt>
                <c:pt idx="2337">
                  <c:v>2002.93</c:v>
                </c:pt>
                <c:pt idx="2338">
                  <c:v>2017.19</c:v>
                </c:pt>
                <c:pt idx="2339">
                  <c:v>2008.55</c:v>
                </c:pt>
                <c:pt idx="2340">
                  <c:v>1961.6000000000001</c:v>
                </c:pt>
                <c:pt idx="2341">
                  <c:v>1974.63</c:v>
                </c:pt>
                <c:pt idx="2342">
                  <c:v>2000.3400000000001</c:v>
                </c:pt>
                <c:pt idx="2343">
                  <c:v>1967.05</c:v>
                </c:pt>
                <c:pt idx="2344">
                  <c:v>1992.8700000000001</c:v>
                </c:pt>
                <c:pt idx="2345">
                  <c:v>1945.3700000000001</c:v>
                </c:pt>
                <c:pt idx="2346">
                  <c:v>1933.25</c:v>
                </c:pt>
                <c:pt idx="2347">
                  <c:v>1870.95</c:v>
                </c:pt>
                <c:pt idx="2348">
                  <c:v>1842.32</c:v>
                </c:pt>
                <c:pt idx="2349">
                  <c:v>1923.39</c:v>
                </c:pt>
                <c:pt idx="2350">
                  <c:v>1917.25</c:v>
                </c:pt>
                <c:pt idx="2351">
                  <c:v>1944.25</c:v>
                </c:pt>
                <c:pt idx="2352">
                  <c:v>1920.76</c:v>
                </c:pt>
                <c:pt idx="2353">
                  <c:v>1884.67</c:v>
                </c:pt>
                <c:pt idx="2354">
                  <c:v>1887.1100000000001</c:v>
                </c:pt>
                <c:pt idx="2355">
                  <c:v>1860.65</c:v>
                </c:pt>
                <c:pt idx="2356">
                  <c:v>1851.28</c:v>
                </c:pt>
                <c:pt idx="2357">
                  <c:v>1779.3</c:v>
                </c:pt>
                <c:pt idx="2358">
                  <c:v>1806.04</c:v>
                </c:pt>
                <c:pt idx="2359">
                  <c:v>1782.76</c:v>
                </c:pt>
                <c:pt idx="2360">
                  <c:v>1783.39</c:v>
                </c:pt>
                <c:pt idx="2361">
                  <c:v>1773.64</c:v>
                </c:pt>
                <c:pt idx="2362">
                  <c:v>1832.6000000000001</c:v>
                </c:pt>
                <c:pt idx="2363">
                  <c:v>1809.97</c:v>
                </c:pt>
                <c:pt idx="2364">
                  <c:v>1778.99</c:v>
                </c:pt>
                <c:pt idx="2365">
                  <c:v>1825.25</c:v>
                </c:pt>
                <c:pt idx="2366">
                  <c:v>1832.72</c:v>
                </c:pt>
                <c:pt idx="2367">
                  <c:v>1769.71</c:v>
                </c:pt>
                <c:pt idx="2368">
                  <c:v>1745.8700000000001</c:v>
                </c:pt>
                <c:pt idx="2369">
                  <c:v>1765.28</c:v>
                </c:pt>
                <c:pt idx="2370">
                  <c:v>1754.9</c:v>
                </c:pt>
                <c:pt idx="2371">
                  <c:v>1806.69</c:v>
                </c:pt>
                <c:pt idx="2372">
                  <c:v>1815.25</c:v>
                </c:pt>
                <c:pt idx="2373">
                  <c:v>1812.02</c:v>
                </c:pt>
                <c:pt idx="2374">
                  <c:v>1854.6100000000001</c:v>
                </c:pt>
                <c:pt idx="2375">
                  <c:v>1853.6200000000001</c:v>
                </c:pt>
                <c:pt idx="2376">
                  <c:v>1856.24</c:v>
                </c:pt>
                <c:pt idx="2377">
                  <c:v>1858.7</c:v>
                </c:pt>
                <c:pt idx="2378">
                  <c:v>1851.54</c:v>
                </c:pt>
                <c:pt idx="2379">
                  <c:v>1822.04</c:v>
                </c:pt>
                <c:pt idx="2380">
                  <c:v>1816.64</c:v>
                </c:pt>
                <c:pt idx="2381">
                  <c:v>1786.13</c:v>
                </c:pt>
                <c:pt idx="2382">
                  <c:v>1791.24</c:v>
                </c:pt>
                <c:pt idx="2383">
                  <c:v>1787.94</c:v>
                </c:pt>
                <c:pt idx="2384">
                  <c:v>1732.55</c:v>
                </c:pt>
                <c:pt idx="2385">
                  <c:v>1715.22</c:v>
                </c:pt>
                <c:pt idx="2386">
                  <c:v>1709.77</c:v>
                </c:pt>
                <c:pt idx="2387">
                  <c:v>1701.8500000000001</c:v>
                </c:pt>
                <c:pt idx="2388">
                  <c:v>1710.97</c:v>
                </c:pt>
                <c:pt idx="2389">
                  <c:v>1765.42</c:v>
                </c:pt>
                <c:pt idx="2390">
                  <c:v>1782.0900000000001</c:v>
                </c:pt>
                <c:pt idx="2391">
                  <c:v>1794.93</c:v>
                </c:pt>
                <c:pt idx="2392">
                  <c:v>1796.29</c:v>
                </c:pt>
                <c:pt idx="2393">
                  <c:v>1824.07</c:v>
                </c:pt>
                <c:pt idx="2394">
                  <c:v>1823.82</c:v>
                </c:pt>
                <c:pt idx="2395">
                  <c:v>1825.99</c:v>
                </c:pt>
                <c:pt idx="2396">
                  <c:v>1773.42</c:v>
                </c:pt>
                <c:pt idx="2397">
                  <c:v>1784.06</c:v>
                </c:pt>
                <c:pt idx="2398">
                  <c:v>1804.47</c:v>
                </c:pt>
                <c:pt idx="2399">
                  <c:v>1781.5900000000001</c:v>
                </c:pt>
                <c:pt idx="2400">
                  <c:v>1821.75</c:v>
                </c:pt>
                <c:pt idx="2401">
                  <c:v>1836.75</c:v>
                </c:pt>
                <c:pt idx="2402">
                  <c:v>1857.33</c:v>
                </c:pt>
                <c:pt idx="2403">
                  <c:v>1855.38</c:v>
                </c:pt>
                <c:pt idx="2404">
                  <c:v>1842.65</c:v>
                </c:pt>
                <c:pt idx="2405">
                  <c:v>1835.29</c:v>
                </c:pt>
                <c:pt idx="2406">
                  <c:v>1835.4</c:v>
                </c:pt>
                <c:pt idx="2407">
                  <c:v>1875.8400000000001</c:v>
                </c:pt>
                <c:pt idx="2408">
                  <c:v>1866.8600000000001</c:v>
                </c:pt>
                <c:pt idx="2409">
                  <c:v>1878.81</c:v>
                </c:pt>
                <c:pt idx="2410">
                  <c:v>1876.51</c:v>
                </c:pt>
                <c:pt idx="2411">
                  <c:v>1869.76</c:v>
                </c:pt>
                <c:pt idx="2412">
                  <c:v>1880.05</c:v>
                </c:pt>
                <c:pt idx="2413">
                  <c:v>1868.8700000000001</c:v>
                </c:pt>
                <c:pt idx="2414">
                  <c:v>1817.1200000000001</c:v>
                </c:pt>
                <c:pt idx="2415">
                  <c:v>1807.6000000000001</c:v>
                </c:pt>
                <c:pt idx="2416">
                  <c:v>1800.38</c:v>
                </c:pt>
                <c:pt idx="2417">
                  <c:v>1800.7</c:v>
                </c:pt>
                <c:pt idx="2418">
                  <c:v>1823.18</c:v>
                </c:pt>
                <c:pt idx="2419">
                  <c:v>1826.14</c:v>
                </c:pt>
                <c:pt idx="2420">
                  <c:v>1795.24</c:v>
                </c:pt>
                <c:pt idx="2421">
                  <c:v>1788.67</c:v>
                </c:pt>
                <c:pt idx="2422">
                  <c:v>1781.47</c:v>
                </c:pt>
                <c:pt idx="2423">
                  <c:v>1755.64</c:v>
                </c:pt>
                <c:pt idx="2424">
                  <c:v>1761.6200000000001</c:v>
                </c:pt>
                <c:pt idx="2425">
                  <c:v>1748.13</c:v>
                </c:pt>
                <c:pt idx="2426">
                  <c:v>1777.6000000000001</c:v>
                </c:pt>
                <c:pt idx="2427">
                  <c:v>1751.79</c:v>
                </c:pt>
                <c:pt idx="2428">
                  <c:v>1752.54</c:v>
                </c:pt>
                <c:pt idx="2429">
                  <c:v>1804.45</c:v>
                </c:pt>
                <c:pt idx="2430">
                  <c:v>1820.97</c:v>
                </c:pt>
                <c:pt idx="2431">
                  <c:v>1845.1000000000001</c:v>
                </c:pt>
                <c:pt idx="2432">
                  <c:v>1824.04</c:v>
                </c:pt>
                <c:pt idx="2433">
                  <c:v>1836.2</c:v>
                </c:pt>
                <c:pt idx="2434">
                  <c:v>1845.0900000000001</c:v>
                </c:pt>
                <c:pt idx="2435">
                  <c:v>1854.1000000000001</c:v>
                </c:pt>
                <c:pt idx="2436">
                  <c:v>1875.4</c:v>
                </c:pt>
                <c:pt idx="2437">
                  <c:v>1874.07</c:v>
                </c:pt>
                <c:pt idx="2438">
                  <c:v>1880.74</c:v>
                </c:pt>
                <c:pt idx="2439">
                  <c:v>1880.3600000000001</c:v>
                </c:pt>
                <c:pt idx="2440">
                  <c:v>1881.92</c:v>
                </c:pt>
                <c:pt idx="2441">
                  <c:v>1910.6000000000001</c:v>
                </c:pt>
                <c:pt idx="2442">
                  <c:v>1905.73</c:v>
                </c:pt>
                <c:pt idx="2443">
                  <c:v>1896.77</c:v>
                </c:pt>
                <c:pt idx="2444">
                  <c:v>1880.97</c:v>
                </c:pt>
                <c:pt idx="2445">
                  <c:v>1920.8400000000001</c:v>
                </c:pt>
                <c:pt idx="2446">
                  <c:v>1909.97</c:v>
                </c:pt>
                <c:pt idx="2447">
                  <c:v>1919.58</c:v>
                </c:pt>
                <c:pt idx="2448">
                  <c:v>1914.83</c:v>
                </c:pt>
                <c:pt idx="2449">
                  <c:v>1908.95</c:v>
                </c:pt>
                <c:pt idx="2450">
                  <c:v>1917.42</c:v>
                </c:pt>
                <c:pt idx="2451">
                  <c:v>1902.14</c:v>
                </c:pt>
                <c:pt idx="2452">
                  <c:v>1941.81</c:v>
                </c:pt>
                <c:pt idx="2453">
                  <c:v>1941.5</c:v>
                </c:pt>
                <c:pt idx="2454">
                  <c:v>1938.3</c:v>
                </c:pt>
                <c:pt idx="2455">
                  <c:v>1950.18</c:v>
                </c:pt>
                <c:pt idx="2456">
                  <c:v>1950.46</c:v>
                </c:pt>
                <c:pt idx="2457">
                  <c:v>1957.92</c:v>
                </c:pt>
                <c:pt idx="2458">
                  <c:v>1972.07</c:v>
                </c:pt>
                <c:pt idx="2459">
                  <c:v>1964.89</c:v>
                </c:pt>
                <c:pt idx="2460">
                  <c:v>1968.8700000000001</c:v>
                </c:pt>
                <c:pt idx="2461">
                  <c:v>1983.16</c:v>
                </c:pt>
                <c:pt idx="2462">
                  <c:v>1951.67</c:v>
                </c:pt>
                <c:pt idx="2463">
                  <c:v>1972.51</c:v>
                </c:pt>
                <c:pt idx="2464">
                  <c:v>1976.1200000000001</c:v>
                </c:pt>
                <c:pt idx="2465">
                  <c:v>1980.8300000000002</c:v>
                </c:pt>
                <c:pt idx="2466">
                  <c:v>1985.1000000000001</c:v>
                </c:pt>
                <c:pt idx="2467">
                  <c:v>1985.13</c:v>
                </c:pt>
                <c:pt idx="2468">
                  <c:v>1980.05</c:v>
                </c:pt>
                <c:pt idx="2469">
                  <c:v>1982.45</c:v>
                </c:pt>
                <c:pt idx="2470">
                  <c:v>1981.5800000000002</c:v>
                </c:pt>
                <c:pt idx="2471">
                  <c:v>1983.47</c:v>
                </c:pt>
                <c:pt idx="2472">
                  <c:v>1998.8600000000001</c:v>
                </c:pt>
                <c:pt idx="2473">
                  <c:v>2006.5800000000002</c:v>
                </c:pt>
                <c:pt idx="2474">
                  <c:v>2045.6100000000001</c:v>
                </c:pt>
                <c:pt idx="2475">
                  <c:v>2053.77</c:v>
                </c:pt>
                <c:pt idx="2476">
                  <c:v>2049.69</c:v>
                </c:pt>
                <c:pt idx="2477">
                  <c:v>2033.8400000000001</c:v>
                </c:pt>
                <c:pt idx="2478">
                  <c:v>2043.15</c:v>
                </c:pt>
                <c:pt idx="2479">
                  <c:v>2034.48</c:v>
                </c:pt>
                <c:pt idx="2480">
                  <c:v>2010.56</c:v>
                </c:pt>
                <c:pt idx="2481">
                  <c:v>2008.24</c:v>
                </c:pt>
                <c:pt idx="2482">
                  <c:v>1976.25</c:v>
                </c:pt>
                <c:pt idx="2483">
                  <c:v>1976.99</c:v>
                </c:pt>
                <c:pt idx="2484">
                  <c:v>2007.38</c:v>
                </c:pt>
                <c:pt idx="2485">
                  <c:v>2012.5800000000002</c:v>
                </c:pt>
                <c:pt idx="2486">
                  <c:v>2009.51</c:v>
                </c:pt>
                <c:pt idx="2487">
                  <c:v>1980.89</c:v>
                </c:pt>
                <c:pt idx="2488">
                  <c:v>2010.56</c:v>
                </c:pt>
                <c:pt idx="2489">
                  <c:v>1996.02</c:v>
                </c:pt>
                <c:pt idx="2490">
                  <c:v>1993.8300000000002</c:v>
                </c:pt>
                <c:pt idx="2491">
                  <c:v>1981.8300000000002</c:v>
                </c:pt>
                <c:pt idx="2492">
                  <c:v>2024.96</c:v>
                </c:pt>
                <c:pt idx="2493">
                  <c:v>2050.96</c:v>
                </c:pt>
                <c:pt idx="2494">
                  <c:v>2056.39</c:v>
                </c:pt>
                <c:pt idx="2495">
                  <c:v>2053.8000000000002</c:v>
                </c:pt>
                <c:pt idx="2496">
                  <c:v>2054.88</c:v>
                </c:pt>
                <c:pt idx="2497">
                  <c:v>2063.02</c:v>
                </c:pt>
                <c:pt idx="2498">
                  <c:v>2071.11</c:v>
                </c:pt>
                <c:pt idx="2499">
                  <c:v>2083.56</c:v>
                </c:pt>
                <c:pt idx="2500">
                  <c:v>2083.9900000000002</c:v>
                </c:pt>
                <c:pt idx="2501">
                  <c:v>2085.9299999999998</c:v>
                </c:pt>
                <c:pt idx="2502">
                  <c:v>2075.2800000000002</c:v>
                </c:pt>
                <c:pt idx="2503">
                  <c:v>2088.19</c:v>
                </c:pt>
                <c:pt idx="2504">
                  <c:v>2089.94</c:v>
                </c:pt>
                <c:pt idx="2505">
                  <c:v>2095.3200000000002</c:v>
                </c:pt>
                <c:pt idx="2506">
                  <c:v>2108.2600000000002</c:v>
                </c:pt>
                <c:pt idx="2507">
                  <c:v>2115.69</c:v>
                </c:pt>
                <c:pt idx="2508">
                  <c:v>2112.37</c:v>
                </c:pt>
                <c:pt idx="2509">
                  <c:v>2113.66</c:v>
                </c:pt>
                <c:pt idx="2510">
                  <c:v>2115.3200000000002</c:v>
                </c:pt>
                <c:pt idx="2511">
                  <c:v>2117.83</c:v>
                </c:pt>
                <c:pt idx="2512">
                  <c:v>2114.69</c:v>
                </c:pt>
                <c:pt idx="2513">
                  <c:v>2114.2800000000002</c:v>
                </c:pt>
              </c:numCache>
            </c:numRef>
          </c:yVal>
          <c:smooth val="0"/>
          <c:extLst>
            <c:ext xmlns:c16="http://schemas.microsoft.com/office/drawing/2014/chart" uri="{C3380CC4-5D6E-409C-BE32-E72D297353CC}">
              <c16:uniqueId val="{00000027-DB9B-4BA7-AE04-46188867CEA9}"/>
            </c:ext>
          </c:extLst>
        </c:ser>
        <c:dLbls>
          <c:showLegendKey val="0"/>
          <c:showVal val="0"/>
          <c:showCatName val="0"/>
          <c:showSerName val="0"/>
          <c:showPercent val="0"/>
          <c:showBubbleSize val="0"/>
        </c:dLbls>
        <c:axId val="1795824351"/>
        <c:axId val="1788259087"/>
      </c:scatterChart>
      <c:valAx>
        <c:axId val="1795824351"/>
        <c:scaling>
          <c:orientation val="minMax"/>
          <c:max val="40543"/>
          <c:min val="36892"/>
        </c:scaling>
        <c:delete val="0"/>
        <c:axPos val="b"/>
        <c:majorGridlines>
          <c:spPr>
            <a:ln w="12700" cap="flat" cmpd="sng" algn="ctr">
              <a:solidFill>
                <a:srgbClr val="F2F2F2">
                  <a:lumMod val="100000"/>
                  <a:alpha val="80000"/>
                </a:srgbClr>
              </a:solidFill>
              <a:prstDash val="dash"/>
              <a:round/>
              <a:headEnd type="none" w="med" len="med"/>
              <a:tailEnd type="none" w="med" len="med"/>
            </a:ln>
          </c:spPr>
        </c:majorGridlines>
        <c:numFmt formatCode="d\-mmm\-yy" sourceLinked="1"/>
        <c:majorTickMark val="out"/>
        <c:minorTickMark val="none"/>
        <c:tickLblPos val="nextTo"/>
        <c:spPr>
          <a:ln>
            <a:solidFill>
              <a:schemeClr val="tx1"/>
            </a:solidFill>
          </a:ln>
        </c:spPr>
        <c:txPr>
          <a:bodyPr/>
          <a:lstStyle/>
          <a:p>
            <a:pPr>
              <a:defRPr>
                <a:solidFill>
                  <a:srgbClr val="A6A6A6"/>
                </a:solidFill>
                <a:latin typeface="Times New Roman"/>
                <a:ea typeface="Times New Roman"/>
                <a:cs typeface="Times New Roman"/>
              </a:defRPr>
            </a:pPr>
            <a:endParaRPr lang="en-US"/>
          </a:p>
        </c:txPr>
        <c:crossAx val="1788259087"/>
        <c:crosses val="min"/>
        <c:crossBetween val="midCat"/>
      </c:valAx>
      <c:valAx>
        <c:axId val="1788259087"/>
        <c:scaling>
          <c:orientation val="minMax"/>
        </c:scaling>
        <c:delete val="0"/>
        <c:axPos val="l"/>
        <c:majorGridlines>
          <c:spPr>
            <a:ln w="12700" cap="flat" cmpd="sng" algn="ctr">
              <a:solidFill>
                <a:srgbClr val="F2F2F2">
                  <a:lumMod val="100000"/>
                  <a:alpha val="80000"/>
                </a:srgbClr>
              </a:solidFill>
              <a:prstDash val="dash"/>
              <a:round/>
              <a:headEnd type="none" w="med" len="med"/>
              <a:tailEnd type="none" w="med" len="med"/>
            </a:ln>
          </c:spPr>
        </c:majorGridlines>
        <c:numFmt formatCode="General" sourceLinked="1"/>
        <c:majorTickMark val="out"/>
        <c:minorTickMark val="none"/>
        <c:tickLblPos val="nextTo"/>
        <c:spPr>
          <a:ln>
            <a:solidFill>
              <a:schemeClr val="tx1"/>
            </a:solidFill>
          </a:ln>
        </c:spPr>
        <c:txPr>
          <a:bodyPr/>
          <a:lstStyle/>
          <a:p>
            <a:pPr>
              <a:defRPr>
                <a:solidFill>
                  <a:srgbClr val="A6A6A6"/>
                </a:solidFill>
                <a:latin typeface="Times New Roman"/>
                <a:ea typeface="Times New Roman"/>
                <a:cs typeface="Times New Roman"/>
              </a:defRPr>
            </a:pPr>
            <a:endParaRPr lang="en-US"/>
          </a:p>
        </c:txPr>
        <c:crossAx val="1795824351"/>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795813551"/>
        <c:axId val="1788255759"/>
      </c:barChart>
      <c:dateAx>
        <c:axId val="1795813551"/>
        <c:scaling>
          <c:orientation val="minMax"/>
        </c:scaling>
        <c:delete val="0"/>
        <c:axPos val="b"/>
        <c:majorGridlines>
          <c:spPr>
            <a:ln w="12700" cap="flat" cmpd="sng" algn="ctr">
              <a:solidFill>
                <a:srgbClr val="F2F2F2">
                  <a:lumMod val="100000"/>
                  <a:alpha val="80000"/>
                </a:srgbClr>
              </a:solidFill>
              <a:prstDash val="dash"/>
              <a:round/>
              <a:headEnd type="none" w="med" len="med"/>
              <a:tailEnd type="none" w="med" len="med"/>
            </a:ln>
          </c:spPr>
        </c:majorGridlines>
        <c:majorTickMark val="out"/>
        <c:minorTickMark val="none"/>
        <c:tickLblPos val="nextTo"/>
        <c:spPr>
          <a:ln>
            <a:solidFill>
              <a:schemeClr val="tx1"/>
            </a:solidFill>
          </a:ln>
        </c:spPr>
        <c:txPr>
          <a:bodyPr/>
          <a:lstStyle/>
          <a:p>
            <a:pPr>
              <a:defRPr>
                <a:solidFill>
                  <a:srgbClr val="A6A6A6"/>
                </a:solidFill>
                <a:latin typeface="Times New Roman"/>
                <a:ea typeface="Times New Roman"/>
                <a:cs typeface="Times New Roman"/>
              </a:defRPr>
            </a:pPr>
            <a:endParaRPr lang="en-US"/>
          </a:p>
        </c:txPr>
        <c:crossAx val="1788255759"/>
        <c:crosses val="min"/>
        <c:auto val="0"/>
        <c:lblOffset val="100"/>
        <c:baseTimeUnit val="days"/>
      </c:dateAx>
      <c:valAx>
        <c:axId val="1788255759"/>
        <c:scaling>
          <c:orientation val="minMax"/>
        </c:scaling>
        <c:delete val="0"/>
        <c:axPos val="l"/>
        <c:majorGridlines>
          <c:spPr>
            <a:ln w="12700" cap="flat" cmpd="sng" algn="ctr">
              <a:solidFill>
                <a:srgbClr val="F2F2F2">
                  <a:lumMod val="100000"/>
                  <a:alpha val="80000"/>
                </a:srgbClr>
              </a:solidFill>
              <a:prstDash val="dash"/>
              <a:round/>
              <a:headEnd type="none" w="med" len="med"/>
              <a:tailEnd type="none" w="med" len="med"/>
            </a:ln>
          </c:spPr>
        </c:majorGridlines>
        <c:majorTickMark val="out"/>
        <c:minorTickMark val="none"/>
        <c:tickLblPos val="nextTo"/>
        <c:spPr>
          <a:ln>
            <a:solidFill>
              <a:schemeClr val="tx1"/>
            </a:solidFill>
          </a:ln>
        </c:spPr>
        <c:txPr>
          <a:bodyPr/>
          <a:lstStyle/>
          <a:p>
            <a:pPr>
              <a:defRPr>
                <a:solidFill>
                  <a:srgbClr val="A6A6A6"/>
                </a:solidFill>
                <a:latin typeface="Times New Roman"/>
                <a:ea typeface="Times New Roman"/>
                <a:cs typeface="Times New Roman"/>
              </a:defRPr>
            </a:pPr>
            <a:endParaRPr lang="en-US"/>
          </a:p>
        </c:txPr>
        <c:crossAx val="1795813551"/>
        <c:crosses val="autoZero"/>
        <c:crossBetween val="between"/>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solidFill>
        <a:srgbClr val="FF0000"/>
      </a:solidFill>
    </a:ln>
    <a:extLst>
      <a:ext uri="{909E8E84-426E-40DD-AFC4-6F175D3DCCD1}">
        <a14:hiddenFill xmlns:a14="http://schemas.microsoft.com/office/drawing/2010/main">
          <a:solidFill>
            <a:sysClr val="window" lastClr="FFFFFF"/>
          </a:solidFill>
        </a14:hiddenFill>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&lt;&lt; Line |$C$25:$C$34|$F$88 &gt;&gt;</c:v>
          </c:tx>
          <c:spPr>
            <a:ln w="12700" cap="rnd" cmpd="sng" algn="ctr">
              <a:solidFill>
                <a:srgbClr val="000000"/>
              </a:solidFill>
              <a:prstDash val="solid"/>
              <a:round/>
              <a:headEnd type="none" w="med" len="med"/>
              <a:tailEnd type="none" w="med" len="med"/>
            </a:ln>
            <a:effectLst/>
          </c:spPr>
          <c:marker>
            <c:symbol val="none"/>
          </c:marker>
          <c:xVal>
            <c:numRef>
              <c:f>Tutorial!$B$25:$B$34</c:f>
              <c:numCache>
                <c:formatCode>General</c:formatCode>
                <c:ptCount val="10"/>
                <c:pt idx="0">
                  <c:v>1</c:v>
                </c:pt>
                <c:pt idx="1">
                  <c:v>2</c:v>
                </c:pt>
                <c:pt idx="2">
                  <c:v>3</c:v>
                </c:pt>
                <c:pt idx="3">
                  <c:v>4</c:v>
                </c:pt>
                <c:pt idx="4">
                  <c:v>5</c:v>
                </c:pt>
                <c:pt idx="5">
                  <c:v>6</c:v>
                </c:pt>
                <c:pt idx="6">
                  <c:v>7</c:v>
                </c:pt>
                <c:pt idx="7">
                  <c:v>8</c:v>
                </c:pt>
                <c:pt idx="8">
                  <c:v>9</c:v>
                </c:pt>
                <c:pt idx="9">
                  <c:v>10</c:v>
                </c:pt>
              </c:numCache>
            </c:numRef>
          </c:xVal>
          <c:yVal>
            <c:numRef>
              <c:f>Tutorial!$C$25:$C$34</c:f>
              <c:numCache>
                <c:formatCode>0.00</c:formatCode>
                <c:ptCount val="10"/>
                <c:pt idx="0">
                  <c:v>-2.0104505705240729</c:v>
                </c:pt>
                <c:pt idx="1">
                  <c:v>-0.82664925981617587</c:v>
                </c:pt>
                <c:pt idx="2">
                  <c:v>-1.0525984485611717</c:v>
                </c:pt>
                <c:pt idx="3">
                  <c:v>-2.0298527226372656</c:v>
                </c:pt>
                <c:pt idx="4">
                  <c:v>-1.6711925147681923</c:v>
                </c:pt>
                <c:pt idx="5">
                  <c:v>-0.88861426571088831</c:v>
                </c:pt>
                <c:pt idx="6">
                  <c:v>-0.66545648150113457</c:v>
                </c:pt>
                <c:pt idx="7">
                  <c:v>-1.8508986797116986</c:v>
                </c:pt>
                <c:pt idx="8">
                  <c:v>-1.810189530158125</c:v>
                </c:pt>
                <c:pt idx="9">
                  <c:v>-2.3847943930030837</c:v>
                </c:pt>
              </c:numCache>
            </c:numRef>
          </c:yVal>
          <c:smooth val="0"/>
          <c:extLst>
            <c:ext xmlns:c16="http://schemas.microsoft.com/office/drawing/2014/chart" uri="{C3380CC4-5D6E-409C-BE32-E72D297353CC}">
              <c16:uniqueId val="{00000023-948D-4471-80E8-556429F18101}"/>
            </c:ext>
          </c:extLst>
        </c:ser>
        <c:dLbls>
          <c:showLegendKey val="0"/>
          <c:showVal val="0"/>
          <c:showCatName val="0"/>
          <c:showSerName val="0"/>
          <c:showPercent val="0"/>
          <c:showBubbleSize val="0"/>
        </c:dLbls>
        <c:axId val="1795810351"/>
        <c:axId val="1788262831"/>
      </c:scatterChart>
      <c:valAx>
        <c:axId val="1795810351"/>
        <c:scaling>
          <c:orientation val="minMax"/>
          <c:max val="10"/>
          <c:min val="1"/>
        </c:scaling>
        <c:delete val="0"/>
        <c:axPos val="b"/>
        <c:majorGridlines>
          <c:spPr>
            <a:ln w="12700" cap="flat" cmpd="sng" algn="ctr">
              <a:solidFill>
                <a:srgbClr val="F2F2F2">
                  <a:lumMod val="100000"/>
                  <a:alpha val="80000"/>
                </a:srgbClr>
              </a:solidFill>
              <a:prstDash val="dash"/>
              <a:round/>
              <a:headEnd type="none" w="med" len="med"/>
              <a:tailEnd type="none" w="med" len="med"/>
            </a:ln>
          </c:spPr>
        </c:majorGridlines>
        <c:numFmt formatCode="General" sourceLinked="1"/>
        <c:majorTickMark val="out"/>
        <c:minorTickMark val="none"/>
        <c:tickLblPos val="nextTo"/>
        <c:spPr>
          <a:ln>
            <a:solidFill>
              <a:schemeClr val="tx1"/>
            </a:solidFill>
          </a:ln>
        </c:spPr>
        <c:txPr>
          <a:bodyPr/>
          <a:lstStyle/>
          <a:p>
            <a:pPr>
              <a:defRPr>
                <a:solidFill>
                  <a:srgbClr val="A6A6A6"/>
                </a:solidFill>
                <a:latin typeface="Times New Roman"/>
                <a:ea typeface="Times New Roman"/>
                <a:cs typeface="Times New Roman"/>
              </a:defRPr>
            </a:pPr>
            <a:endParaRPr lang="en-US"/>
          </a:p>
        </c:txPr>
        <c:crossAx val="1788262831"/>
        <c:crosses val="min"/>
        <c:crossBetween val="midCat"/>
      </c:valAx>
      <c:valAx>
        <c:axId val="1788262831"/>
        <c:scaling>
          <c:orientation val="minMax"/>
        </c:scaling>
        <c:delete val="0"/>
        <c:axPos val="l"/>
        <c:majorGridlines>
          <c:spPr>
            <a:ln w="12700" cap="flat" cmpd="sng" algn="ctr">
              <a:solidFill>
                <a:srgbClr val="F2F2F2">
                  <a:lumMod val="100000"/>
                  <a:alpha val="80000"/>
                </a:srgbClr>
              </a:solidFill>
              <a:prstDash val="dash"/>
              <a:round/>
              <a:headEnd type="none" w="med" len="med"/>
              <a:tailEnd type="none" w="med" len="med"/>
            </a:ln>
          </c:spPr>
        </c:majorGridlines>
        <c:numFmt formatCode="0.00" sourceLinked="1"/>
        <c:majorTickMark val="out"/>
        <c:minorTickMark val="none"/>
        <c:tickLblPos val="nextTo"/>
        <c:spPr>
          <a:ln>
            <a:solidFill>
              <a:schemeClr val="tx1"/>
            </a:solidFill>
          </a:ln>
        </c:spPr>
        <c:txPr>
          <a:bodyPr/>
          <a:lstStyle/>
          <a:p>
            <a:pPr>
              <a:defRPr>
                <a:solidFill>
                  <a:srgbClr val="A6A6A6"/>
                </a:solidFill>
                <a:latin typeface="Times New Roman"/>
                <a:ea typeface="Times New Roman"/>
                <a:cs typeface="Times New Roman"/>
              </a:defRPr>
            </a:pPr>
            <a:endParaRPr lang="en-US"/>
          </a:p>
        </c:txPr>
        <c:crossAx val="1795810351"/>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&lt;&lt; Line |$C$25:$C$34|$D$144 &gt;&gt;</c:v>
          </c:tx>
          <c:spPr>
            <a:ln w="12700" cap="rnd" cmpd="sng" algn="ctr">
              <a:solidFill>
                <a:srgbClr val="000000"/>
              </a:solidFill>
              <a:prstDash val="solid"/>
              <a:round/>
              <a:headEnd type="none" w="med" len="med"/>
              <a:tailEnd type="none" w="med" len="med"/>
            </a:ln>
            <a:effectLst/>
          </c:spPr>
          <c:marker>
            <c:symbol val="none"/>
          </c:marker>
          <c:xVal>
            <c:numRef>
              <c:f>Tutorial!$B$25:$B$34</c:f>
              <c:numCache>
                <c:formatCode>General</c:formatCode>
                <c:ptCount val="10"/>
                <c:pt idx="0">
                  <c:v>1</c:v>
                </c:pt>
                <c:pt idx="1">
                  <c:v>2</c:v>
                </c:pt>
                <c:pt idx="2">
                  <c:v>3</c:v>
                </c:pt>
                <c:pt idx="3">
                  <c:v>4</c:v>
                </c:pt>
                <c:pt idx="4">
                  <c:v>5</c:v>
                </c:pt>
                <c:pt idx="5">
                  <c:v>6</c:v>
                </c:pt>
                <c:pt idx="6">
                  <c:v>7</c:v>
                </c:pt>
                <c:pt idx="7">
                  <c:v>8</c:v>
                </c:pt>
                <c:pt idx="8">
                  <c:v>9</c:v>
                </c:pt>
                <c:pt idx="9">
                  <c:v>10</c:v>
                </c:pt>
              </c:numCache>
            </c:numRef>
          </c:xVal>
          <c:yVal>
            <c:numRef>
              <c:f>Tutorial!$C$25:$C$34</c:f>
              <c:numCache>
                <c:formatCode>0.00</c:formatCode>
                <c:ptCount val="10"/>
                <c:pt idx="0">
                  <c:v>-2.0104505705240729</c:v>
                </c:pt>
                <c:pt idx="1">
                  <c:v>-0.82664925981617587</c:v>
                </c:pt>
                <c:pt idx="2">
                  <c:v>-1.0525984485611717</c:v>
                </c:pt>
                <c:pt idx="3">
                  <c:v>-2.0298527226372656</c:v>
                </c:pt>
                <c:pt idx="4">
                  <c:v>-1.6711925147681923</c:v>
                </c:pt>
                <c:pt idx="5">
                  <c:v>-0.88861426571088831</c:v>
                </c:pt>
                <c:pt idx="6">
                  <c:v>-0.66545648150113457</c:v>
                </c:pt>
                <c:pt idx="7">
                  <c:v>-1.8508986797116986</c:v>
                </c:pt>
                <c:pt idx="8">
                  <c:v>-1.810189530158125</c:v>
                </c:pt>
                <c:pt idx="9">
                  <c:v>-2.3847943930030837</c:v>
                </c:pt>
              </c:numCache>
            </c:numRef>
          </c:yVal>
          <c:smooth val="0"/>
          <c:extLst>
            <c:ext xmlns:c16="http://schemas.microsoft.com/office/drawing/2014/chart" uri="{C3380CC4-5D6E-409C-BE32-E72D297353CC}">
              <c16:uniqueId val="{00000043-D4D4-457B-83E5-35FB780959ED}"/>
            </c:ext>
          </c:extLst>
        </c:ser>
        <c:ser>
          <c:idx val="1"/>
          <c:order val="1"/>
          <c:tx>
            <c:v>&lt;&lt; Line |$B$144:$B$153|$D$144 &gt;&gt;</c:v>
          </c:tx>
          <c:spPr>
            <a:ln w="12700" cap="rnd" cmpd="sng" algn="ctr">
              <a:solidFill>
                <a:srgbClr val="FA0000"/>
              </a:solidFill>
              <a:prstDash val="solid"/>
              <a:round/>
              <a:headEnd type="none" w="med" len="med"/>
              <a:tailEnd type="none" w="med" len="med"/>
            </a:ln>
            <a:effectLst/>
          </c:spPr>
          <c:marker>
            <c:symbol val="none"/>
          </c:marker>
          <c:xVal>
            <c:numRef>
              <c:f>Tutorial!$B$25:$B$34</c:f>
              <c:numCache>
                <c:formatCode>General</c:formatCode>
                <c:ptCount val="10"/>
                <c:pt idx="0">
                  <c:v>1</c:v>
                </c:pt>
                <c:pt idx="1">
                  <c:v>2</c:v>
                </c:pt>
                <c:pt idx="2">
                  <c:v>3</c:v>
                </c:pt>
                <c:pt idx="3">
                  <c:v>4</c:v>
                </c:pt>
                <c:pt idx="4">
                  <c:v>5</c:v>
                </c:pt>
                <c:pt idx="5">
                  <c:v>6</c:v>
                </c:pt>
                <c:pt idx="6">
                  <c:v>7</c:v>
                </c:pt>
                <c:pt idx="7">
                  <c:v>8</c:v>
                </c:pt>
                <c:pt idx="8">
                  <c:v>9</c:v>
                </c:pt>
                <c:pt idx="9">
                  <c:v>10</c:v>
                </c:pt>
              </c:numCache>
            </c:numRef>
          </c:xVal>
          <c:yVal>
            <c:numRef>
              <c:f>Tutorial!$B$144:$B$153</c:f>
              <c:numCache>
                <c:formatCode>General</c:formatCode>
                <c:ptCount val="10"/>
                <c:pt idx="0">
                  <c:v>0.12886021132744796</c:v>
                </c:pt>
                <c:pt idx="1">
                  <c:v>-1.5359296198805543</c:v>
                </c:pt>
                <c:pt idx="2">
                  <c:v>-0.70236567214330137</c:v>
                </c:pt>
                <c:pt idx="3">
                  <c:v>-0.83847298324953723</c:v>
                </c:pt>
                <c:pt idx="4">
                  <c:v>-1.5939280240432498</c:v>
                </c:pt>
                <c:pt idx="5">
                  <c:v>-1.3525721107857231</c:v>
                </c:pt>
                <c:pt idx="6">
                  <c:v>-0.74170887398102292</c:v>
                </c:pt>
                <c:pt idx="7">
                  <c:v>-0.54335470012905551</c:v>
                </c:pt>
                <c:pt idx="8">
                  <c:v>-1.4435453839411188</c:v>
                </c:pt>
                <c:pt idx="9">
                  <c:v>-1.4524556676811251</c:v>
                </c:pt>
              </c:numCache>
            </c:numRef>
          </c:yVal>
          <c:smooth val="0"/>
          <c:extLst>
            <c:ext xmlns:c16="http://schemas.microsoft.com/office/drawing/2014/chart" uri="{C3380CC4-5D6E-409C-BE32-E72D297353CC}">
              <c16:uniqueId val="{00000044-D4D4-457B-83E5-35FB780959ED}"/>
            </c:ext>
          </c:extLst>
        </c:ser>
        <c:dLbls>
          <c:showLegendKey val="0"/>
          <c:showVal val="0"/>
          <c:showCatName val="0"/>
          <c:showSerName val="0"/>
          <c:showPercent val="0"/>
          <c:showBubbleSize val="0"/>
        </c:dLbls>
        <c:axId val="1795784351"/>
        <c:axId val="1788242031"/>
      </c:scatterChart>
      <c:valAx>
        <c:axId val="1795784351"/>
        <c:scaling>
          <c:orientation val="minMax"/>
          <c:max val="10"/>
          <c:min val="1"/>
        </c:scaling>
        <c:delete val="0"/>
        <c:axPos val="b"/>
        <c:majorGridlines>
          <c:spPr>
            <a:ln w="12700" cap="flat" cmpd="sng" algn="ctr">
              <a:solidFill>
                <a:srgbClr val="F2F2F2">
                  <a:lumMod val="100000"/>
                  <a:alpha val="80000"/>
                </a:srgbClr>
              </a:solidFill>
              <a:prstDash val="dash"/>
              <a:round/>
              <a:headEnd type="none" w="med" len="med"/>
              <a:tailEnd type="none" w="med" len="med"/>
            </a:ln>
          </c:spPr>
        </c:majorGridlines>
        <c:numFmt formatCode="General" sourceLinked="1"/>
        <c:majorTickMark val="out"/>
        <c:minorTickMark val="none"/>
        <c:tickLblPos val="nextTo"/>
        <c:spPr>
          <a:ln>
            <a:solidFill>
              <a:schemeClr val="tx1"/>
            </a:solidFill>
          </a:ln>
        </c:spPr>
        <c:txPr>
          <a:bodyPr/>
          <a:lstStyle/>
          <a:p>
            <a:pPr>
              <a:defRPr>
                <a:solidFill>
                  <a:srgbClr val="A6A6A6"/>
                </a:solidFill>
                <a:latin typeface="Times New Roman"/>
                <a:ea typeface="Times New Roman"/>
                <a:cs typeface="Times New Roman"/>
              </a:defRPr>
            </a:pPr>
            <a:endParaRPr lang="en-US"/>
          </a:p>
        </c:txPr>
        <c:crossAx val="1788242031"/>
        <c:crosses val="min"/>
        <c:crossBetween val="midCat"/>
      </c:valAx>
      <c:valAx>
        <c:axId val="1788242031"/>
        <c:scaling>
          <c:orientation val="minMax"/>
        </c:scaling>
        <c:delete val="0"/>
        <c:axPos val="l"/>
        <c:majorGridlines>
          <c:spPr>
            <a:ln w="12700" cap="flat" cmpd="sng" algn="ctr">
              <a:solidFill>
                <a:srgbClr val="F2F2F2">
                  <a:lumMod val="100000"/>
                  <a:alpha val="80000"/>
                </a:srgbClr>
              </a:solidFill>
              <a:prstDash val="dash"/>
              <a:round/>
              <a:headEnd type="none" w="med" len="med"/>
              <a:tailEnd type="none" w="med" len="med"/>
            </a:ln>
          </c:spPr>
        </c:majorGridlines>
        <c:numFmt formatCode="0.00" sourceLinked="1"/>
        <c:majorTickMark val="out"/>
        <c:minorTickMark val="none"/>
        <c:tickLblPos val="nextTo"/>
        <c:spPr>
          <a:ln>
            <a:solidFill>
              <a:schemeClr val="tx1"/>
            </a:solidFill>
          </a:ln>
        </c:spPr>
        <c:txPr>
          <a:bodyPr/>
          <a:lstStyle/>
          <a:p>
            <a:pPr>
              <a:defRPr>
                <a:solidFill>
                  <a:srgbClr val="A6A6A6"/>
                </a:solidFill>
                <a:latin typeface="Times New Roman"/>
                <a:ea typeface="Times New Roman"/>
                <a:cs typeface="Times New Roman"/>
              </a:defRPr>
            </a:pPr>
            <a:endParaRPr lang="en-US"/>
          </a:p>
        </c:txPr>
        <c:crossAx val="1795784351"/>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&lt;&lt; Points |$C$25:$C$34|$B$399 &gt;&gt;</c:v>
          </c:tx>
          <c:spPr>
            <a:solidFill>
              <a:srgbClr val="FFFFFF"/>
            </a:solidFill>
            <a:ln w="25400">
              <a:noFill/>
            </a:ln>
            <a:effectLst/>
          </c:spPr>
          <c:marker>
            <c:spPr>
              <a:solidFill>
                <a:srgbClr val="000000"/>
              </a:solidFill>
              <a:ln w="12700">
                <a:solidFill>
                  <a:srgbClr val="000000"/>
                </a:solidFill>
                <a:prstDash val="solid"/>
              </a:ln>
              <a:effectLst/>
            </c:spPr>
          </c:marker>
          <c:xVal>
            <c:numRef>
              <c:f>Tutorial!$B$25:$B$34</c:f>
              <c:numCache>
                <c:formatCode>General</c:formatCode>
                <c:ptCount val="10"/>
                <c:pt idx="0">
                  <c:v>1</c:v>
                </c:pt>
                <c:pt idx="1">
                  <c:v>2</c:v>
                </c:pt>
                <c:pt idx="2">
                  <c:v>3</c:v>
                </c:pt>
                <c:pt idx="3">
                  <c:v>4</c:v>
                </c:pt>
                <c:pt idx="4">
                  <c:v>5</c:v>
                </c:pt>
                <c:pt idx="5">
                  <c:v>6</c:v>
                </c:pt>
                <c:pt idx="6">
                  <c:v>7</c:v>
                </c:pt>
                <c:pt idx="7">
                  <c:v>8</c:v>
                </c:pt>
                <c:pt idx="8">
                  <c:v>9</c:v>
                </c:pt>
                <c:pt idx="9">
                  <c:v>10</c:v>
                </c:pt>
              </c:numCache>
            </c:numRef>
          </c:xVal>
          <c:yVal>
            <c:numRef>
              <c:f>Tutorial!$C$25:$C$34</c:f>
              <c:numCache>
                <c:formatCode>0.00</c:formatCode>
                <c:ptCount val="10"/>
                <c:pt idx="0">
                  <c:v>-2.0104505705240729</c:v>
                </c:pt>
                <c:pt idx="1">
                  <c:v>-0.82664925981617587</c:v>
                </c:pt>
                <c:pt idx="2">
                  <c:v>-1.0525984485611717</c:v>
                </c:pt>
                <c:pt idx="3">
                  <c:v>-2.0298527226372656</c:v>
                </c:pt>
                <c:pt idx="4">
                  <c:v>-1.6711925147681923</c:v>
                </c:pt>
                <c:pt idx="5">
                  <c:v>-0.88861426571088831</c:v>
                </c:pt>
                <c:pt idx="6">
                  <c:v>-0.66545648150113457</c:v>
                </c:pt>
                <c:pt idx="7">
                  <c:v>-1.8508986797116986</c:v>
                </c:pt>
                <c:pt idx="8">
                  <c:v>-1.810189530158125</c:v>
                </c:pt>
                <c:pt idx="9">
                  <c:v>-2.3847943930030837</c:v>
                </c:pt>
              </c:numCache>
            </c:numRef>
          </c:yVal>
          <c:smooth val="0"/>
          <c:extLst>
            <c:ext xmlns:c16="http://schemas.microsoft.com/office/drawing/2014/chart" uri="{C3380CC4-5D6E-409C-BE32-E72D297353CC}">
              <c16:uniqueId val="{00000023-70E0-4F58-B600-F3550E00F79F}"/>
            </c:ext>
          </c:extLst>
        </c:ser>
        <c:dLbls>
          <c:showLegendKey val="0"/>
          <c:showVal val="0"/>
          <c:showCatName val="0"/>
          <c:showSerName val="0"/>
          <c:showPercent val="0"/>
          <c:showBubbleSize val="0"/>
        </c:dLbls>
        <c:axId val="1795797151"/>
        <c:axId val="1788243279"/>
      </c:scatterChart>
      <c:valAx>
        <c:axId val="1795797151"/>
        <c:scaling>
          <c:orientation val="minMax"/>
          <c:max val="10"/>
          <c:min val="1"/>
        </c:scaling>
        <c:delete val="0"/>
        <c:axPos val="b"/>
        <c:majorGridlines>
          <c:spPr>
            <a:ln w="12700" cap="flat" cmpd="sng" algn="ctr">
              <a:solidFill>
                <a:srgbClr val="F2F2F2">
                  <a:lumMod val="100000"/>
                  <a:alpha val="80000"/>
                </a:srgbClr>
              </a:solidFill>
              <a:prstDash val="dash"/>
              <a:round/>
              <a:headEnd type="none" w="med" len="med"/>
              <a:tailEnd type="none" w="med" len="med"/>
            </a:ln>
          </c:spPr>
        </c:majorGridlines>
        <c:numFmt formatCode="General" sourceLinked="1"/>
        <c:majorTickMark val="out"/>
        <c:minorTickMark val="none"/>
        <c:tickLblPos val="nextTo"/>
        <c:spPr>
          <a:ln>
            <a:solidFill>
              <a:schemeClr val="tx1"/>
            </a:solidFill>
          </a:ln>
        </c:spPr>
        <c:txPr>
          <a:bodyPr/>
          <a:lstStyle/>
          <a:p>
            <a:pPr>
              <a:defRPr>
                <a:solidFill>
                  <a:srgbClr val="A6A6A6"/>
                </a:solidFill>
                <a:latin typeface="Times New Roman"/>
                <a:ea typeface="Times New Roman"/>
                <a:cs typeface="Times New Roman"/>
              </a:defRPr>
            </a:pPr>
            <a:endParaRPr lang="en-US"/>
          </a:p>
        </c:txPr>
        <c:crossAx val="1788243279"/>
        <c:crosses val="min"/>
        <c:crossBetween val="midCat"/>
      </c:valAx>
      <c:valAx>
        <c:axId val="1788243279"/>
        <c:scaling>
          <c:orientation val="minMax"/>
        </c:scaling>
        <c:delete val="0"/>
        <c:axPos val="l"/>
        <c:majorGridlines>
          <c:spPr>
            <a:ln w="12700" cap="flat" cmpd="sng" algn="ctr">
              <a:solidFill>
                <a:srgbClr val="F2F2F2">
                  <a:lumMod val="100000"/>
                  <a:alpha val="80000"/>
                </a:srgbClr>
              </a:solidFill>
              <a:prstDash val="dash"/>
              <a:round/>
              <a:headEnd type="none" w="med" len="med"/>
              <a:tailEnd type="none" w="med" len="med"/>
            </a:ln>
          </c:spPr>
        </c:majorGridlines>
        <c:numFmt formatCode="0.00" sourceLinked="1"/>
        <c:majorTickMark val="out"/>
        <c:minorTickMark val="none"/>
        <c:tickLblPos val="nextTo"/>
        <c:spPr>
          <a:ln>
            <a:solidFill>
              <a:schemeClr val="tx1"/>
            </a:solidFill>
          </a:ln>
        </c:spPr>
        <c:txPr>
          <a:bodyPr/>
          <a:lstStyle/>
          <a:p>
            <a:pPr>
              <a:defRPr>
                <a:solidFill>
                  <a:srgbClr val="A6A6A6"/>
                </a:solidFill>
                <a:latin typeface="Times New Roman"/>
                <a:ea typeface="Times New Roman"/>
                <a:cs typeface="Times New Roman"/>
              </a:defRPr>
            </a:pPr>
            <a:endParaRPr lang="en-US"/>
          </a:p>
        </c:txPr>
        <c:crossAx val="1795797151"/>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&lt;&lt; Line |$C$25:$C$34|$B$113 &gt;&gt;</c:v>
          </c:tx>
          <c:spPr>
            <a:ln w="12700" cap="rnd" cmpd="sng" algn="ctr">
              <a:solidFill>
                <a:srgbClr val="000000"/>
              </a:solidFill>
              <a:prstDash val="solid"/>
              <a:round/>
              <a:headEnd type="none" w="med" len="med"/>
              <a:tailEnd type="none" w="med" len="med"/>
            </a:ln>
            <a:effectLst/>
          </c:spPr>
          <c:marker>
            <c:symbol val="none"/>
          </c:marker>
          <c:xVal>
            <c:numRef>
              <c:f>Tutorial!$B$25:$B$34</c:f>
              <c:numCache>
                <c:formatCode>General</c:formatCode>
                <c:ptCount val="10"/>
                <c:pt idx="0">
                  <c:v>1</c:v>
                </c:pt>
                <c:pt idx="1">
                  <c:v>2</c:v>
                </c:pt>
                <c:pt idx="2">
                  <c:v>3</c:v>
                </c:pt>
                <c:pt idx="3">
                  <c:v>4</c:v>
                </c:pt>
                <c:pt idx="4">
                  <c:v>5</c:v>
                </c:pt>
                <c:pt idx="5">
                  <c:v>6</c:v>
                </c:pt>
                <c:pt idx="6">
                  <c:v>7</c:v>
                </c:pt>
                <c:pt idx="7">
                  <c:v>8</c:v>
                </c:pt>
                <c:pt idx="8">
                  <c:v>9</c:v>
                </c:pt>
                <c:pt idx="9">
                  <c:v>10</c:v>
                </c:pt>
              </c:numCache>
            </c:numRef>
          </c:xVal>
          <c:yVal>
            <c:numRef>
              <c:f>Tutorial!$C$25:$C$34</c:f>
              <c:numCache>
                <c:formatCode>0.00</c:formatCode>
                <c:ptCount val="10"/>
                <c:pt idx="0">
                  <c:v>-2.0104505705240729</c:v>
                </c:pt>
                <c:pt idx="1">
                  <c:v>-0.82664925981617587</c:v>
                </c:pt>
                <c:pt idx="2">
                  <c:v>-1.0525984485611717</c:v>
                </c:pt>
                <c:pt idx="3">
                  <c:v>-2.0298527226372656</c:v>
                </c:pt>
                <c:pt idx="4">
                  <c:v>-1.6711925147681923</c:v>
                </c:pt>
                <c:pt idx="5">
                  <c:v>-0.88861426571088831</c:v>
                </c:pt>
                <c:pt idx="6">
                  <c:v>-0.66545648150113457</c:v>
                </c:pt>
                <c:pt idx="7">
                  <c:v>-1.8508986797116986</c:v>
                </c:pt>
                <c:pt idx="8">
                  <c:v>-1.810189530158125</c:v>
                </c:pt>
                <c:pt idx="9">
                  <c:v>-2.3847943930030837</c:v>
                </c:pt>
              </c:numCache>
            </c:numRef>
          </c:yVal>
          <c:smooth val="0"/>
          <c:extLst>
            <c:ext xmlns:c16="http://schemas.microsoft.com/office/drawing/2014/chart" uri="{C3380CC4-5D6E-409C-BE32-E72D297353CC}">
              <c16:uniqueId val="{00000023-5D6C-45C3-B8DD-EA3586761287}"/>
            </c:ext>
          </c:extLst>
        </c:ser>
        <c:dLbls>
          <c:showLegendKey val="0"/>
          <c:showVal val="0"/>
          <c:showCatName val="0"/>
          <c:showSerName val="0"/>
          <c:showPercent val="0"/>
          <c:showBubbleSize val="0"/>
        </c:dLbls>
        <c:axId val="1795803551"/>
        <c:axId val="1788243695"/>
      </c:scatterChart>
      <c:valAx>
        <c:axId val="1795803551"/>
        <c:scaling>
          <c:orientation val="minMax"/>
          <c:max val="10"/>
          <c:min val="1"/>
        </c:scaling>
        <c:delete val="0"/>
        <c:axPos val="b"/>
        <c:majorGridlines>
          <c:spPr>
            <a:ln w="12700" cap="flat" cmpd="sng" algn="ctr">
              <a:solidFill>
                <a:srgbClr val="F2F2F2">
                  <a:lumMod val="100000"/>
                  <a:alpha val="80000"/>
                </a:srgbClr>
              </a:solidFill>
              <a:prstDash val="dash"/>
              <a:round/>
              <a:headEnd type="none" w="med" len="med"/>
              <a:tailEnd type="none" w="med" len="med"/>
            </a:ln>
          </c:spPr>
        </c:majorGridlines>
        <c:numFmt formatCode="General" sourceLinked="1"/>
        <c:majorTickMark val="out"/>
        <c:minorTickMark val="none"/>
        <c:tickLblPos val="nextTo"/>
        <c:spPr>
          <a:ln>
            <a:solidFill>
              <a:schemeClr val="tx1"/>
            </a:solidFill>
          </a:ln>
        </c:spPr>
        <c:txPr>
          <a:bodyPr/>
          <a:lstStyle/>
          <a:p>
            <a:pPr>
              <a:defRPr>
                <a:solidFill>
                  <a:srgbClr val="A6A6A6"/>
                </a:solidFill>
                <a:latin typeface="Times New Roman"/>
                <a:ea typeface="Times New Roman"/>
                <a:cs typeface="Times New Roman"/>
              </a:defRPr>
            </a:pPr>
            <a:endParaRPr lang="en-US"/>
          </a:p>
        </c:txPr>
        <c:crossAx val="1788243695"/>
        <c:crosses val="min"/>
        <c:crossBetween val="midCat"/>
      </c:valAx>
      <c:valAx>
        <c:axId val="1788243695"/>
        <c:scaling>
          <c:orientation val="minMax"/>
        </c:scaling>
        <c:delete val="0"/>
        <c:axPos val="l"/>
        <c:majorGridlines>
          <c:spPr>
            <a:ln w="12700" cap="flat" cmpd="sng" algn="ctr">
              <a:solidFill>
                <a:srgbClr val="F2F2F2">
                  <a:lumMod val="100000"/>
                  <a:alpha val="80000"/>
                </a:srgbClr>
              </a:solidFill>
              <a:prstDash val="dash"/>
              <a:round/>
              <a:headEnd type="none" w="med" len="med"/>
              <a:tailEnd type="none" w="med" len="med"/>
            </a:ln>
          </c:spPr>
        </c:majorGridlines>
        <c:numFmt formatCode="0.00" sourceLinked="1"/>
        <c:majorTickMark val="out"/>
        <c:minorTickMark val="none"/>
        <c:tickLblPos val="nextTo"/>
        <c:spPr>
          <a:ln>
            <a:solidFill>
              <a:schemeClr val="tx1"/>
            </a:solidFill>
          </a:ln>
        </c:spPr>
        <c:txPr>
          <a:bodyPr/>
          <a:lstStyle/>
          <a:p>
            <a:pPr>
              <a:defRPr>
                <a:solidFill>
                  <a:srgbClr val="A6A6A6"/>
                </a:solidFill>
                <a:latin typeface="Times New Roman"/>
                <a:ea typeface="Times New Roman"/>
                <a:cs typeface="Times New Roman"/>
              </a:defRPr>
            </a:pPr>
            <a:endParaRPr lang="en-US"/>
          </a:p>
        </c:txPr>
        <c:crossAx val="1795803551"/>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&lt;&lt; Line |$C$25:$C$34|$B$209 &gt;&gt;</c:v>
          </c:tx>
          <c:spPr>
            <a:ln w="12700" cap="rnd" cmpd="sng" algn="ctr">
              <a:solidFill>
                <a:srgbClr val="000000"/>
              </a:solidFill>
              <a:prstDash val="solid"/>
              <a:round/>
              <a:headEnd type="none" w="med" len="med"/>
              <a:tailEnd type="none" w="med" len="med"/>
            </a:ln>
            <a:effectLst>
              <a:glow rad="50800">
                <a:srgbClr val="FA0000">
                  <a:alpha val="70000"/>
                </a:srgbClr>
              </a:glow>
            </a:effectLst>
          </c:spPr>
          <c:marker>
            <c:symbol val="none"/>
          </c:marker>
          <c:xVal>
            <c:numRef>
              <c:f>Tutorial!$B$25:$B$34</c:f>
              <c:numCache>
                <c:formatCode>General</c:formatCode>
                <c:ptCount val="10"/>
                <c:pt idx="0">
                  <c:v>1</c:v>
                </c:pt>
                <c:pt idx="1">
                  <c:v>2</c:v>
                </c:pt>
                <c:pt idx="2">
                  <c:v>3</c:v>
                </c:pt>
                <c:pt idx="3">
                  <c:v>4</c:v>
                </c:pt>
                <c:pt idx="4">
                  <c:v>5</c:v>
                </c:pt>
                <c:pt idx="5">
                  <c:v>6</c:v>
                </c:pt>
                <c:pt idx="6">
                  <c:v>7</c:v>
                </c:pt>
                <c:pt idx="7">
                  <c:v>8</c:v>
                </c:pt>
                <c:pt idx="8">
                  <c:v>9</c:v>
                </c:pt>
                <c:pt idx="9">
                  <c:v>10</c:v>
                </c:pt>
              </c:numCache>
            </c:numRef>
          </c:xVal>
          <c:yVal>
            <c:numRef>
              <c:f>Tutorial!$C$25:$C$34</c:f>
              <c:numCache>
                <c:formatCode>0.00</c:formatCode>
                <c:ptCount val="10"/>
                <c:pt idx="0">
                  <c:v>-2.0104505705240729</c:v>
                </c:pt>
                <c:pt idx="1">
                  <c:v>-0.82664925981617587</c:v>
                </c:pt>
                <c:pt idx="2">
                  <c:v>-1.0525984485611717</c:v>
                </c:pt>
                <c:pt idx="3">
                  <c:v>-2.0298527226372656</c:v>
                </c:pt>
                <c:pt idx="4">
                  <c:v>-1.6711925147681923</c:v>
                </c:pt>
                <c:pt idx="5">
                  <c:v>-0.88861426571088831</c:v>
                </c:pt>
                <c:pt idx="6">
                  <c:v>-0.66545648150113457</c:v>
                </c:pt>
                <c:pt idx="7">
                  <c:v>-1.8508986797116986</c:v>
                </c:pt>
                <c:pt idx="8">
                  <c:v>-1.810189530158125</c:v>
                </c:pt>
                <c:pt idx="9">
                  <c:v>-2.3847943930030837</c:v>
                </c:pt>
              </c:numCache>
            </c:numRef>
          </c:yVal>
          <c:smooth val="0"/>
          <c:extLst>
            <c:ext xmlns:c16="http://schemas.microsoft.com/office/drawing/2014/chart" uri="{C3380CC4-5D6E-409C-BE32-E72D297353CC}">
              <c16:uniqueId val="{0000011E-0496-4624-AE1A-A99395C5CBB6}"/>
            </c:ext>
          </c:extLst>
        </c:ser>
        <c:dLbls>
          <c:showLegendKey val="0"/>
          <c:showVal val="0"/>
          <c:showCatName val="0"/>
          <c:showSerName val="0"/>
          <c:showPercent val="0"/>
          <c:showBubbleSize val="0"/>
        </c:dLbls>
        <c:axId val="1795813951"/>
        <c:axId val="1788245775"/>
      </c:scatterChart>
      <c:valAx>
        <c:axId val="1795813951"/>
        <c:scaling>
          <c:orientation val="minMax"/>
          <c:max val="20"/>
          <c:min val="1"/>
        </c:scaling>
        <c:delete val="0"/>
        <c:axPos val="b"/>
        <c:majorGridlines>
          <c:spPr>
            <a:ln w="12700" cap="flat" cmpd="sng" algn="ctr">
              <a:solidFill>
                <a:srgbClr val="F2F2F2">
                  <a:lumMod val="100000"/>
                  <a:alpha val="80000"/>
                </a:srgbClr>
              </a:solidFill>
              <a:prstDash val="dash"/>
              <a:round/>
              <a:headEnd type="none" w="med" len="med"/>
              <a:tailEnd type="none" w="med" len="med"/>
            </a:ln>
          </c:spPr>
        </c:majorGridlines>
        <c:numFmt formatCode="General" sourceLinked="1"/>
        <c:majorTickMark val="out"/>
        <c:minorTickMark val="none"/>
        <c:tickLblPos val="nextTo"/>
        <c:spPr>
          <a:ln>
            <a:solidFill>
              <a:schemeClr val="tx1"/>
            </a:solidFill>
          </a:ln>
        </c:spPr>
        <c:txPr>
          <a:bodyPr/>
          <a:lstStyle/>
          <a:p>
            <a:pPr>
              <a:defRPr>
                <a:solidFill>
                  <a:srgbClr val="A6A6A6"/>
                </a:solidFill>
                <a:latin typeface="Times New Roman"/>
                <a:ea typeface="Times New Roman"/>
                <a:cs typeface="Times New Roman"/>
              </a:defRPr>
            </a:pPr>
            <a:endParaRPr lang="en-US"/>
          </a:p>
        </c:txPr>
        <c:crossAx val="1788245775"/>
        <c:crosses val="min"/>
        <c:crossBetween val="midCat"/>
      </c:valAx>
      <c:valAx>
        <c:axId val="1788245775"/>
        <c:scaling>
          <c:orientation val="minMax"/>
          <c:max val="2.5138334646081439"/>
          <c:min val="-3.6931504971148752"/>
        </c:scaling>
        <c:delete val="0"/>
        <c:axPos val="l"/>
        <c:majorGridlines>
          <c:spPr>
            <a:ln w="12700" cap="flat" cmpd="sng" algn="ctr">
              <a:solidFill>
                <a:srgbClr val="F2F2F2">
                  <a:lumMod val="100000"/>
                  <a:alpha val="80000"/>
                </a:srgbClr>
              </a:solidFill>
              <a:prstDash val="dash"/>
              <a:round/>
              <a:headEnd type="none" w="med" len="med"/>
              <a:tailEnd type="none" w="med" len="med"/>
            </a:ln>
          </c:spPr>
        </c:majorGridlines>
        <c:numFmt formatCode="0.00" sourceLinked="1"/>
        <c:majorTickMark val="out"/>
        <c:minorTickMark val="none"/>
        <c:tickLblPos val="nextTo"/>
        <c:spPr>
          <a:ln>
            <a:solidFill>
              <a:schemeClr val="tx1"/>
            </a:solidFill>
          </a:ln>
        </c:spPr>
        <c:txPr>
          <a:bodyPr/>
          <a:lstStyle/>
          <a:p>
            <a:pPr>
              <a:defRPr>
                <a:solidFill>
                  <a:srgbClr val="A6A6A6"/>
                </a:solidFill>
                <a:latin typeface="Times New Roman"/>
                <a:ea typeface="Times New Roman"/>
                <a:cs typeface="Times New Roman"/>
              </a:defRPr>
            </a:pPr>
            <a:endParaRPr lang="en-US"/>
          </a:p>
        </c:txPr>
        <c:crossAx val="1795813951"/>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&lt;&lt; Line |$C$25:$C$34|$B$164 &gt;&gt;</c:v>
          </c:tx>
          <c:spPr>
            <a:ln w="12700" cap="rnd" cmpd="sng" algn="ctr">
              <a:solidFill>
                <a:srgbClr val="000000"/>
              </a:solidFill>
              <a:prstDash val="solid"/>
              <a:round/>
              <a:headEnd type="none" w="med" len="med"/>
              <a:tailEnd type="none" w="med" len="med"/>
            </a:ln>
            <a:effectLst>
              <a:glow rad="50800">
                <a:srgbClr val="FA0000">
                  <a:alpha val="70000"/>
                </a:srgbClr>
              </a:glow>
            </a:effectLst>
          </c:spPr>
          <c:marker>
            <c:symbol val="none"/>
          </c:marker>
          <c:xVal>
            <c:numRef>
              <c:f>Tutorial!$B$25:$B$34</c:f>
              <c:numCache>
                <c:formatCode>General</c:formatCode>
                <c:ptCount val="10"/>
                <c:pt idx="0">
                  <c:v>1</c:v>
                </c:pt>
                <c:pt idx="1">
                  <c:v>2</c:v>
                </c:pt>
                <c:pt idx="2">
                  <c:v>3</c:v>
                </c:pt>
                <c:pt idx="3">
                  <c:v>4</c:v>
                </c:pt>
                <c:pt idx="4">
                  <c:v>5</c:v>
                </c:pt>
                <c:pt idx="5">
                  <c:v>6</c:v>
                </c:pt>
                <c:pt idx="6">
                  <c:v>7</c:v>
                </c:pt>
                <c:pt idx="7">
                  <c:v>8</c:v>
                </c:pt>
                <c:pt idx="8">
                  <c:v>9</c:v>
                </c:pt>
                <c:pt idx="9">
                  <c:v>10</c:v>
                </c:pt>
              </c:numCache>
            </c:numRef>
          </c:xVal>
          <c:yVal>
            <c:numRef>
              <c:f>Tutorial!$C$25:$C$34</c:f>
              <c:numCache>
                <c:formatCode>0.00</c:formatCode>
                <c:ptCount val="10"/>
                <c:pt idx="0">
                  <c:v>-2.0104505705240729</c:v>
                </c:pt>
                <c:pt idx="1">
                  <c:v>-0.82664925981617587</c:v>
                </c:pt>
                <c:pt idx="2">
                  <c:v>-1.0525984485611717</c:v>
                </c:pt>
                <c:pt idx="3">
                  <c:v>-2.0298527226372656</c:v>
                </c:pt>
                <c:pt idx="4">
                  <c:v>-1.6711925147681923</c:v>
                </c:pt>
                <c:pt idx="5">
                  <c:v>-0.88861426571088831</c:v>
                </c:pt>
                <c:pt idx="6">
                  <c:v>-0.66545648150113457</c:v>
                </c:pt>
                <c:pt idx="7">
                  <c:v>-1.8508986797116986</c:v>
                </c:pt>
                <c:pt idx="8">
                  <c:v>-1.810189530158125</c:v>
                </c:pt>
                <c:pt idx="9">
                  <c:v>-2.3847943930030837</c:v>
                </c:pt>
              </c:numCache>
            </c:numRef>
          </c:yVal>
          <c:smooth val="0"/>
          <c:extLst>
            <c:ext xmlns:c16="http://schemas.microsoft.com/office/drawing/2014/chart" uri="{C3380CC4-5D6E-409C-BE32-E72D297353CC}">
              <c16:uniqueId val="{00000040-A5A4-400E-A963-807F366BDA30}"/>
            </c:ext>
          </c:extLst>
        </c:ser>
        <c:ser>
          <c:idx val="1"/>
          <c:order val="1"/>
          <c:tx>
            <c:v>&lt;&lt; Line |$B$144:$B$153|$B$164 &gt;&gt;</c:v>
          </c:tx>
          <c:spPr>
            <a:ln w="12700" cap="rnd" cmpd="sng" algn="ctr">
              <a:solidFill>
                <a:srgbClr val="000000"/>
              </a:solidFill>
              <a:prstDash val="solid"/>
              <a:round/>
              <a:headEnd type="none" w="med" len="med"/>
              <a:tailEnd type="none" w="med" len="med"/>
            </a:ln>
            <a:effectLst>
              <a:glow rad="50800">
                <a:srgbClr val="00C78C">
                  <a:alpha val="40000"/>
                </a:srgbClr>
              </a:glow>
            </a:effectLst>
          </c:spPr>
          <c:marker>
            <c:symbol val="none"/>
          </c:marker>
          <c:xVal>
            <c:numRef>
              <c:f>Tutorial!$B$25:$B$34</c:f>
              <c:numCache>
                <c:formatCode>General</c:formatCode>
                <c:ptCount val="10"/>
                <c:pt idx="0">
                  <c:v>1</c:v>
                </c:pt>
                <c:pt idx="1">
                  <c:v>2</c:v>
                </c:pt>
                <c:pt idx="2">
                  <c:v>3</c:v>
                </c:pt>
                <c:pt idx="3">
                  <c:v>4</c:v>
                </c:pt>
                <c:pt idx="4">
                  <c:v>5</c:v>
                </c:pt>
                <c:pt idx="5">
                  <c:v>6</c:v>
                </c:pt>
                <c:pt idx="6">
                  <c:v>7</c:v>
                </c:pt>
                <c:pt idx="7">
                  <c:v>8</c:v>
                </c:pt>
                <c:pt idx="8">
                  <c:v>9</c:v>
                </c:pt>
                <c:pt idx="9">
                  <c:v>10</c:v>
                </c:pt>
              </c:numCache>
            </c:numRef>
          </c:xVal>
          <c:yVal>
            <c:numRef>
              <c:f>Tutorial!$B$144:$B$153</c:f>
              <c:numCache>
                <c:formatCode>General</c:formatCode>
                <c:ptCount val="10"/>
                <c:pt idx="0">
                  <c:v>0.12886021132744796</c:v>
                </c:pt>
                <c:pt idx="1">
                  <c:v>-1.5359296198805543</c:v>
                </c:pt>
                <c:pt idx="2">
                  <c:v>-0.70236567214330137</c:v>
                </c:pt>
                <c:pt idx="3">
                  <c:v>-0.83847298324953723</c:v>
                </c:pt>
                <c:pt idx="4">
                  <c:v>-1.5939280240432498</c:v>
                </c:pt>
                <c:pt idx="5">
                  <c:v>-1.3525721107857231</c:v>
                </c:pt>
                <c:pt idx="6">
                  <c:v>-0.74170887398102292</c:v>
                </c:pt>
                <c:pt idx="7">
                  <c:v>-0.54335470012905551</c:v>
                </c:pt>
                <c:pt idx="8">
                  <c:v>-1.4435453839411188</c:v>
                </c:pt>
                <c:pt idx="9">
                  <c:v>-1.4524556676811251</c:v>
                </c:pt>
              </c:numCache>
            </c:numRef>
          </c:yVal>
          <c:smooth val="0"/>
          <c:extLst>
            <c:ext xmlns:c16="http://schemas.microsoft.com/office/drawing/2014/chart" uri="{C3380CC4-5D6E-409C-BE32-E72D297353CC}">
              <c16:uniqueId val="{00000041-A5A4-400E-A963-807F366BDA30}"/>
            </c:ext>
          </c:extLst>
        </c:ser>
        <c:dLbls>
          <c:showLegendKey val="0"/>
          <c:showVal val="0"/>
          <c:showCatName val="0"/>
          <c:showSerName val="0"/>
          <c:showPercent val="0"/>
          <c:showBubbleSize val="0"/>
        </c:dLbls>
        <c:axId val="1793099295"/>
        <c:axId val="1788314415"/>
      </c:scatterChart>
      <c:valAx>
        <c:axId val="1793099295"/>
        <c:scaling>
          <c:orientation val="minMax"/>
          <c:max val="10"/>
          <c:min val="0"/>
        </c:scaling>
        <c:delete val="0"/>
        <c:axPos val="b"/>
        <c:majorGridlines>
          <c:spPr>
            <a:ln w="12700" cap="flat" cmpd="sng" algn="ctr">
              <a:solidFill>
                <a:srgbClr val="F2F2F2">
                  <a:lumMod val="100000"/>
                  <a:alpha val="80000"/>
                </a:srgbClr>
              </a:solidFill>
              <a:prstDash val="dash"/>
              <a:round/>
              <a:headEnd type="none" w="med" len="med"/>
              <a:tailEnd type="none" w="med" len="med"/>
            </a:ln>
          </c:spPr>
        </c:majorGridlines>
        <c:numFmt formatCode="General" sourceLinked="1"/>
        <c:majorTickMark val="out"/>
        <c:minorTickMark val="none"/>
        <c:tickLblPos val="nextTo"/>
        <c:spPr>
          <a:ln>
            <a:solidFill>
              <a:schemeClr val="tx1"/>
            </a:solidFill>
          </a:ln>
        </c:spPr>
        <c:txPr>
          <a:bodyPr/>
          <a:lstStyle/>
          <a:p>
            <a:pPr>
              <a:defRPr>
                <a:solidFill>
                  <a:srgbClr val="A6A6A6"/>
                </a:solidFill>
                <a:latin typeface="Times New Roman"/>
                <a:ea typeface="Times New Roman"/>
                <a:cs typeface="Times New Roman"/>
              </a:defRPr>
            </a:pPr>
            <a:endParaRPr lang="en-US"/>
          </a:p>
        </c:txPr>
        <c:crossAx val="1788314415"/>
        <c:crosses val="min"/>
        <c:crossBetween val="midCat"/>
      </c:valAx>
      <c:valAx>
        <c:axId val="1788314415"/>
        <c:scaling>
          <c:orientation val="minMax"/>
        </c:scaling>
        <c:delete val="0"/>
        <c:axPos val="l"/>
        <c:majorGridlines>
          <c:spPr>
            <a:ln w="12700" cap="flat" cmpd="sng" algn="ctr">
              <a:solidFill>
                <a:srgbClr val="F2F2F2">
                  <a:lumMod val="100000"/>
                  <a:alpha val="80000"/>
                </a:srgbClr>
              </a:solidFill>
              <a:prstDash val="dash"/>
              <a:round/>
              <a:headEnd type="none" w="med" len="med"/>
              <a:tailEnd type="none" w="med" len="med"/>
            </a:ln>
          </c:spPr>
        </c:majorGridlines>
        <c:numFmt formatCode="0.00" sourceLinked="1"/>
        <c:majorTickMark val="out"/>
        <c:minorTickMark val="none"/>
        <c:tickLblPos val="nextTo"/>
        <c:spPr>
          <a:ln>
            <a:solidFill>
              <a:schemeClr val="tx1"/>
            </a:solidFill>
          </a:ln>
        </c:spPr>
        <c:txPr>
          <a:bodyPr/>
          <a:lstStyle/>
          <a:p>
            <a:pPr>
              <a:defRPr>
                <a:solidFill>
                  <a:srgbClr val="A6A6A6"/>
                </a:solidFill>
                <a:latin typeface="Times New Roman"/>
                <a:ea typeface="Times New Roman"/>
                <a:cs typeface="Times New Roman"/>
              </a:defRPr>
            </a:pPr>
            <a:endParaRPr lang="en-US"/>
          </a:p>
        </c:txPr>
        <c:crossAx val="1793099295"/>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&lt;&lt; Points |$B$144:$B$153|$B$494 &gt;&gt;</c:v>
          </c:tx>
          <c:spPr>
            <a:solidFill>
              <a:srgbClr val="FFFFFF"/>
            </a:solidFill>
            <a:ln w="25400">
              <a:noFill/>
            </a:ln>
            <a:effectLst/>
          </c:spPr>
          <c:marker>
            <c:symbol val="star"/>
            <c:size val="7"/>
            <c:spPr>
              <a:solidFill>
                <a:srgbClr val="FFFFFF"/>
              </a:solidFill>
              <a:ln w="12700">
                <a:solidFill>
                  <a:srgbClr val="000000"/>
                </a:solidFill>
                <a:prstDash val="solid"/>
              </a:ln>
              <a:effectLst/>
            </c:spPr>
          </c:marker>
          <c:errBars>
            <c:errDir val="y"/>
            <c:errBarType val="both"/>
            <c:errValType val="cust"/>
            <c:noEndCap val="1"/>
            <c:plus>
              <c:numLit>
                <c:formatCode>General</c:formatCode>
                <c:ptCount val="10"/>
                <c:pt idx="0">
                  <c:v>-1.928860211327448</c:v>
                </c:pt>
                <c:pt idx="1">
                  <c:v>-0.26407038011944572</c:v>
                </c:pt>
                <c:pt idx="2">
                  <c:v>-1.0976343278566987</c:v>
                </c:pt>
                <c:pt idx="3">
                  <c:v>-0.96152701675046282</c:v>
                </c:pt>
                <c:pt idx="4">
                  <c:v>-0.2060719759567502</c:v>
                </c:pt>
                <c:pt idx="5">
                  <c:v>-0.4474278892142769</c:v>
                </c:pt>
                <c:pt idx="6">
                  <c:v>-1.0582911260189771</c:v>
                </c:pt>
                <c:pt idx="7">
                  <c:v>-1.2566452998709445</c:v>
                </c:pt>
                <c:pt idx="8">
                  <c:v>-0.35645461605888129</c:v>
                </c:pt>
                <c:pt idx="9">
                  <c:v>-0.34754433231887494</c:v>
                </c:pt>
              </c:numLit>
            </c:plus>
            <c:minus>
              <c:numLit>
                <c:formatCode>General</c:formatCode>
                <c:ptCount val="10"/>
                <c:pt idx="0">
                  <c:v>0</c:v>
                </c:pt>
                <c:pt idx="1">
                  <c:v>0</c:v>
                </c:pt>
                <c:pt idx="2">
                  <c:v>0</c:v>
                </c:pt>
                <c:pt idx="3">
                  <c:v>0</c:v>
                </c:pt>
                <c:pt idx="4">
                  <c:v>0</c:v>
                </c:pt>
                <c:pt idx="5">
                  <c:v>0</c:v>
                </c:pt>
                <c:pt idx="6">
                  <c:v>0</c:v>
                </c:pt>
                <c:pt idx="7">
                  <c:v>0</c:v>
                </c:pt>
                <c:pt idx="8">
                  <c:v>0</c:v>
                </c:pt>
                <c:pt idx="9">
                  <c:v>0</c:v>
                </c:pt>
              </c:numLit>
            </c:minus>
            <c:spPr>
              <a:ln w="12700" cap="flat" cmpd="sng" algn="ctr">
                <a:solidFill>
                  <a:srgbClr val="000000"/>
                </a:solidFill>
                <a:prstDash val="solid"/>
                <a:round/>
                <a:headEnd type="none" w="med" len="med"/>
                <a:tailEnd type="none" w="med" len="med"/>
              </a:ln>
            </c:spPr>
          </c:errBars>
          <c:xVal>
            <c:numRef>
              <c:f>Tutorial!$B$25:$B$34</c:f>
              <c:numCache>
                <c:formatCode>General</c:formatCode>
                <c:ptCount val="10"/>
                <c:pt idx="0">
                  <c:v>1</c:v>
                </c:pt>
                <c:pt idx="1">
                  <c:v>2</c:v>
                </c:pt>
                <c:pt idx="2">
                  <c:v>3</c:v>
                </c:pt>
                <c:pt idx="3">
                  <c:v>4</c:v>
                </c:pt>
                <c:pt idx="4">
                  <c:v>5</c:v>
                </c:pt>
                <c:pt idx="5">
                  <c:v>6</c:v>
                </c:pt>
                <c:pt idx="6">
                  <c:v>7</c:v>
                </c:pt>
                <c:pt idx="7">
                  <c:v>8</c:v>
                </c:pt>
                <c:pt idx="8">
                  <c:v>9</c:v>
                </c:pt>
                <c:pt idx="9">
                  <c:v>10</c:v>
                </c:pt>
              </c:numCache>
            </c:numRef>
          </c:xVal>
          <c:yVal>
            <c:numRef>
              <c:f>Tutorial!$B$144:$B$153</c:f>
              <c:numCache>
                <c:formatCode>General</c:formatCode>
                <c:ptCount val="10"/>
                <c:pt idx="0">
                  <c:v>0.12886021132744796</c:v>
                </c:pt>
                <c:pt idx="1">
                  <c:v>-1.5359296198805543</c:v>
                </c:pt>
                <c:pt idx="2">
                  <c:v>-0.70236567214330137</c:v>
                </c:pt>
                <c:pt idx="3">
                  <c:v>-0.83847298324953723</c:v>
                </c:pt>
                <c:pt idx="4">
                  <c:v>-1.5939280240432498</c:v>
                </c:pt>
                <c:pt idx="5">
                  <c:v>-1.3525721107857231</c:v>
                </c:pt>
                <c:pt idx="6">
                  <c:v>-0.74170887398102292</c:v>
                </c:pt>
                <c:pt idx="7">
                  <c:v>-0.54335470012905551</c:v>
                </c:pt>
                <c:pt idx="8">
                  <c:v>-1.4435453839411188</c:v>
                </c:pt>
                <c:pt idx="9">
                  <c:v>-1.4524556676811251</c:v>
                </c:pt>
              </c:numCache>
            </c:numRef>
          </c:yVal>
          <c:smooth val="0"/>
          <c:extLst>
            <c:ext xmlns:c16="http://schemas.microsoft.com/office/drawing/2014/chart" uri="{C3380CC4-5D6E-409C-BE32-E72D297353CC}">
              <c16:uniqueId val="{00000003-18E8-4348-94B4-6E49003AFB08}"/>
            </c:ext>
          </c:extLst>
        </c:ser>
        <c:ser>
          <c:idx val="1"/>
          <c:order val="1"/>
          <c:tx>
            <c:v>&lt;&lt; Points |$C$25:$C$34|$B$494 &gt;&gt;</c:v>
          </c:tx>
          <c:spPr>
            <a:solidFill>
              <a:srgbClr val="FFFFFF"/>
            </a:solidFill>
            <a:ln w="25400">
              <a:noFill/>
            </a:ln>
            <a:effectLst/>
          </c:spPr>
          <c:marker>
            <c:symbol val="diamond"/>
            <c:size val="8"/>
            <c:spPr>
              <a:solidFill>
                <a:srgbClr val="FA0000"/>
              </a:solidFill>
              <a:ln w="12700">
                <a:solidFill>
                  <a:srgbClr val="000000"/>
                </a:solidFill>
                <a:prstDash val="solid"/>
              </a:ln>
              <a:effectLst/>
            </c:spPr>
          </c:marker>
          <c:errBars>
            <c:errDir val="x"/>
            <c:errBarType val="both"/>
            <c:errValType val="cust"/>
            <c:noEndCap val="1"/>
            <c:plus>
              <c:numLit>
                <c:formatCode>General</c:formatCode>
                <c:ptCount val="10"/>
                <c:pt idx="0">
                  <c:v>0</c:v>
                </c:pt>
                <c:pt idx="1">
                  <c:v>-1</c:v>
                </c:pt>
                <c:pt idx="2">
                  <c:v>-2</c:v>
                </c:pt>
                <c:pt idx="3">
                  <c:v>-3</c:v>
                </c:pt>
                <c:pt idx="4">
                  <c:v>-4</c:v>
                </c:pt>
                <c:pt idx="5">
                  <c:v>-5</c:v>
                </c:pt>
                <c:pt idx="6">
                  <c:v>-6</c:v>
                </c:pt>
                <c:pt idx="7">
                  <c:v>-7</c:v>
                </c:pt>
                <c:pt idx="8">
                  <c:v>-8</c:v>
                </c:pt>
                <c:pt idx="9">
                  <c:v>-9</c:v>
                </c:pt>
              </c:numLit>
            </c:plus>
            <c:minus>
              <c:numLit>
                <c:formatCode>General</c:formatCode>
                <c:ptCount val="10"/>
                <c:pt idx="0">
                  <c:v>0</c:v>
                </c:pt>
                <c:pt idx="1">
                  <c:v>0</c:v>
                </c:pt>
                <c:pt idx="2">
                  <c:v>0</c:v>
                </c:pt>
                <c:pt idx="3">
                  <c:v>0</c:v>
                </c:pt>
                <c:pt idx="4">
                  <c:v>0</c:v>
                </c:pt>
                <c:pt idx="5">
                  <c:v>0</c:v>
                </c:pt>
                <c:pt idx="6">
                  <c:v>0</c:v>
                </c:pt>
                <c:pt idx="7">
                  <c:v>0</c:v>
                </c:pt>
                <c:pt idx="8">
                  <c:v>0</c:v>
                </c:pt>
                <c:pt idx="9">
                  <c:v>0</c:v>
                </c:pt>
              </c:numLit>
            </c:minus>
            <c:spPr>
              <a:ln w="12700" cap="flat" cmpd="sng" algn="ctr">
                <a:solidFill>
                  <a:srgbClr val="000000"/>
                </a:solidFill>
                <a:prstDash val="solid"/>
                <a:round/>
                <a:headEnd type="none" w="med" len="med"/>
                <a:tailEnd type="none" w="med" len="med"/>
              </a:ln>
            </c:spPr>
          </c:errBars>
          <c:xVal>
            <c:numRef>
              <c:f>Tutorial!$B$25:$B$34</c:f>
              <c:numCache>
                <c:formatCode>General</c:formatCode>
                <c:ptCount val="10"/>
                <c:pt idx="0">
                  <c:v>1</c:v>
                </c:pt>
                <c:pt idx="1">
                  <c:v>2</c:v>
                </c:pt>
                <c:pt idx="2">
                  <c:v>3</c:v>
                </c:pt>
                <c:pt idx="3">
                  <c:v>4</c:v>
                </c:pt>
                <c:pt idx="4">
                  <c:v>5</c:v>
                </c:pt>
                <c:pt idx="5">
                  <c:v>6</c:v>
                </c:pt>
                <c:pt idx="6">
                  <c:v>7</c:v>
                </c:pt>
                <c:pt idx="7">
                  <c:v>8</c:v>
                </c:pt>
                <c:pt idx="8">
                  <c:v>9</c:v>
                </c:pt>
                <c:pt idx="9">
                  <c:v>10</c:v>
                </c:pt>
              </c:numCache>
            </c:numRef>
          </c:xVal>
          <c:yVal>
            <c:numRef>
              <c:f>Tutorial!$C$25:$C$34</c:f>
              <c:numCache>
                <c:formatCode>0.00</c:formatCode>
                <c:ptCount val="10"/>
                <c:pt idx="0">
                  <c:v>-2.0104505705240729</c:v>
                </c:pt>
                <c:pt idx="1">
                  <c:v>-0.82664925981617587</c:v>
                </c:pt>
                <c:pt idx="2">
                  <c:v>-1.0525984485611717</c:v>
                </c:pt>
                <c:pt idx="3">
                  <c:v>-2.0298527226372656</c:v>
                </c:pt>
                <c:pt idx="4">
                  <c:v>-1.6711925147681923</c:v>
                </c:pt>
                <c:pt idx="5">
                  <c:v>-0.88861426571088831</c:v>
                </c:pt>
                <c:pt idx="6">
                  <c:v>-0.66545648150113457</c:v>
                </c:pt>
                <c:pt idx="7">
                  <c:v>-1.8508986797116986</c:v>
                </c:pt>
                <c:pt idx="8">
                  <c:v>-1.810189530158125</c:v>
                </c:pt>
                <c:pt idx="9">
                  <c:v>-2.3847943930030837</c:v>
                </c:pt>
              </c:numCache>
            </c:numRef>
          </c:yVal>
          <c:smooth val="0"/>
          <c:extLst>
            <c:ext xmlns:c16="http://schemas.microsoft.com/office/drawing/2014/chart" uri="{C3380CC4-5D6E-409C-BE32-E72D297353CC}">
              <c16:uniqueId val="{00000004-18E8-4348-94B4-6E49003AFB08}"/>
            </c:ext>
          </c:extLst>
        </c:ser>
        <c:dLbls>
          <c:showLegendKey val="0"/>
          <c:showVal val="0"/>
          <c:showCatName val="0"/>
          <c:showSerName val="0"/>
          <c:showPercent val="0"/>
          <c:showBubbleSize val="0"/>
        </c:dLbls>
        <c:axId val="1190972703"/>
        <c:axId val="1527434623"/>
      </c:scatterChart>
      <c:valAx>
        <c:axId val="1190972703"/>
        <c:scaling>
          <c:orientation val="minMax"/>
          <c:max val="10"/>
          <c:min val="1"/>
        </c:scaling>
        <c:delete val="0"/>
        <c:axPos val="b"/>
        <c:majorGridlines>
          <c:spPr>
            <a:ln w="12700" cap="flat" cmpd="sng" algn="ctr">
              <a:solidFill>
                <a:srgbClr val="F2F2F2">
                  <a:lumMod val="100000"/>
                  <a:alpha val="80000"/>
                </a:srgbClr>
              </a:solidFill>
              <a:prstDash val="dash"/>
              <a:round/>
              <a:headEnd type="none" w="med" len="med"/>
              <a:tailEnd type="none" w="med" len="med"/>
            </a:ln>
          </c:spPr>
        </c:majorGridlines>
        <c:numFmt formatCode="General" sourceLinked="1"/>
        <c:majorTickMark val="out"/>
        <c:minorTickMark val="none"/>
        <c:tickLblPos val="nextTo"/>
        <c:spPr>
          <a:ln>
            <a:solidFill>
              <a:schemeClr val="tx1"/>
            </a:solidFill>
          </a:ln>
        </c:spPr>
        <c:txPr>
          <a:bodyPr/>
          <a:lstStyle/>
          <a:p>
            <a:pPr>
              <a:defRPr>
                <a:solidFill>
                  <a:srgbClr val="A6A6A6"/>
                </a:solidFill>
                <a:latin typeface="Times New Roman"/>
                <a:ea typeface="Times New Roman"/>
                <a:cs typeface="Times New Roman"/>
              </a:defRPr>
            </a:pPr>
            <a:endParaRPr lang="en-US"/>
          </a:p>
        </c:txPr>
        <c:crossAx val="1527434623"/>
        <c:crossesAt val="-1.8"/>
        <c:crossBetween val="midCat"/>
      </c:valAx>
      <c:valAx>
        <c:axId val="1527434623"/>
        <c:scaling>
          <c:orientation val="minMax"/>
        </c:scaling>
        <c:delete val="0"/>
        <c:axPos val="l"/>
        <c:majorGridlines>
          <c:spPr>
            <a:ln w="12700" cap="flat" cmpd="sng" algn="ctr">
              <a:solidFill>
                <a:srgbClr val="F2F2F2">
                  <a:lumMod val="100000"/>
                  <a:alpha val="80000"/>
                </a:srgbClr>
              </a:solidFill>
              <a:prstDash val="dash"/>
              <a:round/>
              <a:headEnd type="none" w="med" len="med"/>
              <a:tailEnd type="none" w="med" len="med"/>
            </a:ln>
          </c:spPr>
        </c:majorGridlines>
        <c:numFmt formatCode="General" sourceLinked="1"/>
        <c:majorTickMark val="out"/>
        <c:minorTickMark val="none"/>
        <c:tickLblPos val="nextTo"/>
        <c:spPr>
          <a:ln>
            <a:solidFill>
              <a:schemeClr val="tx1"/>
            </a:solidFill>
          </a:ln>
        </c:spPr>
        <c:txPr>
          <a:bodyPr/>
          <a:lstStyle/>
          <a:p>
            <a:pPr>
              <a:defRPr>
                <a:solidFill>
                  <a:srgbClr val="A6A6A6"/>
                </a:solidFill>
                <a:latin typeface="Times New Roman"/>
                <a:ea typeface="Times New Roman"/>
                <a:cs typeface="Times New Roman"/>
              </a:defRPr>
            </a:pPr>
            <a:endParaRPr lang="en-US"/>
          </a:p>
        </c:txPr>
        <c:crossAx val="1190972703"/>
        <c:crossesAt val="1"/>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&lt;&lt; Line |$V$4:$V$122|$B$350 &gt;&gt;</c:v>
          </c:tx>
          <c:spPr>
            <a:ln w="12700" cap="rnd" cmpd="sng" algn="ctr">
              <a:solidFill>
                <a:srgbClr val="FF4500"/>
              </a:solidFill>
              <a:prstDash val="solid"/>
              <a:round/>
              <a:headEnd type="none" w="med" len="med"/>
              <a:tailEnd type="none" w="med" len="med"/>
            </a:ln>
            <a:effectLst/>
          </c:spPr>
          <c:marker>
            <c:symbol val="none"/>
          </c:marker>
          <c:xVal>
            <c:numRef>
              <c:f>DATA!$H$60:$H$122</c:f>
              <c:numCache>
                <c:formatCode>General</c:formatCode>
                <c:ptCount val="63"/>
                <c:pt idx="0">
                  <c:v>57</c:v>
                </c:pt>
                <c:pt idx="1">
                  <c:v>58</c:v>
                </c:pt>
                <c:pt idx="2">
                  <c:v>59</c:v>
                </c:pt>
                <c:pt idx="3">
                  <c:v>60</c:v>
                </c:pt>
                <c:pt idx="4">
                  <c:v>61</c:v>
                </c:pt>
                <c:pt idx="5">
                  <c:v>62</c:v>
                </c:pt>
                <c:pt idx="6">
                  <c:v>63</c:v>
                </c:pt>
                <c:pt idx="7">
                  <c:v>64</c:v>
                </c:pt>
                <c:pt idx="8">
                  <c:v>65</c:v>
                </c:pt>
                <c:pt idx="9">
                  <c:v>66</c:v>
                </c:pt>
                <c:pt idx="10">
                  <c:v>67</c:v>
                </c:pt>
                <c:pt idx="11">
                  <c:v>68</c:v>
                </c:pt>
                <c:pt idx="12">
                  <c:v>69</c:v>
                </c:pt>
                <c:pt idx="13">
                  <c:v>70</c:v>
                </c:pt>
                <c:pt idx="14">
                  <c:v>71</c:v>
                </c:pt>
                <c:pt idx="15">
                  <c:v>72</c:v>
                </c:pt>
                <c:pt idx="16">
                  <c:v>73</c:v>
                </c:pt>
                <c:pt idx="17">
                  <c:v>74</c:v>
                </c:pt>
                <c:pt idx="18">
                  <c:v>75</c:v>
                </c:pt>
                <c:pt idx="19">
                  <c:v>76</c:v>
                </c:pt>
                <c:pt idx="20">
                  <c:v>77</c:v>
                </c:pt>
                <c:pt idx="21">
                  <c:v>78</c:v>
                </c:pt>
                <c:pt idx="22">
                  <c:v>79</c:v>
                </c:pt>
                <c:pt idx="23">
                  <c:v>80</c:v>
                </c:pt>
                <c:pt idx="24">
                  <c:v>81</c:v>
                </c:pt>
                <c:pt idx="25">
                  <c:v>82</c:v>
                </c:pt>
                <c:pt idx="26">
                  <c:v>83</c:v>
                </c:pt>
                <c:pt idx="27">
                  <c:v>84</c:v>
                </c:pt>
                <c:pt idx="28">
                  <c:v>85</c:v>
                </c:pt>
                <c:pt idx="29">
                  <c:v>86</c:v>
                </c:pt>
                <c:pt idx="30">
                  <c:v>87</c:v>
                </c:pt>
                <c:pt idx="31">
                  <c:v>88</c:v>
                </c:pt>
                <c:pt idx="32">
                  <c:v>89</c:v>
                </c:pt>
                <c:pt idx="33">
                  <c:v>90</c:v>
                </c:pt>
                <c:pt idx="34">
                  <c:v>91</c:v>
                </c:pt>
                <c:pt idx="35">
                  <c:v>92</c:v>
                </c:pt>
                <c:pt idx="36">
                  <c:v>93</c:v>
                </c:pt>
                <c:pt idx="37">
                  <c:v>94</c:v>
                </c:pt>
                <c:pt idx="38">
                  <c:v>95</c:v>
                </c:pt>
                <c:pt idx="39">
                  <c:v>96</c:v>
                </c:pt>
                <c:pt idx="40">
                  <c:v>97</c:v>
                </c:pt>
                <c:pt idx="41">
                  <c:v>98</c:v>
                </c:pt>
                <c:pt idx="42">
                  <c:v>99</c:v>
                </c:pt>
                <c:pt idx="43">
                  <c:v>100</c:v>
                </c:pt>
                <c:pt idx="44">
                  <c:v>101</c:v>
                </c:pt>
                <c:pt idx="45">
                  <c:v>102</c:v>
                </c:pt>
                <c:pt idx="46">
                  <c:v>103</c:v>
                </c:pt>
                <c:pt idx="47">
                  <c:v>104</c:v>
                </c:pt>
                <c:pt idx="48">
                  <c:v>105</c:v>
                </c:pt>
                <c:pt idx="49">
                  <c:v>106</c:v>
                </c:pt>
                <c:pt idx="50">
                  <c:v>107</c:v>
                </c:pt>
                <c:pt idx="51">
                  <c:v>108</c:v>
                </c:pt>
                <c:pt idx="52">
                  <c:v>109</c:v>
                </c:pt>
                <c:pt idx="53">
                  <c:v>110</c:v>
                </c:pt>
                <c:pt idx="54">
                  <c:v>111</c:v>
                </c:pt>
                <c:pt idx="55">
                  <c:v>112</c:v>
                </c:pt>
                <c:pt idx="56">
                  <c:v>113</c:v>
                </c:pt>
                <c:pt idx="57">
                  <c:v>114</c:v>
                </c:pt>
                <c:pt idx="58">
                  <c:v>115</c:v>
                </c:pt>
                <c:pt idx="59">
                  <c:v>116</c:v>
                </c:pt>
                <c:pt idx="60">
                  <c:v>117</c:v>
                </c:pt>
                <c:pt idx="61">
                  <c:v>118</c:v>
                </c:pt>
                <c:pt idx="62">
                  <c:v>119</c:v>
                </c:pt>
              </c:numCache>
            </c:numRef>
          </c:xVal>
          <c:yVal>
            <c:numRef>
              <c:f>DATA!$V$4:$V$122</c:f>
              <c:numCache>
                <c:formatCode>0.00</c:formatCode>
                <c:ptCount val="119"/>
                <c:pt idx="0">
                  <c:v>-1.2747657362147315</c:v>
                </c:pt>
                <c:pt idx="1">
                  <c:v>-0.58724017764884762</c:v>
                </c:pt>
                <c:pt idx="2">
                  <c:v>-0.1694593810733076</c:v>
                </c:pt>
                <c:pt idx="3">
                  <c:v>0.54003213171776809</c:v>
                </c:pt>
                <c:pt idx="4">
                  <c:v>0.75767073663420426</c:v>
                </c:pt>
                <c:pt idx="5">
                  <c:v>-1.4271301852737119</c:v>
                </c:pt>
                <c:pt idx="6">
                  <c:v>-0.88407325459892738</c:v>
                </c:pt>
                <c:pt idx="7">
                  <c:v>0.72683273132563908</c:v>
                </c:pt>
                <c:pt idx="8">
                  <c:v>-0.52524877123880975</c:v>
                </c:pt>
                <c:pt idx="9">
                  <c:v>-1.0745962838628447</c:v>
                </c:pt>
                <c:pt idx="10">
                  <c:v>-0.91372867219850329</c:v>
                </c:pt>
                <c:pt idx="11">
                  <c:v>-0.27294962194640016</c:v>
                </c:pt>
                <c:pt idx="12">
                  <c:v>-1.3076137039668494</c:v>
                </c:pt>
                <c:pt idx="13">
                  <c:v>-0.81002903087426459</c:v>
                </c:pt>
                <c:pt idx="14">
                  <c:v>-1.0155132695837403</c:v>
                </c:pt>
                <c:pt idx="15">
                  <c:v>-1.9795032991544872</c:v>
                </c:pt>
                <c:pt idx="16">
                  <c:v>-2.1128216646769244</c:v>
                </c:pt>
                <c:pt idx="17">
                  <c:v>-3.9107573349670437</c:v>
                </c:pt>
                <c:pt idx="18">
                  <c:v>-2.851948736645423</c:v>
                </c:pt>
                <c:pt idx="19">
                  <c:v>-2.433897902267145</c:v>
                </c:pt>
                <c:pt idx="20">
                  <c:v>-3.401167080894143</c:v>
                </c:pt>
                <c:pt idx="21">
                  <c:v>-1.6651840440922494</c:v>
                </c:pt>
                <c:pt idx="22">
                  <c:v>-1.6037287453589824</c:v>
                </c:pt>
                <c:pt idx="23">
                  <c:v>-0.49141651495841543</c:v>
                </c:pt>
                <c:pt idx="24">
                  <c:v>1.0929251936013265</c:v>
                </c:pt>
                <c:pt idx="25">
                  <c:v>1.8269570549114655</c:v>
                </c:pt>
                <c:pt idx="26">
                  <c:v>1.7019251655417815</c:v>
                </c:pt>
                <c:pt idx="27">
                  <c:v>1.1208010159316135</c:v>
                </c:pt>
                <c:pt idx="28">
                  <c:v>1.3120640875788538</c:v>
                </c:pt>
                <c:pt idx="29">
                  <c:v>-0.25708783523314782</c:v>
                </c:pt>
                <c:pt idx="30">
                  <c:v>-1.9748878200437268</c:v>
                </c:pt>
                <c:pt idx="31">
                  <c:v>-1.9789268278625922</c:v>
                </c:pt>
                <c:pt idx="32">
                  <c:v>-2.2163099355003517</c:v>
                </c:pt>
                <c:pt idx="33">
                  <c:v>-2.175511392493465</c:v>
                </c:pt>
                <c:pt idx="34">
                  <c:v>-0.27539239690308381</c:v>
                </c:pt>
                <c:pt idx="35">
                  <c:v>-1.394638293448889</c:v>
                </c:pt>
                <c:pt idx="36">
                  <c:v>-1.386350233226191</c:v>
                </c:pt>
                <c:pt idx="37">
                  <c:v>-2.4221698087498744</c:v>
                </c:pt>
                <c:pt idx="38">
                  <c:v>-3.1193149187007068</c:v>
                </c:pt>
                <c:pt idx="39">
                  <c:v>-0.58087719654276526</c:v>
                </c:pt>
                <c:pt idx="40">
                  <c:v>-0.96487011088896812</c:v>
                </c:pt>
                <c:pt idx="41">
                  <c:v>-1.5005599823695857</c:v>
                </c:pt>
                <c:pt idx="42">
                  <c:v>-2.6477345514766668</c:v>
                </c:pt>
                <c:pt idx="43">
                  <c:v>-1.417356303892942</c:v>
                </c:pt>
                <c:pt idx="44">
                  <c:v>-2.3368992745231654</c:v>
                </c:pt>
                <c:pt idx="45">
                  <c:v>-3.7876707992166341</c:v>
                </c:pt>
                <c:pt idx="46">
                  <c:v>-2.5735688853242373</c:v>
                </c:pt>
                <c:pt idx="47">
                  <c:v>-1.3321273911875402</c:v>
                </c:pt>
                <c:pt idx="48">
                  <c:v>-1.4393469105989065</c:v>
                </c:pt>
                <c:pt idx="49">
                  <c:v>-1.3224994326264514</c:v>
                </c:pt>
                <c:pt idx="50">
                  <c:v>-2.2910015729417332</c:v>
                </c:pt>
                <c:pt idx="51">
                  <c:v>-0.48713583477618494</c:v>
                </c:pt>
                <c:pt idx="52">
                  <c:v>-1.4060352152021469</c:v>
                </c:pt>
                <c:pt idx="53">
                  <c:v>-1.0676034686265934</c:v>
                </c:pt>
                <c:pt idx="54">
                  <c:v>-0.46764235639181961</c:v>
                </c:pt>
                <c:pt idx="55">
                  <c:v>-2.1021603873908354</c:v>
                </c:pt>
                <c:pt idx="56">
                  <c:v>-1.5881953057684706</c:v>
                </c:pt>
                <c:pt idx="57">
                  <c:v>0.80906013015780287</c:v>
                </c:pt>
                <c:pt idx="58">
                  <c:v>1.4196875827706474</c:v>
                </c:pt>
                <c:pt idx="59">
                  <c:v>-0.61195500739519648</c:v>
                </c:pt>
                <c:pt idx="60">
                  <c:v>-1.1957990515473442</c:v>
                </c:pt>
                <c:pt idx="61">
                  <c:v>-2.7678216109410001</c:v>
                </c:pt>
                <c:pt idx="62">
                  <c:v>-1.777007001453585</c:v>
                </c:pt>
                <c:pt idx="63">
                  <c:v>-1.0035749687193094</c:v>
                </c:pt>
                <c:pt idx="64">
                  <c:v>-1.4139525182954045</c:v>
                </c:pt>
                <c:pt idx="65">
                  <c:v>-1.330250829675991</c:v>
                </c:pt>
                <c:pt idx="66">
                  <c:v>-1.5491284059365564</c:v>
                </c:pt>
                <c:pt idx="67">
                  <c:v>-1.5401038817841395</c:v>
                </c:pt>
                <c:pt idx="68">
                  <c:v>-1.606289025020065</c:v>
                </c:pt>
                <c:pt idx="69">
                  <c:v>-0.54888022666981739</c:v>
                </c:pt>
                <c:pt idx="70">
                  <c:v>-1.0269296597623376</c:v>
                </c:pt>
                <c:pt idx="71">
                  <c:v>-1.3154813760429491</c:v>
                </c:pt>
                <c:pt idx="72">
                  <c:v>-1.463161671361235</c:v>
                </c:pt>
                <c:pt idx="73">
                  <c:v>-0.14089939234442017</c:v>
                </c:pt>
                <c:pt idx="74">
                  <c:v>0.39263818450661292</c:v>
                </c:pt>
                <c:pt idx="75">
                  <c:v>-4.2617855081737654E-2</c:v>
                </c:pt>
                <c:pt idx="76">
                  <c:v>0.49244027663403472</c:v>
                </c:pt>
                <c:pt idx="77">
                  <c:v>-1.3654569359648017</c:v>
                </c:pt>
                <c:pt idx="78">
                  <c:v>-0.44469564278857132</c:v>
                </c:pt>
                <c:pt idx="79">
                  <c:v>-3.2491599424698125</c:v>
                </c:pt>
                <c:pt idx="80">
                  <c:v>-1.6905545291171455</c:v>
                </c:pt>
                <c:pt idx="81">
                  <c:v>-0.64466222549423868</c:v>
                </c:pt>
                <c:pt idx="82">
                  <c:v>-1.227390141771681</c:v>
                </c:pt>
                <c:pt idx="83">
                  <c:v>-1.0419854616374036</c:v>
                </c:pt>
                <c:pt idx="84">
                  <c:v>0.44135826841527892</c:v>
                </c:pt>
                <c:pt idx="85">
                  <c:v>-0.59432635984425319</c:v>
                </c:pt>
                <c:pt idx="86">
                  <c:v>-0.11142822994069745</c:v>
                </c:pt>
                <c:pt idx="87">
                  <c:v>-0.44243836781686008</c:v>
                </c:pt>
                <c:pt idx="88">
                  <c:v>-2.3152803739725409</c:v>
                </c:pt>
                <c:pt idx="89">
                  <c:v>-2.0855734450785808</c:v>
                </c:pt>
                <c:pt idx="90">
                  <c:v>-1.6351591104198195</c:v>
                </c:pt>
                <c:pt idx="91">
                  <c:v>-1.8789472419560236</c:v>
                </c:pt>
                <c:pt idx="92">
                  <c:v>-1.1439773155796322</c:v>
                </c:pt>
                <c:pt idx="93">
                  <c:v>-1.8433335386028491</c:v>
                </c:pt>
                <c:pt idx="94">
                  <c:v>-0.58657474252975361</c:v>
                </c:pt>
                <c:pt idx="95">
                  <c:v>-2.1258556581180725</c:v>
                </c:pt>
                <c:pt idx="96">
                  <c:v>-0.98580400117561584</c:v>
                </c:pt>
                <c:pt idx="97">
                  <c:v>-0.94426964942557245</c:v>
                </c:pt>
                <c:pt idx="98">
                  <c:v>-1.3640841351702329</c:v>
                </c:pt>
                <c:pt idx="99">
                  <c:v>-1.4200919877513098</c:v>
                </c:pt>
                <c:pt idx="100">
                  <c:v>-0.68227553889207726</c:v>
                </c:pt>
                <c:pt idx="101">
                  <c:v>1.126843828434031</c:v>
                </c:pt>
                <c:pt idx="102">
                  <c:v>2.3943124777757614</c:v>
                </c:pt>
                <c:pt idx="103">
                  <c:v>3.2648238986011182</c:v>
                </c:pt>
                <c:pt idx="104">
                  <c:v>1.8226268625589421</c:v>
                </c:pt>
                <c:pt idx="105">
                  <c:v>3.8942137459302648</c:v>
                </c:pt>
                <c:pt idx="106">
                  <c:v>4.1814279683958668</c:v>
                </c:pt>
                <c:pt idx="107">
                  <c:v>1.7689299933494633</c:v>
                </c:pt>
                <c:pt idx="108">
                  <c:v>8.0528712550017589E-2</c:v>
                </c:pt>
                <c:pt idx="109">
                  <c:v>-2.0104505705240729</c:v>
                </c:pt>
                <c:pt idx="110">
                  <c:v>-0.82664925981617587</c:v>
                </c:pt>
                <c:pt idx="111">
                  <c:v>-1.0525984485611717</c:v>
                </c:pt>
                <c:pt idx="112">
                  <c:v>-2.0298527226372656</c:v>
                </c:pt>
                <c:pt idx="113">
                  <c:v>-1.6711925147681923</c:v>
                </c:pt>
                <c:pt idx="114">
                  <c:v>-0.88861426571088831</c:v>
                </c:pt>
                <c:pt idx="115">
                  <c:v>-0.66545648150113457</c:v>
                </c:pt>
                <c:pt idx="116">
                  <c:v>-1.8508986797116986</c:v>
                </c:pt>
                <c:pt idx="117">
                  <c:v>-1.810189530158125</c:v>
                </c:pt>
                <c:pt idx="118">
                  <c:v>-2.3847943930030837</c:v>
                </c:pt>
              </c:numCache>
            </c:numRef>
          </c:yVal>
          <c:smooth val="0"/>
          <c:extLst>
            <c:ext xmlns:c16="http://schemas.microsoft.com/office/drawing/2014/chart" uri="{C3380CC4-5D6E-409C-BE32-E72D297353CC}">
              <c16:uniqueId val="{00000001-75E5-491D-941F-A7FBA090FDE1}"/>
            </c:ext>
          </c:extLst>
        </c:ser>
        <c:dLbls>
          <c:showLegendKey val="0"/>
          <c:showVal val="0"/>
          <c:showCatName val="0"/>
          <c:showSerName val="0"/>
          <c:showPercent val="0"/>
          <c:showBubbleSize val="0"/>
        </c:dLbls>
        <c:axId val="1973752911"/>
        <c:axId val="1513851855"/>
      </c:scatterChart>
      <c:valAx>
        <c:axId val="1973752911"/>
        <c:scaling>
          <c:orientation val="minMax"/>
          <c:max val="134"/>
          <c:min val="57"/>
        </c:scaling>
        <c:delete val="0"/>
        <c:axPos val="b"/>
        <c:majorGridlines>
          <c:spPr>
            <a:ln w="12700" cap="flat" cmpd="sng" algn="ctr">
              <a:solidFill>
                <a:srgbClr val="F2F2F2">
                  <a:lumMod val="100000"/>
                  <a:alpha val="80000"/>
                </a:srgbClr>
              </a:solidFill>
              <a:prstDash val="dash"/>
              <a:round/>
              <a:headEnd type="none" w="med" len="med"/>
              <a:tailEnd type="none" w="med" len="med"/>
            </a:ln>
          </c:spPr>
        </c:majorGridlines>
        <c:numFmt formatCode="General" sourceLinked="1"/>
        <c:majorTickMark val="out"/>
        <c:minorTickMark val="none"/>
        <c:tickLblPos val="nextTo"/>
        <c:spPr>
          <a:ln>
            <a:solidFill>
              <a:schemeClr val="tx1"/>
            </a:solidFill>
          </a:ln>
        </c:spPr>
        <c:txPr>
          <a:bodyPr/>
          <a:lstStyle/>
          <a:p>
            <a:pPr>
              <a:defRPr>
                <a:solidFill>
                  <a:srgbClr val="A6A6A6"/>
                </a:solidFill>
                <a:latin typeface="Times New Roman"/>
                <a:ea typeface="Times New Roman"/>
                <a:cs typeface="Times New Roman"/>
              </a:defRPr>
            </a:pPr>
            <a:endParaRPr lang="en-US"/>
          </a:p>
        </c:txPr>
        <c:crossAx val="1513851855"/>
        <c:crosses val="min"/>
        <c:crossBetween val="midCat"/>
      </c:valAx>
      <c:valAx>
        <c:axId val="1513851855"/>
        <c:scaling>
          <c:orientation val="minMax"/>
          <c:max val="4.3157732338570991"/>
          <c:min val="-5.0139489792179806"/>
        </c:scaling>
        <c:delete val="0"/>
        <c:axPos val="l"/>
        <c:majorGridlines>
          <c:spPr>
            <a:ln w="12700" cap="flat" cmpd="sng" algn="ctr">
              <a:solidFill>
                <a:srgbClr val="F2F2F2">
                  <a:lumMod val="100000"/>
                  <a:alpha val="80000"/>
                </a:srgbClr>
              </a:solidFill>
              <a:prstDash val="dash"/>
              <a:round/>
              <a:headEnd type="none" w="med" len="med"/>
              <a:tailEnd type="none" w="med" len="med"/>
            </a:ln>
          </c:spPr>
        </c:majorGridlines>
        <c:numFmt formatCode="0.00" sourceLinked="1"/>
        <c:majorTickMark val="out"/>
        <c:minorTickMark val="none"/>
        <c:tickLblPos val="nextTo"/>
        <c:spPr>
          <a:ln>
            <a:solidFill>
              <a:schemeClr val="tx1"/>
            </a:solidFill>
          </a:ln>
        </c:spPr>
        <c:txPr>
          <a:bodyPr/>
          <a:lstStyle/>
          <a:p>
            <a:pPr>
              <a:defRPr>
                <a:solidFill>
                  <a:srgbClr val="A6A6A6"/>
                </a:solidFill>
                <a:latin typeface="Times New Roman"/>
                <a:ea typeface="Times New Roman"/>
                <a:cs typeface="Times New Roman"/>
              </a:defRPr>
            </a:pPr>
            <a:endParaRPr lang="en-US"/>
          </a:p>
        </c:txPr>
        <c:crossAx val="1973752911"/>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userShapes r:id="rId1"/>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Time Series</c:v>
          </c:tx>
          <c:spPr>
            <a:ln w="12700">
              <a:solidFill>
                <a:srgbClr val="000000"/>
              </a:solidFill>
            </a:ln>
            <a:effectLst>
              <a:glow rad="76200">
                <a:srgbClr val="66FF66">
                  <a:lumMod val="100000"/>
                  <a:alpha val="30000"/>
                </a:srgbClr>
              </a:glow>
            </a:effectLst>
          </c:spPr>
          <c:marker>
            <c:symbol val="none"/>
          </c:marker>
          <c:xVal>
            <c:numLit>
              <c:formatCode>General</c:formatCode>
              <c:ptCount val="1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numLit>
          </c:xVal>
          <c:yVal>
            <c:numLit>
              <c:formatCode>General</c:formatCode>
              <c:ptCount val="119"/>
              <c:pt idx="0">
                <c:v>-0.3274594234104159</c:v>
              </c:pt>
              <c:pt idx="1">
                <c:v>0.36006613515546804</c:v>
              </c:pt>
              <c:pt idx="2">
                <c:v>0.77784693173100805</c:v>
              </c:pt>
              <c:pt idx="3">
                <c:v>1.4873384445220839</c:v>
              </c:pt>
              <c:pt idx="4">
                <c:v>1.7049770494385199</c:v>
              </c:pt>
              <c:pt idx="5">
                <c:v>-0.47982387246939628</c:v>
              </c:pt>
              <c:pt idx="6">
                <c:v>6.3233058205388271E-2</c:v>
              </c:pt>
              <c:pt idx="7">
                <c:v>1.6741390441299546</c:v>
              </c:pt>
              <c:pt idx="8">
                <c:v>0.4220575415655059</c:v>
              </c:pt>
              <c:pt idx="9">
                <c:v>-0.12728997105852902</c:v>
              </c:pt>
              <c:pt idx="10">
                <c:v>3.3577640605812364E-2</c:v>
              </c:pt>
              <c:pt idx="11">
                <c:v>0.6743566908579155</c:v>
              </c:pt>
              <c:pt idx="12">
                <c:v>-0.36030739116253374</c:v>
              </c:pt>
              <c:pt idx="13">
                <c:v>0.13727728193005106</c:v>
              </c:pt>
              <c:pt idx="14">
                <c:v>-6.8206956779424677E-2</c:v>
              </c:pt>
              <c:pt idx="15">
                <c:v>-1.0321969863501717</c:v>
              </c:pt>
              <c:pt idx="16">
                <c:v>-1.1655153518726089</c:v>
              </c:pt>
              <c:pt idx="17">
                <c:v>-2.9634510221627282</c:v>
              </c:pt>
              <c:pt idx="18">
                <c:v>-1.9046424238411075</c:v>
              </c:pt>
              <c:pt idx="19">
                <c:v>-1.4865915894628294</c:v>
              </c:pt>
              <c:pt idx="20">
                <c:v>-2.4538607680898274</c:v>
              </c:pt>
              <c:pt idx="21">
                <c:v>-0.71787773128793375</c:v>
              </c:pt>
              <c:pt idx="22">
                <c:v>-0.6564224325546667</c:v>
              </c:pt>
              <c:pt idx="23">
                <c:v>0.45588979784590022</c:v>
              </c:pt>
              <c:pt idx="24">
                <c:v>2.0402315064056422</c:v>
              </c:pt>
              <c:pt idx="25">
                <c:v>2.7742633677157813</c:v>
              </c:pt>
              <c:pt idx="26">
                <c:v>2.6492314783460973</c:v>
              </c:pt>
              <c:pt idx="27">
                <c:v>2.0681073287359291</c:v>
              </c:pt>
              <c:pt idx="28">
                <c:v>2.2593704003831694</c:v>
              </c:pt>
              <c:pt idx="29">
                <c:v>0.69021847757116783</c:v>
              </c:pt>
              <c:pt idx="30">
                <c:v>-1.027581507239411</c:v>
              </c:pt>
              <c:pt idx="31">
                <c:v>-1.0316205150582767</c:v>
              </c:pt>
              <c:pt idx="32">
                <c:v>-1.2690036226960362</c:v>
              </c:pt>
              <c:pt idx="33">
                <c:v>-1.2282050796891495</c:v>
              </c:pt>
              <c:pt idx="34">
                <c:v>0.67191391590123184</c:v>
              </c:pt>
              <c:pt idx="35">
                <c:v>-0.44733198064457336</c:v>
              </c:pt>
              <c:pt idx="36">
                <c:v>-0.43904392042187534</c:v>
              </c:pt>
              <c:pt idx="37">
                <c:v>-1.4748634959455589</c:v>
              </c:pt>
              <c:pt idx="38">
                <c:v>-2.1720086058963912</c:v>
              </c:pt>
              <c:pt idx="39">
                <c:v>0.36642911626155039</c:v>
              </c:pt>
              <c:pt idx="40">
                <c:v>-1.7563798084652471E-2</c:v>
              </c:pt>
              <c:pt idx="41">
                <c:v>-0.55325366956527</c:v>
              </c:pt>
              <c:pt idx="42">
                <c:v>-1.7004282386723513</c:v>
              </c:pt>
              <c:pt idx="43">
                <c:v>-0.47004999108862633</c:v>
              </c:pt>
              <c:pt idx="44">
                <c:v>-1.3895929617188498</c:v>
              </c:pt>
              <c:pt idx="45">
                <c:v>-2.8403644864123185</c:v>
              </c:pt>
              <c:pt idx="46">
                <c:v>-1.6262625725199218</c:v>
              </c:pt>
              <c:pt idx="47">
                <c:v>-0.38482107838322455</c:v>
              </c:pt>
              <c:pt idx="48">
                <c:v>-0.49204059779459086</c:v>
              </c:pt>
              <c:pt idx="49">
                <c:v>-0.37519311982213577</c:v>
              </c:pt>
              <c:pt idx="50">
                <c:v>-1.3436952601374177</c:v>
              </c:pt>
              <c:pt idx="51">
                <c:v>0.46017047802813071</c:v>
              </c:pt>
              <c:pt idx="52">
                <c:v>-0.45872890239783126</c:v>
              </c:pt>
              <c:pt idx="53">
                <c:v>-0.12029715582227773</c:v>
              </c:pt>
              <c:pt idx="54">
                <c:v>0.47966395641249604</c:v>
              </c:pt>
              <c:pt idx="55">
                <c:v>-1.1548540745865199</c:v>
              </c:pt>
              <c:pt idx="56">
                <c:v>-0.64088899296415491</c:v>
              </c:pt>
              <c:pt idx="57">
                <c:v>1.7563664429621184</c:v>
              </c:pt>
              <c:pt idx="58">
                <c:v>2.366993895574963</c:v>
              </c:pt>
              <c:pt idx="59">
                <c:v>0.33535130540911917</c:v>
              </c:pt>
              <c:pt idx="60">
                <c:v>-0.24849273874302857</c:v>
              </c:pt>
              <c:pt idx="61">
                <c:v>-1.8205152981366846</c:v>
              </c:pt>
              <c:pt idx="62">
                <c:v>-0.82970068864926938</c:v>
              </c:pt>
              <c:pt idx="63">
                <c:v>-5.6268655914993748E-2</c:v>
              </c:pt>
              <c:pt idx="64">
                <c:v>-0.46664620549108882</c:v>
              </c:pt>
              <c:pt idx="65">
                <c:v>-0.3829445168716753</c:v>
              </c:pt>
              <c:pt idx="66">
                <c:v>-0.60182209313224078</c:v>
              </c:pt>
              <c:pt idx="67">
                <c:v>-0.59279756897982383</c:v>
              </c:pt>
              <c:pt idx="68">
                <c:v>-0.65898271221574933</c:v>
              </c:pt>
              <c:pt idx="69">
                <c:v>0.39842608613449826</c:v>
              </c:pt>
              <c:pt idx="70">
                <c:v>-7.9623346958021979E-2</c:v>
              </c:pt>
              <c:pt idx="71">
                <c:v>-0.36817506323863347</c:v>
              </c:pt>
              <c:pt idx="72">
                <c:v>-0.51585535855691933</c:v>
              </c:pt>
              <c:pt idx="73">
                <c:v>0.80640692045989548</c:v>
              </c:pt>
              <c:pt idx="74">
                <c:v>1.3399444973109285</c:v>
              </c:pt>
              <c:pt idx="75">
                <c:v>0.904688457722578</c:v>
              </c:pt>
              <c:pt idx="76">
                <c:v>1.4397465894383503</c:v>
              </c:pt>
              <c:pt idx="77">
                <c:v>-0.41815062316048601</c:v>
              </c:pt>
              <c:pt idx="78">
                <c:v>0.50261067001574433</c:v>
              </c:pt>
              <c:pt idx="79">
                <c:v>-2.301853629665497</c:v>
              </c:pt>
              <c:pt idx="80">
                <c:v>-0.74324821631282989</c:v>
              </c:pt>
              <c:pt idx="81">
                <c:v>0.30264408731007697</c:v>
              </c:pt>
              <c:pt idx="82">
                <c:v>-0.28008382896736539</c:v>
              </c:pt>
              <c:pt idx="83">
                <c:v>-9.4679148833087923E-2</c:v>
              </c:pt>
              <c:pt idx="84">
                <c:v>1.3886645812195946</c:v>
              </c:pt>
              <c:pt idx="85">
                <c:v>0.35297995296006246</c:v>
              </c:pt>
              <c:pt idx="86">
                <c:v>0.8358780828636182</c:v>
              </c:pt>
              <c:pt idx="87">
                <c:v>0.50486794498745557</c:v>
              </c:pt>
              <c:pt idx="88">
                <c:v>-1.3679740611682254</c:v>
              </c:pt>
              <c:pt idx="89">
                <c:v>-1.1382671322742652</c:v>
              </c:pt>
              <c:pt idx="90">
                <c:v>-0.68785279761550389</c:v>
              </c:pt>
              <c:pt idx="91">
                <c:v>-0.93164092915170793</c:v>
              </c:pt>
              <c:pt idx="92">
                <c:v>-0.19667100277531657</c:v>
              </c:pt>
              <c:pt idx="93">
                <c:v>-0.89602722579853344</c:v>
              </c:pt>
              <c:pt idx="94">
                <c:v>0.36073157027456204</c:v>
              </c:pt>
              <c:pt idx="95">
                <c:v>-1.178549345313757</c:v>
              </c:pt>
              <c:pt idx="96">
                <c:v>-3.8497688371300187E-2</c:v>
              </c:pt>
              <c:pt idx="97">
                <c:v>3.0366633787431985E-3</c:v>
              </c:pt>
              <c:pt idx="98">
                <c:v>-0.41677782236591721</c:v>
              </c:pt>
              <c:pt idx="99">
                <c:v>-0.47278567494699419</c:v>
              </c:pt>
              <c:pt idx="100">
                <c:v>0.26503077391223839</c:v>
              </c:pt>
              <c:pt idx="101">
                <c:v>2.0741501412383467</c:v>
              </c:pt>
              <c:pt idx="102">
                <c:v>3.3416187905800769</c:v>
              </c:pt>
              <c:pt idx="103">
                <c:v>4.2121302114054338</c:v>
              </c:pt>
              <c:pt idx="104">
                <c:v>2.7699331753632577</c:v>
              </c:pt>
              <c:pt idx="105">
                <c:v>4.8415200587345808</c:v>
              </c:pt>
              <c:pt idx="106">
                <c:v>5.1287342812001828</c:v>
              </c:pt>
              <c:pt idx="107">
                <c:v>2.7162363061537791</c:v>
              </c:pt>
              <c:pt idx="108">
                <c:v>1.0278350253543334</c:v>
              </c:pt>
              <c:pt idx="109">
                <c:v>-1.0631442577197574</c:v>
              </c:pt>
              <c:pt idx="110">
                <c:v>0.12065705298813978</c:v>
              </c:pt>
              <c:pt idx="111">
                <c:v>-0.10529213575685603</c:v>
              </c:pt>
              <c:pt idx="112">
                <c:v>-1.08254640983295</c:v>
              </c:pt>
              <c:pt idx="113">
                <c:v>-0.72388620196387665</c:v>
              </c:pt>
              <c:pt idx="114">
                <c:v>5.8692047093427346E-2</c:v>
              </c:pt>
              <c:pt idx="115">
                <c:v>0.28184983130318109</c:v>
              </c:pt>
              <c:pt idx="116">
                <c:v>-0.90359236690738298</c:v>
              </c:pt>
              <c:pt idx="117">
                <c:v>-0.86288321735380935</c:v>
              </c:pt>
              <c:pt idx="118">
                <c:v>-1.75748808019877</c:v>
              </c:pt>
            </c:numLit>
          </c:yVal>
          <c:smooth val="0"/>
          <c:extLst>
            <c:ext xmlns:c16="http://schemas.microsoft.com/office/drawing/2014/chart" uri="{C3380CC4-5D6E-409C-BE32-E72D297353CC}">
              <c16:uniqueId val="{00000000-7E43-43A9-A024-3767FBF7CAF7}"/>
            </c:ext>
          </c:extLst>
        </c:ser>
        <c:ser>
          <c:idx val="1"/>
          <c:order val="1"/>
          <c:tx>
            <c:v>Fitted Series</c:v>
          </c:tx>
          <c:marker>
            <c:symbol val="none"/>
          </c:marker>
          <c:xVal>
            <c:numLit>
              <c:formatCode>General</c:formatCode>
              <c:ptCount val="119"/>
              <c:pt idx="0">
                <c:v>36530</c:v>
              </c:pt>
              <c:pt idx="1">
                <c:v>36531</c:v>
              </c:pt>
              <c:pt idx="2">
                <c:v>36532</c:v>
              </c:pt>
              <c:pt idx="3">
                <c:v>36533</c:v>
              </c:pt>
              <c:pt idx="4">
                <c:v>36534</c:v>
              </c:pt>
              <c:pt idx="5">
                <c:v>36535</c:v>
              </c:pt>
              <c:pt idx="6">
                <c:v>36536</c:v>
              </c:pt>
              <c:pt idx="7">
                <c:v>36537</c:v>
              </c:pt>
              <c:pt idx="8">
                <c:v>36538</c:v>
              </c:pt>
              <c:pt idx="9">
                <c:v>36539</c:v>
              </c:pt>
              <c:pt idx="10">
                <c:v>36540</c:v>
              </c:pt>
              <c:pt idx="11">
                <c:v>36541</c:v>
              </c:pt>
              <c:pt idx="12">
                <c:v>36542</c:v>
              </c:pt>
              <c:pt idx="13">
                <c:v>36543</c:v>
              </c:pt>
              <c:pt idx="14">
                <c:v>36544</c:v>
              </c:pt>
              <c:pt idx="15">
                <c:v>36545</c:v>
              </c:pt>
              <c:pt idx="16">
                <c:v>36546</c:v>
              </c:pt>
              <c:pt idx="17">
                <c:v>36547</c:v>
              </c:pt>
              <c:pt idx="18">
                <c:v>36548</c:v>
              </c:pt>
              <c:pt idx="19">
                <c:v>36549</c:v>
              </c:pt>
              <c:pt idx="20">
                <c:v>36550</c:v>
              </c:pt>
              <c:pt idx="21">
                <c:v>36551</c:v>
              </c:pt>
              <c:pt idx="22">
                <c:v>36552</c:v>
              </c:pt>
              <c:pt idx="23">
                <c:v>36553</c:v>
              </c:pt>
              <c:pt idx="24">
                <c:v>36554</c:v>
              </c:pt>
              <c:pt idx="25">
                <c:v>36555</c:v>
              </c:pt>
              <c:pt idx="26">
                <c:v>36556</c:v>
              </c:pt>
              <c:pt idx="27">
                <c:v>36557</c:v>
              </c:pt>
              <c:pt idx="28">
                <c:v>36558</c:v>
              </c:pt>
              <c:pt idx="29">
                <c:v>36559</c:v>
              </c:pt>
              <c:pt idx="30">
                <c:v>36560</c:v>
              </c:pt>
              <c:pt idx="31">
                <c:v>36561</c:v>
              </c:pt>
              <c:pt idx="32">
                <c:v>36562</c:v>
              </c:pt>
              <c:pt idx="33">
                <c:v>36563</c:v>
              </c:pt>
              <c:pt idx="34">
                <c:v>36564</c:v>
              </c:pt>
              <c:pt idx="35">
                <c:v>36565</c:v>
              </c:pt>
              <c:pt idx="36">
                <c:v>36566</c:v>
              </c:pt>
              <c:pt idx="37">
                <c:v>36567</c:v>
              </c:pt>
              <c:pt idx="38">
                <c:v>36568</c:v>
              </c:pt>
              <c:pt idx="39">
                <c:v>36569</c:v>
              </c:pt>
              <c:pt idx="40">
                <c:v>36570</c:v>
              </c:pt>
              <c:pt idx="41">
                <c:v>36571</c:v>
              </c:pt>
              <c:pt idx="42">
                <c:v>36572</c:v>
              </c:pt>
              <c:pt idx="43">
                <c:v>36573</c:v>
              </c:pt>
              <c:pt idx="44">
                <c:v>36574</c:v>
              </c:pt>
              <c:pt idx="45">
                <c:v>36575</c:v>
              </c:pt>
              <c:pt idx="46">
                <c:v>36576</c:v>
              </c:pt>
              <c:pt idx="47">
                <c:v>36577</c:v>
              </c:pt>
              <c:pt idx="48">
                <c:v>36578</c:v>
              </c:pt>
              <c:pt idx="49">
                <c:v>36579</c:v>
              </c:pt>
              <c:pt idx="50">
                <c:v>36580</c:v>
              </c:pt>
              <c:pt idx="51">
                <c:v>36581</c:v>
              </c:pt>
              <c:pt idx="52">
                <c:v>36582</c:v>
              </c:pt>
              <c:pt idx="53">
                <c:v>36583</c:v>
              </c:pt>
              <c:pt idx="54">
                <c:v>36584</c:v>
              </c:pt>
              <c:pt idx="55">
                <c:v>36585</c:v>
              </c:pt>
              <c:pt idx="56">
                <c:v>36586</c:v>
              </c:pt>
              <c:pt idx="57">
                <c:v>36587</c:v>
              </c:pt>
              <c:pt idx="58">
                <c:v>36588</c:v>
              </c:pt>
              <c:pt idx="59">
                <c:v>36589</c:v>
              </c:pt>
              <c:pt idx="60">
                <c:v>36590</c:v>
              </c:pt>
              <c:pt idx="61">
                <c:v>36591</c:v>
              </c:pt>
              <c:pt idx="62">
                <c:v>36592</c:v>
              </c:pt>
              <c:pt idx="63">
                <c:v>36593</c:v>
              </c:pt>
              <c:pt idx="64">
                <c:v>36594</c:v>
              </c:pt>
              <c:pt idx="65">
                <c:v>36595</c:v>
              </c:pt>
              <c:pt idx="66">
                <c:v>36596</c:v>
              </c:pt>
              <c:pt idx="67">
                <c:v>36597</c:v>
              </c:pt>
              <c:pt idx="68">
                <c:v>36598</c:v>
              </c:pt>
              <c:pt idx="69">
                <c:v>36599</c:v>
              </c:pt>
              <c:pt idx="70">
                <c:v>36600</c:v>
              </c:pt>
              <c:pt idx="71">
                <c:v>36601</c:v>
              </c:pt>
              <c:pt idx="72">
                <c:v>36602</c:v>
              </c:pt>
              <c:pt idx="73">
                <c:v>36603</c:v>
              </c:pt>
              <c:pt idx="74">
                <c:v>36604</c:v>
              </c:pt>
              <c:pt idx="75">
                <c:v>36605</c:v>
              </c:pt>
              <c:pt idx="76">
                <c:v>36606</c:v>
              </c:pt>
              <c:pt idx="77">
                <c:v>36607</c:v>
              </c:pt>
              <c:pt idx="78">
                <c:v>36608</c:v>
              </c:pt>
              <c:pt idx="79">
                <c:v>36609</c:v>
              </c:pt>
              <c:pt idx="80">
                <c:v>36610</c:v>
              </c:pt>
              <c:pt idx="81">
                <c:v>36611</c:v>
              </c:pt>
              <c:pt idx="82">
                <c:v>36612</c:v>
              </c:pt>
              <c:pt idx="83">
                <c:v>36613</c:v>
              </c:pt>
              <c:pt idx="84">
                <c:v>36614</c:v>
              </c:pt>
              <c:pt idx="85">
                <c:v>36615</c:v>
              </c:pt>
              <c:pt idx="86">
                <c:v>36616</c:v>
              </c:pt>
              <c:pt idx="87">
                <c:v>36617</c:v>
              </c:pt>
              <c:pt idx="88">
                <c:v>36618</c:v>
              </c:pt>
              <c:pt idx="89">
                <c:v>36619</c:v>
              </c:pt>
              <c:pt idx="90">
                <c:v>36620</c:v>
              </c:pt>
              <c:pt idx="91">
                <c:v>36621</c:v>
              </c:pt>
              <c:pt idx="92">
                <c:v>36622</c:v>
              </c:pt>
              <c:pt idx="93">
                <c:v>36623</c:v>
              </c:pt>
              <c:pt idx="94">
                <c:v>36624</c:v>
              </c:pt>
              <c:pt idx="95">
                <c:v>36625</c:v>
              </c:pt>
              <c:pt idx="96">
                <c:v>36626</c:v>
              </c:pt>
              <c:pt idx="97">
                <c:v>36627</c:v>
              </c:pt>
              <c:pt idx="98">
                <c:v>36628</c:v>
              </c:pt>
              <c:pt idx="99">
                <c:v>36629</c:v>
              </c:pt>
              <c:pt idx="100">
                <c:v>36630</c:v>
              </c:pt>
              <c:pt idx="101">
                <c:v>36631</c:v>
              </c:pt>
              <c:pt idx="102">
                <c:v>36632</c:v>
              </c:pt>
              <c:pt idx="103">
                <c:v>36633</c:v>
              </c:pt>
              <c:pt idx="104">
                <c:v>36634</c:v>
              </c:pt>
              <c:pt idx="105">
                <c:v>36635</c:v>
              </c:pt>
              <c:pt idx="106">
                <c:v>36636</c:v>
              </c:pt>
              <c:pt idx="107">
                <c:v>36637</c:v>
              </c:pt>
              <c:pt idx="108">
                <c:v>36638</c:v>
              </c:pt>
              <c:pt idx="109">
                <c:v>36639</c:v>
              </c:pt>
              <c:pt idx="110">
                <c:v>36640</c:v>
              </c:pt>
              <c:pt idx="111">
                <c:v>36641</c:v>
              </c:pt>
              <c:pt idx="112">
                <c:v>36642</c:v>
              </c:pt>
              <c:pt idx="113">
                <c:v>36643</c:v>
              </c:pt>
              <c:pt idx="114">
                <c:v>36644</c:v>
              </c:pt>
              <c:pt idx="115">
                <c:v>36645</c:v>
              </c:pt>
              <c:pt idx="116">
                <c:v>36646</c:v>
              </c:pt>
              <c:pt idx="117">
                <c:v>36647</c:v>
              </c:pt>
              <c:pt idx="118">
                <c:v>36648</c:v>
              </c:pt>
            </c:numLit>
          </c:xVal>
          <c:yVal>
            <c:numRef>
              <c:f>#REF!</c:f>
              <c:numCache>
                <c:formatCode>General</c:formatCode>
                <c:ptCount val="1"/>
                <c:pt idx="0">
                  <c:v>1</c:v>
                </c:pt>
              </c:numCache>
            </c:numRef>
          </c:yVal>
          <c:smooth val="0"/>
          <c:extLst>
            <c:ext xmlns:c16="http://schemas.microsoft.com/office/drawing/2014/chart" uri="{C3380CC4-5D6E-409C-BE32-E72D297353CC}">
              <c16:uniqueId val="{00000001-7E43-43A9-A024-3767FBF7CAF7}"/>
            </c:ext>
          </c:extLst>
        </c:ser>
        <c:dLbls>
          <c:showLegendKey val="0"/>
          <c:showVal val="0"/>
          <c:showCatName val="0"/>
          <c:showSerName val="0"/>
          <c:showPercent val="0"/>
          <c:showBubbleSize val="0"/>
        </c:dLbls>
        <c:axId val="1059490512"/>
        <c:axId val="1059491056"/>
      </c:scatterChart>
      <c:valAx>
        <c:axId val="1059490512"/>
        <c:scaling>
          <c:orientation val="minMax"/>
          <c:max val="36671.599999999999"/>
          <c:min val="36530"/>
        </c:scaling>
        <c:delete val="0"/>
        <c:axPos val="b"/>
        <c:majorGridlines>
          <c:spPr>
            <a:ln w="6350" cap="flat" cmpd="sng" algn="ctr">
              <a:solidFill>
                <a:srgbClr val="D3D3D3">
                  <a:lumMod val="100000"/>
                  <a:alpha val="80000"/>
                </a:srgbClr>
              </a:solidFill>
              <a:prstDash val="dash"/>
              <a:round/>
              <a:headEnd type="none" w="med" len="med"/>
              <a:tailEnd type="none" w="med" len="med"/>
            </a:ln>
          </c:spPr>
        </c:majorGridlines>
        <c:numFmt formatCode="General" sourceLinked="1"/>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en-US"/>
          </a:p>
        </c:txPr>
        <c:crossAx val="1059491056"/>
        <c:crosses val="min"/>
        <c:crossBetween val="midCat"/>
      </c:valAx>
      <c:valAx>
        <c:axId val="1059491056"/>
        <c:scaling>
          <c:orientation val="minMax"/>
        </c:scaling>
        <c:delete val="0"/>
        <c:axPos val="l"/>
        <c:majorGridlines>
          <c:spPr>
            <a:ln w="6350" cap="flat" cmpd="sng" algn="ctr">
              <a:solidFill>
                <a:srgbClr val="D3D3D3">
                  <a:lumMod val="100000"/>
                  <a:alpha val="80000"/>
                </a:srgbClr>
              </a:solidFill>
              <a:prstDash val="dash"/>
              <a:round/>
              <a:headEnd type="none" w="med" len="med"/>
              <a:tailEnd type="none" w="med" len="med"/>
            </a:ln>
          </c:spPr>
        </c:majorGridlines>
        <c:numFmt formatCode="General" sourceLinked="1"/>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en-US"/>
          </a:p>
        </c:txPr>
        <c:crossAx val="1059490512"/>
        <c:crosses val="autoZero"/>
        <c:crossBetween val="midCat"/>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Time Series</c:v>
          </c:tx>
          <c:marker>
            <c:symbol val="none"/>
          </c:marker>
          <c:xVal>
            <c:numRef>
              <c:f>#REF!</c:f>
            </c:numRef>
          </c:xVal>
          <c:yVal>
            <c:numRef>
              <c:f>#REF!</c:f>
              <c:numCache>
                <c:formatCode>General</c:formatCode>
                <c:ptCount val="1"/>
                <c:pt idx="0">
                  <c:v>1</c:v>
                </c:pt>
              </c:numCache>
            </c:numRef>
          </c:yVal>
          <c:smooth val="0"/>
          <c:extLst>
            <c:ext xmlns:c16="http://schemas.microsoft.com/office/drawing/2014/chart" uri="{C3380CC4-5D6E-409C-BE32-E72D297353CC}">
              <c16:uniqueId val="{00000000-6DF1-439D-8A4A-259DDC4B53A0}"/>
            </c:ext>
          </c:extLst>
        </c:ser>
        <c:ser>
          <c:idx val="1"/>
          <c:order val="1"/>
          <c:tx>
            <c:v>Fitted Series</c:v>
          </c:tx>
          <c:marker>
            <c:symbol val="none"/>
          </c:marker>
          <c:xVal>
            <c:numLit>
              <c:formatCode>General</c:formatCode>
              <c:ptCount val="119"/>
              <c:pt idx="0">
                <c:v>36530</c:v>
              </c:pt>
              <c:pt idx="1">
                <c:v>36531</c:v>
              </c:pt>
              <c:pt idx="2">
                <c:v>36532</c:v>
              </c:pt>
              <c:pt idx="3">
                <c:v>36533</c:v>
              </c:pt>
              <c:pt idx="4">
                <c:v>36534</c:v>
              </c:pt>
              <c:pt idx="5">
                <c:v>36535</c:v>
              </c:pt>
              <c:pt idx="6">
                <c:v>36536</c:v>
              </c:pt>
              <c:pt idx="7">
                <c:v>36537</c:v>
              </c:pt>
              <c:pt idx="8">
                <c:v>36538</c:v>
              </c:pt>
              <c:pt idx="9">
                <c:v>36539</c:v>
              </c:pt>
              <c:pt idx="10">
                <c:v>36540</c:v>
              </c:pt>
              <c:pt idx="11">
                <c:v>36541</c:v>
              </c:pt>
              <c:pt idx="12">
                <c:v>36542</c:v>
              </c:pt>
              <c:pt idx="13">
                <c:v>36543</c:v>
              </c:pt>
              <c:pt idx="14">
                <c:v>36544</c:v>
              </c:pt>
              <c:pt idx="15">
                <c:v>36545</c:v>
              </c:pt>
              <c:pt idx="16">
                <c:v>36546</c:v>
              </c:pt>
              <c:pt idx="17">
                <c:v>36547</c:v>
              </c:pt>
              <c:pt idx="18">
                <c:v>36548</c:v>
              </c:pt>
              <c:pt idx="19">
                <c:v>36549</c:v>
              </c:pt>
              <c:pt idx="20">
                <c:v>36550</c:v>
              </c:pt>
              <c:pt idx="21">
                <c:v>36551</c:v>
              </c:pt>
              <c:pt idx="22">
                <c:v>36552</c:v>
              </c:pt>
              <c:pt idx="23">
                <c:v>36553</c:v>
              </c:pt>
              <c:pt idx="24">
                <c:v>36554</c:v>
              </c:pt>
              <c:pt idx="25">
                <c:v>36555</c:v>
              </c:pt>
              <c:pt idx="26">
                <c:v>36556</c:v>
              </c:pt>
              <c:pt idx="27">
                <c:v>36557</c:v>
              </c:pt>
              <c:pt idx="28">
                <c:v>36558</c:v>
              </c:pt>
              <c:pt idx="29">
                <c:v>36559</c:v>
              </c:pt>
              <c:pt idx="30">
                <c:v>36560</c:v>
              </c:pt>
              <c:pt idx="31">
                <c:v>36561</c:v>
              </c:pt>
              <c:pt idx="32">
                <c:v>36562</c:v>
              </c:pt>
              <c:pt idx="33">
                <c:v>36563</c:v>
              </c:pt>
              <c:pt idx="34">
                <c:v>36564</c:v>
              </c:pt>
              <c:pt idx="35">
                <c:v>36565</c:v>
              </c:pt>
              <c:pt idx="36">
                <c:v>36566</c:v>
              </c:pt>
              <c:pt idx="37">
                <c:v>36567</c:v>
              </c:pt>
              <c:pt idx="38">
                <c:v>36568</c:v>
              </c:pt>
              <c:pt idx="39">
                <c:v>36569</c:v>
              </c:pt>
              <c:pt idx="40">
                <c:v>36570</c:v>
              </c:pt>
              <c:pt idx="41">
                <c:v>36571</c:v>
              </c:pt>
              <c:pt idx="42">
                <c:v>36572</c:v>
              </c:pt>
              <c:pt idx="43">
                <c:v>36573</c:v>
              </c:pt>
              <c:pt idx="44">
                <c:v>36574</c:v>
              </c:pt>
              <c:pt idx="45">
                <c:v>36575</c:v>
              </c:pt>
              <c:pt idx="46">
                <c:v>36576</c:v>
              </c:pt>
              <c:pt idx="47">
                <c:v>36577</c:v>
              </c:pt>
              <c:pt idx="48">
                <c:v>36578</c:v>
              </c:pt>
              <c:pt idx="49">
                <c:v>36579</c:v>
              </c:pt>
              <c:pt idx="50">
                <c:v>36580</c:v>
              </c:pt>
              <c:pt idx="51">
                <c:v>36581</c:v>
              </c:pt>
              <c:pt idx="52">
                <c:v>36582</c:v>
              </c:pt>
              <c:pt idx="53">
                <c:v>36583</c:v>
              </c:pt>
              <c:pt idx="54">
                <c:v>36584</c:v>
              </c:pt>
              <c:pt idx="55">
                <c:v>36585</c:v>
              </c:pt>
              <c:pt idx="56">
                <c:v>36586</c:v>
              </c:pt>
              <c:pt idx="57">
                <c:v>36587</c:v>
              </c:pt>
              <c:pt idx="58">
                <c:v>36588</c:v>
              </c:pt>
              <c:pt idx="59">
                <c:v>36589</c:v>
              </c:pt>
              <c:pt idx="60">
                <c:v>36590</c:v>
              </c:pt>
              <c:pt idx="61">
                <c:v>36591</c:v>
              </c:pt>
              <c:pt idx="62">
                <c:v>36592</c:v>
              </c:pt>
              <c:pt idx="63">
                <c:v>36593</c:v>
              </c:pt>
              <c:pt idx="64">
                <c:v>36594</c:v>
              </c:pt>
              <c:pt idx="65">
                <c:v>36595</c:v>
              </c:pt>
              <c:pt idx="66">
                <c:v>36596</c:v>
              </c:pt>
              <c:pt idx="67">
                <c:v>36597</c:v>
              </c:pt>
              <c:pt idx="68">
                <c:v>36598</c:v>
              </c:pt>
              <c:pt idx="69">
                <c:v>36599</c:v>
              </c:pt>
              <c:pt idx="70">
                <c:v>36600</c:v>
              </c:pt>
              <c:pt idx="71">
                <c:v>36601</c:v>
              </c:pt>
              <c:pt idx="72">
                <c:v>36602</c:v>
              </c:pt>
              <c:pt idx="73">
                <c:v>36603</c:v>
              </c:pt>
              <c:pt idx="74">
                <c:v>36604</c:v>
              </c:pt>
              <c:pt idx="75">
                <c:v>36605</c:v>
              </c:pt>
              <c:pt idx="76">
                <c:v>36606</c:v>
              </c:pt>
              <c:pt idx="77">
                <c:v>36607</c:v>
              </c:pt>
              <c:pt idx="78">
                <c:v>36608</c:v>
              </c:pt>
              <c:pt idx="79">
                <c:v>36609</c:v>
              </c:pt>
              <c:pt idx="80">
                <c:v>36610</c:v>
              </c:pt>
              <c:pt idx="81">
                <c:v>36611</c:v>
              </c:pt>
              <c:pt idx="82">
                <c:v>36612</c:v>
              </c:pt>
              <c:pt idx="83">
                <c:v>36613</c:v>
              </c:pt>
              <c:pt idx="84">
                <c:v>36614</c:v>
              </c:pt>
              <c:pt idx="85">
                <c:v>36615</c:v>
              </c:pt>
              <c:pt idx="86">
                <c:v>36616</c:v>
              </c:pt>
              <c:pt idx="87">
                <c:v>36617</c:v>
              </c:pt>
              <c:pt idx="88">
                <c:v>36618</c:v>
              </c:pt>
              <c:pt idx="89">
                <c:v>36619</c:v>
              </c:pt>
              <c:pt idx="90">
                <c:v>36620</c:v>
              </c:pt>
              <c:pt idx="91">
                <c:v>36621</c:v>
              </c:pt>
              <c:pt idx="92">
                <c:v>36622</c:v>
              </c:pt>
              <c:pt idx="93">
                <c:v>36623</c:v>
              </c:pt>
              <c:pt idx="94">
                <c:v>36624</c:v>
              </c:pt>
              <c:pt idx="95">
                <c:v>36625</c:v>
              </c:pt>
              <c:pt idx="96">
                <c:v>36626</c:v>
              </c:pt>
              <c:pt idx="97">
                <c:v>36627</c:v>
              </c:pt>
              <c:pt idx="98">
                <c:v>36628</c:v>
              </c:pt>
              <c:pt idx="99">
                <c:v>36629</c:v>
              </c:pt>
              <c:pt idx="100">
                <c:v>36630</c:v>
              </c:pt>
              <c:pt idx="101">
                <c:v>36631</c:v>
              </c:pt>
              <c:pt idx="102">
                <c:v>36632</c:v>
              </c:pt>
              <c:pt idx="103">
                <c:v>36633</c:v>
              </c:pt>
              <c:pt idx="104">
                <c:v>36634</c:v>
              </c:pt>
              <c:pt idx="105">
                <c:v>36635</c:v>
              </c:pt>
              <c:pt idx="106">
                <c:v>36636</c:v>
              </c:pt>
              <c:pt idx="107">
                <c:v>36637</c:v>
              </c:pt>
              <c:pt idx="108">
                <c:v>36638</c:v>
              </c:pt>
              <c:pt idx="109">
                <c:v>36639</c:v>
              </c:pt>
              <c:pt idx="110">
                <c:v>36640</c:v>
              </c:pt>
              <c:pt idx="111">
                <c:v>36641</c:v>
              </c:pt>
              <c:pt idx="112">
                <c:v>36642</c:v>
              </c:pt>
              <c:pt idx="113">
                <c:v>36643</c:v>
              </c:pt>
              <c:pt idx="114">
                <c:v>36644</c:v>
              </c:pt>
              <c:pt idx="115">
                <c:v>36645</c:v>
              </c:pt>
              <c:pt idx="116">
                <c:v>36646</c:v>
              </c:pt>
              <c:pt idx="117">
                <c:v>36647</c:v>
              </c:pt>
              <c:pt idx="118">
                <c:v>36648</c:v>
              </c:pt>
            </c:numLit>
          </c:xVal>
          <c:yVal>
            <c:numRef>
              <c:f>#REF!</c:f>
              <c:numCache>
                <c:formatCode>General</c:formatCode>
                <c:ptCount val="1"/>
                <c:pt idx="0">
                  <c:v>1</c:v>
                </c:pt>
              </c:numCache>
            </c:numRef>
          </c:yVal>
          <c:smooth val="0"/>
          <c:extLst>
            <c:ext xmlns:c16="http://schemas.microsoft.com/office/drawing/2014/chart" uri="{C3380CC4-5D6E-409C-BE32-E72D297353CC}">
              <c16:uniqueId val="{00000001-6DF1-439D-8A4A-259DDC4B53A0}"/>
            </c:ext>
          </c:extLst>
        </c:ser>
        <c:dLbls>
          <c:showLegendKey val="0"/>
          <c:showVal val="0"/>
          <c:showCatName val="0"/>
          <c:showSerName val="0"/>
          <c:showPercent val="0"/>
          <c:showBubbleSize val="0"/>
        </c:dLbls>
        <c:axId val="1059488336"/>
        <c:axId val="1059500304"/>
      </c:scatterChart>
      <c:valAx>
        <c:axId val="1059488336"/>
        <c:scaling>
          <c:orientation val="minMax"/>
          <c:max val="36671.599999999999"/>
          <c:min val="36530"/>
        </c:scaling>
        <c:delete val="0"/>
        <c:axPos val="b"/>
        <c:majorGridlines>
          <c:spPr>
            <a:ln w="6350" cap="flat" cmpd="sng" algn="ctr">
              <a:solidFill>
                <a:srgbClr val="D3D3D3">
                  <a:lumMod val="100000"/>
                  <a:alpha val="80000"/>
                </a:srgbClr>
              </a:solidFill>
              <a:prstDash val="dash"/>
              <a:round/>
              <a:headEnd type="none" w="med" len="med"/>
              <a:tailEnd type="none" w="med" len="med"/>
            </a:ln>
          </c:spPr>
        </c:majorGridlines>
        <c:numFmt formatCode="General" sourceLinked="1"/>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en-US"/>
          </a:p>
        </c:txPr>
        <c:crossAx val="1059500304"/>
        <c:crosses val="min"/>
        <c:crossBetween val="midCat"/>
      </c:valAx>
      <c:valAx>
        <c:axId val="1059500304"/>
        <c:scaling>
          <c:orientation val="minMax"/>
        </c:scaling>
        <c:delete val="0"/>
        <c:axPos val="l"/>
        <c:majorGridlines>
          <c:spPr>
            <a:ln w="6350" cap="flat" cmpd="sng" algn="ctr">
              <a:solidFill>
                <a:srgbClr val="D3D3D3">
                  <a:lumMod val="100000"/>
                  <a:alpha val="80000"/>
                </a:srgbClr>
              </a:solidFill>
              <a:prstDash val="dash"/>
              <a:round/>
              <a:headEnd type="none" w="med" len="med"/>
              <a:tailEnd type="none" w="med" len="med"/>
            </a:ln>
          </c:spPr>
        </c:majorGridlines>
        <c:numFmt formatCode="General" sourceLinked="1"/>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en-US"/>
          </a:p>
        </c:txPr>
        <c:crossAx val="1059488336"/>
        <c:crosses val="autoZero"/>
        <c:crossBetween val="midCat"/>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cked"/>
        <c:varyColors val="0"/>
        <c:ser>
          <c:idx val="1"/>
          <c:order val="1"/>
          <c:tx>
            <c:v>Confidence Stack Chart Invisible</c:v>
          </c:tx>
          <c:spPr>
            <a:noFill/>
            <a:extLst>
              <a:ext uri="{909E8E84-426E-40DD-AFC4-6F175D3DCCD1}">
                <a14:hiddenFill xmlns:a14="http://schemas.microsoft.com/office/drawing/2010/main">
                  <a:solidFill>
                    <a:srgbClr val="ED7D31"/>
                  </a:solidFill>
                </a14:hiddenFill>
              </a:ext>
            </a:extLst>
          </c:spPr>
          <c:cat>
            <c:numLit>
              <c:formatCode>General</c:formatCode>
              <c:ptCount val="80"/>
              <c:pt idx="0">
                <c:v>36584</c:v>
              </c:pt>
              <c:pt idx="1">
                <c:v>36585</c:v>
              </c:pt>
              <c:pt idx="2">
                <c:v>36586</c:v>
              </c:pt>
              <c:pt idx="3">
                <c:v>36587</c:v>
              </c:pt>
              <c:pt idx="4">
                <c:v>36588</c:v>
              </c:pt>
              <c:pt idx="5">
                <c:v>36589</c:v>
              </c:pt>
              <c:pt idx="6">
                <c:v>36590</c:v>
              </c:pt>
              <c:pt idx="7">
                <c:v>36591</c:v>
              </c:pt>
              <c:pt idx="8">
                <c:v>36592</c:v>
              </c:pt>
              <c:pt idx="9">
                <c:v>36593</c:v>
              </c:pt>
              <c:pt idx="10">
                <c:v>36594</c:v>
              </c:pt>
              <c:pt idx="11">
                <c:v>36595</c:v>
              </c:pt>
              <c:pt idx="12">
                <c:v>36596</c:v>
              </c:pt>
              <c:pt idx="13">
                <c:v>36597</c:v>
              </c:pt>
              <c:pt idx="14">
                <c:v>36598</c:v>
              </c:pt>
              <c:pt idx="15">
                <c:v>36599</c:v>
              </c:pt>
              <c:pt idx="16">
                <c:v>36600</c:v>
              </c:pt>
              <c:pt idx="17">
                <c:v>36601</c:v>
              </c:pt>
              <c:pt idx="18">
                <c:v>36602</c:v>
              </c:pt>
              <c:pt idx="19">
                <c:v>36603</c:v>
              </c:pt>
              <c:pt idx="20">
                <c:v>36604</c:v>
              </c:pt>
              <c:pt idx="21">
                <c:v>36605</c:v>
              </c:pt>
              <c:pt idx="22">
                <c:v>36606</c:v>
              </c:pt>
              <c:pt idx="23">
                <c:v>36607</c:v>
              </c:pt>
              <c:pt idx="24">
                <c:v>36608</c:v>
              </c:pt>
              <c:pt idx="25">
                <c:v>36609</c:v>
              </c:pt>
              <c:pt idx="26">
                <c:v>36610</c:v>
              </c:pt>
              <c:pt idx="27">
                <c:v>36611</c:v>
              </c:pt>
              <c:pt idx="28">
                <c:v>36612</c:v>
              </c:pt>
              <c:pt idx="29">
                <c:v>36613</c:v>
              </c:pt>
              <c:pt idx="30">
                <c:v>36614</c:v>
              </c:pt>
              <c:pt idx="31">
                <c:v>36615</c:v>
              </c:pt>
              <c:pt idx="32">
                <c:v>36616</c:v>
              </c:pt>
              <c:pt idx="33">
                <c:v>36617</c:v>
              </c:pt>
              <c:pt idx="34">
                <c:v>36618</c:v>
              </c:pt>
              <c:pt idx="35">
                <c:v>36619</c:v>
              </c:pt>
              <c:pt idx="36">
                <c:v>36620</c:v>
              </c:pt>
              <c:pt idx="37">
                <c:v>36621</c:v>
              </c:pt>
              <c:pt idx="38">
                <c:v>36622</c:v>
              </c:pt>
              <c:pt idx="39">
                <c:v>36623</c:v>
              </c:pt>
              <c:pt idx="40">
                <c:v>36624</c:v>
              </c:pt>
              <c:pt idx="41">
                <c:v>36625</c:v>
              </c:pt>
              <c:pt idx="42">
                <c:v>36626</c:v>
              </c:pt>
              <c:pt idx="43">
                <c:v>36627</c:v>
              </c:pt>
              <c:pt idx="44">
                <c:v>36628</c:v>
              </c:pt>
              <c:pt idx="45">
                <c:v>36629</c:v>
              </c:pt>
              <c:pt idx="46">
                <c:v>36630</c:v>
              </c:pt>
              <c:pt idx="47">
                <c:v>36631</c:v>
              </c:pt>
              <c:pt idx="48">
                <c:v>36632</c:v>
              </c:pt>
              <c:pt idx="49">
                <c:v>36633</c:v>
              </c:pt>
              <c:pt idx="50">
                <c:v>36634</c:v>
              </c:pt>
              <c:pt idx="51">
                <c:v>36635</c:v>
              </c:pt>
              <c:pt idx="52">
                <c:v>36636</c:v>
              </c:pt>
              <c:pt idx="53">
                <c:v>36637</c:v>
              </c:pt>
              <c:pt idx="54">
                <c:v>36638</c:v>
              </c:pt>
              <c:pt idx="55">
                <c:v>36639</c:v>
              </c:pt>
              <c:pt idx="56">
                <c:v>36640</c:v>
              </c:pt>
              <c:pt idx="57">
                <c:v>36641</c:v>
              </c:pt>
              <c:pt idx="58">
                <c:v>36642</c:v>
              </c:pt>
              <c:pt idx="59">
                <c:v>36643</c:v>
              </c:pt>
              <c:pt idx="60">
                <c:v>36644</c:v>
              </c:pt>
              <c:pt idx="61">
                <c:v>36645</c:v>
              </c:pt>
              <c:pt idx="62">
                <c:v>36646</c:v>
              </c:pt>
              <c:pt idx="63">
                <c:v>36647</c:v>
              </c:pt>
              <c:pt idx="64">
                <c:v>36648</c:v>
              </c:pt>
              <c:pt idx="65">
                <c:v>36649</c:v>
              </c:pt>
              <c:pt idx="66">
                <c:v>36650</c:v>
              </c:pt>
              <c:pt idx="67">
                <c:v>36651</c:v>
              </c:pt>
              <c:pt idx="68">
                <c:v>36652</c:v>
              </c:pt>
              <c:pt idx="69">
                <c:v>36653</c:v>
              </c:pt>
              <c:pt idx="70">
                <c:v>36654</c:v>
              </c:pt>
              <c:pt idx="71">
                <c:v>36655</c:v>
              </c:pt>
              <c:pt idx="72">
                <c:v>36656</c:v>
              </c:pt>
              <c:pt idx="73">
                <c:v>36657</c:v>
              </c:pt>
              <c:pt idx="74">
                <c:v>36658</c:v>
              </c:pt>
              <c:pt idx="75">
                <c:v>36659</c:v>
              </c:pt>
              <c:pt idx="76">
                <c:v>36660</c:v>
              </c:pt>
              <c:pt idx="77">
                <c:v>36661</c:v>
              </c:pt>
              <c:pt idx="78">
                <c:v>36662</c:v>
              </c:pt>
              <c:pt idx="79">
                <c:v>36663</c:v>
              </c:pt>
            </c:numLit>
          </c:cat>
          <c:val>
            <c:numLit>
              <c:formatCode>General</c:formatCode>
              <c:ptCount val="8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-1.4374880801987682</c:v>
              </c:pt>
              <c:pt idx="65">
                <c:v>-3.0181335290943885</c:v>
              </c:pt>
              <c:pt idx="66">
                <c:v>-3.1670016569708497</c:v>
              </c:pt>
              <c:pt idx="67">
                <c:v>-3.1506985958852276</c:v>
              </c:pt>
              <c:pt idx="68">
                <c:v>-3.0936145404801563</c:v>
              </c:pt>
              <c:pt idx="69">
                <c:v>-3.0332306176623369</c:v>
              </c:pt>
              <c:pt idx="70">
                <c:v>-2.9811892857650015</c:v>
              </c:pt>
              <c:pt idx="71">
                <c:v>-2.9399210023086599</c:v>
              </c:pt>
              <c:pt idx="72">
                <c:v>-2.9085840735200716</c:v>
              </c:pt>
              <c:pt idx="73">
                <c:v>-2.8853865790528452</c:v>
              </c:pt>
              <c:pt idx="74">
                <c:v>-2.8684866810940064</c:v>
              </c:pt>
              <c:pt idx="75">
                <c:v>-2.8563026798807969</c:v>
              </c:pt>
              <c:pt idx="76">
                <c:v>-2.8475799022639765</c:v>
              </c:pt>
              <c:pt idx="77">
                <c:v>-2.8413648020931537</c:v>
              </c:pt>
              <c:pt idx="78">
                <c:v>-2.8369509771588453</c:v>
              </c:pt>
              <c:pt idx="79">
                <c:v>-2.8338235094416944</c:v>
              </c:pt>
            </c:numLit>
          </c:val>
          <c:extLst>
            <c:ext xmlns:c16="http://schemas.microsoft.com/office/drawing/2014/chart" uri="{C3380CC4-5D6E-409C-BE32-E72D297353CC}">
              <c16:uniqueId val="{00000000-4CB5-451A-865B-437BAD99C55F}"/>
            </c:ext>
          </c:extLst>
        </c:ser>
        <c:ser>
          <c:idx val="2"/>
          <c:order val="2"/>
          <c:tx>
            <c:v>Confidence Stack Chart 0</c:v>
          </c:tx>
          <c:spPr>
            <a:solidFill>
              <a:srgbClr val="000000">
                <a:alpha val="80000"/>
              </a:srgbClr>
            </a:solidFill>
            <a:ln w="25400">
              <a:noFill/>
            </a:ln>
          </c:spPr>
          <c:cat>
            <c:numLit>
              <c:formatCode>General</c:formatCode>
              <c:ptCount val="80"/>
              <c:pt idx="0">
                <c:v>36584</c:v>
              </c:pt>
              <c:pt idx="1">
                <c:v>36585</c:v>
              </c:pt>
              <c:pt idx="2">
                <c:v>36586</c:v>
              </c:pt>
              <c:pt idx="3">
                <c:v>36587</c:v>
              </c:pt>
              <c:pt idx="4">
                <c:v>36588</c:v>
              </c:pt>
              <c:pt idx="5">
                <c:v>36589</c:v>
              </c:pt>
              <c:pt idx="6">
                <c:v>36590</c:v>
              </c:pt>
              <c:pt idx="7">
                <c:v>36591</c:v>
              </c:pt>
              <c:pt idx="8">
                <c:v>36592</c:v>
              </c:pt>
              <c:pt idx="9">
                <c:v>36593</c:v>
              </c:pt>
              <c:pt idx="10">
                <c:v>36594</c:v>
              </c:pt>
              <c:pt idx="11">
                <c:v>36595</c:v>
              </c:pt>
              <c:pt idx="12">
                <c:v>36596</c:v>
              </c:pt>
              <c:pt idx="13">
                <c:v>36597</c:v>
              </c:pt>
              <c:pt idx="14">
                <c:v>36598</c:v>
              </c:pt>
              <c:pt idx="15">
                <c:v>36599</c:v>
              </c:pt>
              <c:pt idx="16">
                <c:v>36600</c:v>
              </c:pt>
              <c:pt idx="17">
                <c:v>36601</c:v>
              </c:pt>
              <c:pt idx="18">
                <c:v>36602</c:v>
              </c:pt>
              <c:pt idx="19">
                <c:v>36603</c:v>
              </c:pt>
              <c:pt idx="20">
                <c:v>36604</c:v>
              </c:pt>
              <c:pt idx="21">
                <c:v>36605</c:v>
              </c:pt>
              <c:pt idx="22">
                <c:v>36606</c:v>
              </c:pt>
              <c:pt idx="23">
                <c:v>36607</c:v>
              </c:pt>
              <c:pt idx="24">
                <c:v>36608</c:v>
              </c:pt>
              <c:pt idx="25">
                <c:v>36609</c:v>
              </c:pt>
              <c:pt idx="26">
                <c:v>36610</c:v>
              </c:pt>
              <c:pt idx="27">
                <c:v>36611</c:v>
              </c:pt>
              <c:pt idx="28">
                <c:v>36612</c:v>
              </c:pt>
              <c:pt idx="29">
                <c:v>36613</c:v>
              </c:pt>
              <c:pt idx="30">
                <c:v>36614</c:v>
              </c:pt>
              <c:pt idx="31">
                <c:v>36615</c:v>
              </c:pt>
              <c:pt idx="32">
                <c:v>36616</c:v>
              </c:pt>
              <c:pt idx="33">
                <c:v>36617</c:v>
              </c:pt>
              <c:pt idx="34">
                <c:v>36618</c:v>
              </c:pt>
              <c:pt idx="35">
                <c:v>36619</c:v>
              </c:pt>
              <c:pt idx="36">
                <c:v>36620</c:v>
              </c:pt>
              <c:pt idx="37">
                <c:v>36621</c:v>
              </c:pt>
              <c:pt idx="38">
                <c:v>36622</c:v>
              </c:pt>
              <c:pt idx="39">
                <c:v>36623</c:v>
              </c:pt>
              <c:pt idx="40">
                <c:v>36624</c:v>
              </c:pt>
              <c:pt idx="41">
                <c:v>36625</c:v>
              </c:pt>
              <c:pt idx="42">
                <c:v>36626</c:v>
              </c:pt>
              <c:pt idx="43">
                <c:v>36627</c:v>
              </c:pt>
              <c:pt idx="44">
                <c:v>36628</c:v>
              </c:pt>
              <c:pt idx="45">
                <c:v>36629</c:v>
              </c:pt>
              <c:pt idx="46">
                <c:v>36630</c:v>
              </c:pt>
              <c:pt idx="47">
                <c:v>36631</c:v>
              </c:pt>
              <c:pt idx="48">
                <c:v>36632</c:v>
              </c:pt>
              <c:pt idx="49">
                <c:v>36633</c:v>
              </c:pt>
              <c:pt idx="50">
                <c:v>36634</c:v>
              </c:pt>
              <c:pt idx="51">
                <c:v>36635</c:v>
              </c:pt>
              <c:pt idx="52">
                <c:v>36636</c:v>
              </c:pt>
              <c:pt idx="53">
                <c:v>36637</c:v>
              </c:pt>
              <c:pt idx="54">
                <c:v>36638</c:v>
              </c:pt>
              <c:pt idx="55">
                <c:v>36639</c:v>
              </c:pt>
              <c:pt idx="56">
                <c:v>36640</c:v>
              </c:pt>
              <c:pt idx="57">
                <c:v>36641</c:v>
              </c:pt>
              <c:pt idx="58">
                <c:v>36642</c:v>
              </c:pt>
              <c:pt idx="59">
                <c:v>36643</c:v>
              </c:pt>
              <c:pt idx="60">
                <c:v>36644</c:v>
              </c:pt>
              <c:pt idx="61">
                <c:v>36645</c:v>
              </c:pt>
              <c:pt idx="62">
                <c:v>36646</c:v>
              </c:pt>
              <c:pt idx="63">
                <c:v>36647</c:v>
              </c:pt>
              <c:pt idx="64">
                <c:v>36648</c:v>
              </c:pt>
              <c:pt idx="65">
                <c:v>36649</c:v>
              </c:pt>
              <c:pt idx="66">
                <c:v>36650</c:v>
              </c:pt>
              <c:pt idx="67">
                <c:v>36651</c:v>
              </c:pt>
              <c:pt idx="68">
                <c:v>36652</c:v>
              </c:pt>
              <c:pt idx="69">
                <c:v>36653</c:v>
              </c:pt>
              <c:pt idx="70">
                <c:v>36654</c:v>
              </c:pt>
              <c:pt idx="71">
                <c:v>36655</c:v>
              </c:pt>
              <c:pt idx="72">
                <c:v>36656</c:v>
              </c:pt>
              <c:pt idx="73">
                <c:v>36657</c:v>
              </c:pt>
              <c:pt idx="74">
                <c:v>36658</c:v>
              </c:pt>
              <c:pt idx="75">
                <c:v>36659</c:v>
              </c:pt>
              <c:pt idx="76">
                <c:v>36660</c:v>
              </c:pt>
              <c:pt idx="77">
                <c:v>36661</c:v>
              </c:pt>
              <c:pt idx="78">
                <c:v>36662</c:v>
              </c:pt>
              <c:pt idx="79">
                <c:v>36663</c:v>
              </c:pt>
            </c:numLit>
          </c:cat>
          <c:val>
            <c:numLit>
              <c:formatCode>General</c:formatCode>
              <c:ptCount val="8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0.3223491308918871</c:v>
              </c:pt>
              <c:pt idx="66">
                <c:v>0.39436702612513486</c:v>
              </c:pt>
              <c:pt idx="67">
                <c:v>0.42563552473573107</c:v>
              </c:pt>
              <c:pt idx="68">
                <c:v>0.44034338613574953</c:v>
              </c:pt>
              <c:pt idx="69">
                <c:v>0.44746978088128087</c:v>
              </c:pt>
              <c:pt idx="70">
                <c:v>0.45096792821867826</c:v>
              </c:pt>
              <c:pt idx="71">
                <c:v>0.45269557096484991</c:v>
              </c:pt>
              <c:pt idx="72">
                <c:v>0.45355132461871861</c:v>
              </c:pt>
              <c:pt idx="73">
                <c:v>0.45397581737513049</c:v>
              </c:pt>
              <c:pt idx="74">
                <c:v>0.45418653507858497</c:v>
              </c:pt>
              <c:pt idx="75">
                <c:v>0.45429117197662316</c:v>
              </c:pt>
              <c:pt idx="76">
                <c:v>0.45434314100658124</c:v>
              </c:pt>
              <c:pt idx="77">
                <c:v>0.45436895421852963</c:v>
              </c:pt>
              <c:pt idx="78">
                <c:v>0.45438177629006216</c:v>
              </c:pt>
              <c:pt idx="79">
                <c:v>0.45438814547172957</c:v>
              </c:pt>
            </c:numLit>
          </c:val>
          <c:extLst>
            <c:ext xmlns:c16="http://schemas.microsoft.com/office/drawing/2014/chart" uri="{C3380CC4-5D6E-409C-BE32-E72D297353CC}">
              <c16:uniqueId val="{00000001-4CB5-451A-865B-437BAD99C55F}"/>
            </c:ext>
          </c:extLst>
        </c:ser>
        <c:ser>
          <c:idx val="3"/>
          <c:order val="3"/>
          <c:tx>
            <c:v>Confidence Stack Chart 1</c:v>
          </c:tx>
          <c:spPr>
            <a:solidFill>
              <a:srgbClr val="003223">
                <a:alpha val="85000"/>
              </a:srgbClr>
            </a:solidFill>
            <a:ln w="25400">
              <a:noFill/>
            </a:ln>
          </c:spPr>
          <c:cat>
            <c:numLit>
              <c:formatCode>General</c:formatCode>
              <c:ptCount val="80"/>
              <c:pt idx="0">
                <c:v>36584</c:v>
              </c:pt>
              <c:pt idx="1">
                <c:v>36585</c:v>
              </c:pt>
              <c:pt idx="2">
                <c:v>36586</c:v>
              </c:pt>
              <c:pt idx="3">
                <c:v>36587</c:v>
              </c:pt>
              <c:pt idx="4">
                <c:v>36588</c:v>
              </c:pt>
              <c:pt idx="5">
                <c:v>36589</c:v>
              </c:pt>
              <c:pt idx="6">
                <c:v>36590</c:v>
              </c:pt>
              <c:pt idx="7">
                <c:v>36591</c:v>
              </c:pt>
              <c:pt idx="8">
                <c:v>36592</c:v>
              </c:pt>
              <c:pt idx="9">
                <c:v>36593</c:v>
              </c:pt>
              <c:pt idx="10">
                <c:v>36594</c:v>
              </c:pt>
              <c:pt idx="11">
                <c:v>36595</c:v>
              </c:pt>
              <c:pt idx="12">
                <c:v>36596</c:v>
              </c:pt>
              <c:pt idx="13">
                <c:v>36597</c:v>
              </c:pt>
              <c:pt idx="14">
                <c:v>36598</c:v>
              </c:pt>
              <c:pt idx="15">
                <c:v>36599</c:v>
              </c:pt>
              <c:pt idx="16">
                <c:v>36600</c:v>
              </c:pt>
              <c:pt idx="17">
                <c:v>36601</c:v>
              </c:pt>
              <c:pt idx="18">
                <c:v>36602</c:v>
              </c:pt>
              <c:pt idx="19">
                <c:v>36603</c:v>
              </c:pt>
              <c:pt idx="20">
                <c:v>36604</c:v>
              </c:pt>
              <c:pt idx="21">
                <c:v>36605</c:v>
              </c:pt>
              <c:pt idx="22">
                <c:v>36606</c:v>
              </c:pt>
              <c:pt idx="23">
                <c:v>36607</c:v>
              </c:pt>
              <c:pt idx="24">
                <c:v>36608</c:v>
              </c:pt>
              <c:pt idx="25">
                <c:v>36609</c:v>
              </c:pt>
              <c:pt idx="26">
                <c:v>36610</c:v>
              </c:pt>
              <c:pt idx="27">
                <c:v>36611</c:v>
              </c:pt>
              <c:pt idx="28">
                <c:v>36612</c:v>
              </c:pt>
              <c:pt idx="29">
                <c:v>36613</c:v>
              </c:pt>
              <c:pt idx="30">
                <c:v>36614</c:v>
              </c:pt>
              <c:pt idx="31">
                <c:v>36615</c:v>
              </c:pt>
              <c:pt idx="32">
                <c:v>36616</c:v>
              </c:pt>
              <c:pt idx="33">
                <c:v>36617</c:v>
              </c:pt>
              <c:pt idx="34">
                <c:v>36618</c:v>
              </c:pt>
              <c:pt idx="35">
                <c:v>36619</c:v>
              </c:pt>
              <c:pt idx="36">
                <c:v>36620</c:v>
              </c:pt>
              <c:pt idx="37">
                <c:v>36621</c:v>
              </c:pt>
              <c:pt idx="38">
                <c:v>36622</c:v>
              </c:pt>
              <c:pt idx="39">
                <c:v>36623</c:v>
              </c:pt>
              <c:pt idx="40">
                <c:v>36624</c:v>
              </c:pt>
              <c:pt idx="41">
                <c:v>36625</c:v>
              </c:pt>
              <c:pt idx="42">
                <c:v>36626</c:v>
              </c:pt>
              <c:pt idx="43">
                <c:v>36627</c:v>
              </c:pt>
              <c:pt idx="44">
                <c:v>36628</c:v>
              </c:pt>
              <c:pt idx="45">
                <c:v>36629</c:v>
              </c:pt>
              <c:pt idx="46">
                <c:v>36630</c:v>
              </c:pt>
              <c:pt idx="47">
                <c:v>36631</c:v>
              </c:pt>
              <c:pt idx="48">
                <c:v>36632</c:v>
              </c:pt>
              <c:pt idx="49">
                <c:v>36633</c:v>
              </c:pt>
              <c:pt idx="50">
                <c:v>36634</c:v>
              </c:pt>
              <c:pt idx="51">
                <c:v>36635</c:v>
              </c:pt>
              <c:pt idx="52">
                <c:v>36636</c:v>
              </c:pt>
              <c:pt idx="53">
                <c:v>36637</c:v>
              </c:pt>
              <c:pt idx="54">
                <c:v>36638</c:v>
              </c:pt>
              <c:pt idx="55">
                <c:v>36639</c:v>
              </c:pt>
              <c:pt idx="56">
                <c:v>36640</c:v>
              </c:pt>
              <c:pt idx="57">
                <c:v>36641</c:v>
              </c:pt>
              <c:pt idx="58">
                <c:v>36642</c:v>
              </c:pt>
              <c:pt idx="59">
                <c:v>36643</c:v>
              </c:pt>
              <c:pt idx="60">
                <c:v>36644</c:v>
              </c:pt>
              <c:pt idx="61">
                <c:v>36645</c:v>
              </c:pt>
              <c:pt idx="62">
                <c:v>36646</c:v>
              </c:pt>
              <c:pt idx="63">
                <c:v>36647</c:v>
              </c:pt>
              <c:pt idx="64">
                <c:v>36648</c:v>
              </c:pt>
              <c:pt idx="65">
                <c:v>36649</c:v>
              </c:pt>
              <c:pt idx="66">
                <c:v>36650</c:v>
              </c:pt>
              <c:pt idx="67">
                <c:v>36651</c:v>
              </c:pt>
              <c:pt idx="68">
                <c:v>36652</c:v>
              </c:pt>
              <c:pt idx="69">
                <c:v>36653</c:v>
              </c:pt>
              <c:pt idx="70">
                <c:v>36654</c:v>
              </c:pt>
              <c:pt idx="71">
                <c:v>36655</c:v>
              </c:pt>
              <c:pt idx="72">
                <c:v>36656</c:v>
              </c:pt>
              <c:pt idx="73">
                <c:v>36657</c:v>
              </c:pt>
              <c:pt idx="74">
                <c:v>36658</c:v>
              </c:pt>
              <c:pt idx="75">
                <c:v>36659</c:v>
              </c:pt>
              <c:pt idx="76">
                <c:v>36660</c:v>
              </c:pt>
              <c:pt idx="77">
                <c:v>36661</c:v>
              </c:pt>
              <c:pt idx="78">
                <c:v>36662</c:v>
              </c:pt>
              <c:pt idx="79">
                <c:v>36663</c:v>
              </c:pt>
            </c:numLit>
          </c:cat>
          <c:val>
            <c:numLit>
              <c:formatCode>General</c:formatCode>
              <c:ptCount val="8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0.3716479034263882</c:v>
              </c:pt>
              <c:pt idx="66">
                <c:v>0.4546799243242341</c:v>
              </c:pt>
              <c:pt idx="67">
                <c:v>0.49073050066599677</c:v>
              </c:pt>
              <c:pt idx="68">
                <c:v>0.50768772291157527</c:v>
              </c:pt>
              <c:pt idx="69">
                <c:v>0.51590399965113942</c:v>
              </c:pt>
              <c:pt idx="70">
                <c:v>0.51993713949619824</c:v>
              </c:pt>
              <c:pt idx="71">
                <c:v>0.52192900093757366</c:v>
              </c:pt>
              <c:pt idx="72">
                <c:v>0.52291563009469311</c:v>
              </c:pt>
              <c:pt idx="73">
                <c:v>0.52340504305666924</c:v>
              </c:pt>
              <c:pt idx="74">
                <c:v>0.52364798707357063</c:v>
              </c:pt>
              <c:pt idx="75">
                <c:v>0.52376862671565472</c:v>
              </c:pt>
              <c:pt idx="76">
                <c:v>0.52382854367889808</c:v>
              </c:pt>
              <c:pt idx="77">
                <c:v>0.52385830465909522</c:v>
              </c:pt>
              <c:pt idx="78">
                <c:v>0.52387308768639751</c:v>
              </c:pt>
              <c:pt idx="79">
                <c:v>0.52388043094495229</c:v>
              </c:pt>
            </c:numLit>
          </c:val>
          <c:extLst>
            <c:ext xmlns:c16="http://schemas.microsoft.com/office/drawing/2014/chart" uri="{C3380CC4-5D6E-409C-BE32-E72D297353CC}">
              <c16:uniqueId val="{00000002-4CB5-451A-865B-437BAD99C55F}"/>
            </c:ext>
          </c:extLst>
        </c:ser>
        <c:ser>
          <c:idx val="4"/>
          <c:order val="4"/>
          <c:tx>
            <c:v>Confidence Stack Chart 2</c:v>
          </c:tx>
          <c:spPr>
            <a:solidFill>
              <a:srgbClr val="006446">
                <a:alpha val="90000"/>
              </a:srgbClr>
            </a:solidFill>
            <a:ln w="25400">
              <a:noFill/>
            </a:ln>
          </c:spPr>
          <c:cat>
            <c:numLit>
              <c:formatCode>General</c:formatCode>
              <c:ptCount val="80"/>
              <c:pt idx="0">
                <c:v>36584</c:v>
              </c:pt>
              <c:pt idx="1">
                <c:v>36585</c:v>
              </c:pt>
              <c:pt idx="2">
                <c:v>36586</c:v>
              </c:pt>
              <c:pt idx="3">
                <c:v>36587</c:v>
              </c:pt>
              <c:pt idx="4">
                <c:v>36588</c:v>
              </c:pt>
              <c:pt idx="5">
                <c:v>36589</c:v>
              </c:pt>
              <c:pt idx="6">
                <c:v>36590</c:v>
              </c:pt>
              <c:pt idx="7">
                <c:v>36591</c:v>
              </c:pt>
              <c:pt idx="8">
                <c:v>36592</c:v>
              </c:pt>
              <c:pt idx="9">
                <c:v>36593</c:v>
              </c:pt>
              <c:pt idx="10">
                <c:v>36594</c:v>
              </c:pt>
              <c:pt idx="11">
                <c:v>36595</c:v>
              </c:pt>
              <c:pt idx="12">
                <c:v>36596</c:v>
              </c:pt>
              <c:pt idx="13">
                <c:v>36597</c:v>
              </c:pt>
              <c:pt idx="14">
                <c:v>36598</c:v>
              </c:pt>
              <c:pt idx="15">
                <c:v>36599</c:v>
              </c:pt>
              <c:pt idx="16">
                <c:v>36600</c:v>
              </c:pt>
              <c:pt idx="17">
                <c:v>36601</c:v>
              </c:pt>
              <c:pt idx="18">
                <c:v>36602</c:v>
              </c:pt>
              <c:pt idx="19">
                <c:v>36603</c:v>
              </c:pt>
              <c:pt idx="20">
                <c:v>36604</c:v>
              </c:pt>
              <c:pt idx="21">
                <c:v>36605</c:v>
              </c:pt>
              <c:pt idx="22">
                <c:v>36606</c:v>
              </c:pt>
              <c:pt idx="23">
                <c:v>36607</c:v>
              </c:pt>
              <c:pt idx="24">
                <c:v>36608</c:v>
              </c:pt>
              <c:pt idx="25">
                <c:v>36609</c:v>
              </c:pt>
              <c:pt idx="26">
                <c:v>36610</c:v>
              </c:pt>
              <c:pt idx="27">
                <c:v>36611</c:v>
              </c:pt>
              <c:pt idx="28">
                <c:v>36612</c:v>
              </c:pt>
              <c:pt idx="29">
                <c:v>36613</c:v>
              </c:pt>
              <c:pt idx="30">
                <c:v>36614</c:v>
              </c:pt>
              <c:pt idx="31">
                <c:v>36615</c:v>
              </c:pt>
              <c:pt idx="32">
                <c:v>36616</c:v>
              </c:pt>
              <c:pt idx="33">
                <c:v>36617</c:v>
              </c:pt>
              <c:pt idx="34">
                <c:v>36618</c:v>
              </c:pt>
              <c:pt idx="35">
                <c:v>36619</c:v>
              </c:pt>
              <c:pt idx="36">
                <c:v>36620</c:v>
              </c:pt>
              <c:pt idx="37">
                <c:v>36621</c:v>
              </c:pt>
              <c:pt idx="38">
                <c:v>36622</c:v>
              </c:pt>
              <c:pt idx="39">
                <c:v>36623</c:v>
              </c:pt>
              <c:pt idx="40">
                <c:v>36624</c:v>
              </c:pt>
              <c:pt idx="41">
                <c:v>36625</c:v>
              </c:pt>
              <c:pt idx="42">
                <c:v>36626</c:v>
              </c:pt>
              <c:pt idx="43">
                <c:v>36627</c:v>
              </c:pt>
              <c:pt idx="44">
                <c:v>36628</c:v>
              </c:pt>
              <c:pt idx="45">
                <c:v>36629</c:v>
              </c:pt>
              <c:pt idx="46">
                <c:v>36630</c:v>
              </c:pt>
              <c:pt idx="47">
                <c:v>36631</c:v>
              </c:pt>
              <c:pt idx="48">
                <c:v>36632</c:v>
              </c:pt>
              <c:pt idx="49">
                <c:v>36633</c:v>
              </c:pt>
              <c:pt idx="50">
                <c:v>36634</c:v>
              </c:pt>
              <c:pt idx="51">
                <c:v>36635</c:v>
              </c:pt>
              <c:pt idx="52">
                <c:v>36636</c:v>
              </c:pt>
              <c:pt idx="53">
                <c:v>36637</c:v>
              </c:pt>
              <c:pt idx="54">
                <c:v>36638</c:v>
              </c:pt>
              <c:pt idx="55">
                <c:v>36639</c:v>
              </c:pt>
              <c:pt idx="56">
                <c:v>36640</c:v>
              </c:pt>
              <c:pt idx="57">
                <c:v>36641</c:v>
              </c:pt>
              <c:pt idx="58">
                <c:v>36642</c:v>
              </c:pt>
              <c:pt idx="59">
                <c:v>36643</c:v>
              </c:pt>
              <c:pt idx="60">
                <c:v>36644</c:v>
              </c:pt>
              <c:pt idx="61">
                <c:v>36645</c:v>
              </c:pt>
              <c:pt idx="62">
                <c:v>36646</c:v>
              </c:pt>
              <c:pt idx="63">
                <c:v>36647</c:v>
              </c:pt>
              <c:pt idx="64">
                <c:v>36648</c:v>
              </c:pt>
              <c:pt idx="65">
                <c:v>36649</c:v>
              </c:pt>
              <c:pt idx="66">
                <c:v>36650</c:v>
              </c:pt>
              <c:pt idx="67">
                <c:v>36651</c:v>
              </c:pt>
              <c:pt idx="68">
                <c:v>36652</c:v>
              </c:pt>
              <c:pt idx="69">
                <c:v>36653</c:v>
              </c:pt>
              <c:pt idx="70">
                <c:v>36654</c:v>
              </c:pt>
              <c:pt idx="71">
                <c:v>36655</c:v>
              </c:pt>
              <c:pt idx="72">
                <c:v>36656</c:v>
              </c:pt>
              <c:pt idx="73">
                <c:v>36657</c:v>
              </c:pt>
              <c:pt idx="74">
                <c:v>36658</c:v>
              </c:pt>
              <c:pt idx="75">
                <c:v>36659</c:v>
              </c:pt>
              <c:pt idx="76">
                <c:v>36660</c:v>
              </c:pt>
              <c:pt idx="77">
                <c:v>36661</c:v>
              </c:pt>
              <c:pt idx="78">
                <c:v>36662</c:v>
              </c:pt>
              <c:pt idx="79">
                <c:v>36663</c:v>
              </c:pt>
            </c:numLit>
          </c:cat>
          <c:val>
            <c:numLit>
              <c:formatCode>General</c:formatCode>
              <c:ptCount val="8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0.45003649276805291</c:v>
              </c:pt>
              <c:pt idx="66">
                <c:v>0.55058176459066521</c:v>
              </c:pt>
              <c:pt idx="67">
                <c:v>0.59423618801008171</c:v>
              </c:pt>
              <c:pt idx="68">
                <c:v>0.61477005556625963</c:v>
              </c:pt>
              <c:pt idx="69">
                <c:v>0.62471932295992705</c:v>
              </c:pt>
              <c:pt idx="70">
                <c:v>0.62960313931938949</c:v>
              </c:pt>
              <c:pt idx="71">
                <c:v>0.63201512746432997</c:v>
              </c:pt>
              <c:pt idx="72">
                <c:v>0.63320985807208752</c:v>
              </c:pt>
              <c:pt idx="73">
                <c:v>0.63380249882397188</c:v>
              </c:pt>
              <c:pt idx="74">
                <c:v>0.6340966849939933</c:v>
              </c:pt>
              <c:pt idx="75">
                <c:v>0.63424277014854868</c:v>
              </c:pt>
              <c:pt idx="76">
                <c:v>0.63431532489659559</c:v>
              </c:pt>
              <c:pt idx="77">
                <c:v>0.63435136311186846</c:v>
              </c:pt>
              <c:pt idx="78">
                <c:v>0.6343692641996943</c:v>
              </c:pt>
              <c:pt idx="79">
                <c:v>0.6343781563104669</c:v>
              </c:pt>
            </c:numLit>
          </c:val>
          <c:extLst>
            <c:ext xmlns:c16="http://schemas.microsoft.com/office/drawing/2014/chart" uri="{C3380CC4-5D6E-409C-BE32-E72D297353CC}">
              <c16:uniqueId val="{00000003-4CB5-451A-865B-437BAD99C55F}"/>
            </c:ext>
          </c:extLst>
        </c:ser>
        <c:ser>
          <c:idx val="5"/>
          <c:order val="5"/>
          <c:tx>
            <c:v>Confidence Stack Chart 3</c:v>
          </c:tx>
          <c:spPr>
            <a:solidFill>
              <a:srgbClr val="009569">
                <a:alpha val="95000"/>
              </a:srgbClr>
            </a:solidFill>
            <a:ln w="25400">
              <a:noFill/>
            </a:ln>
          </c:spPr>
          <c:cat>
            <c:numLit>
              <c:formatCode>General</c:formatCode>
              <c:ptCount val="80"/>
              <c:pt idx="0">
                <c:v>36584</c:v>
              </c:pt>
              <c:pt idx="1">
                <c:v>36585</c:v>
              </c:pt>
              <c:pt idx="2">
                <c:v>36586</c:v>
              </c:pt>
              <c:pt idx="3">
                <c:v>36587</c:v>
              </c:pt>
              <c:pt idx="4">
                <c:v>36588</c:v>
              </c:pt>
              <c:pt idx="5">
                <c:v>36589</c:v>
              </c:pt>
              <c:pt idx="6">
                <c:v>36590</c:v>
              </c:pt>
              <c:pt idx="7">
                <c:v>36591</c:v>
              </c:pt>
              <c:pt idx="8">
                <c:v>36592</c:v>
              </c:pt>
              <c:pt idx="9">
                <c:v>36593</c:v>
              </c:pt>
              <c:pt idx="10">
                <c:v>36594</c:v>
              </c:pt>
              <c:pt idx="11">
                <c:v>36595</c:v>
              </c:pt>
              <c:pt idx="12">
                <c:v>36596</c:v>
              </c:pt>
              <c:pt idx="13">
                <c:v>36597</c:v>
              </c:pt>
              <c:pt idx="14">
                <c:v>36598</c:v>
              </c:pt>
              <c:pt idx="15">
                <c:v>36599</c:v>
              </c:pt>
              <c:pt idx="16">
                <c:v>36600</c:v>
              </c:pt>
              <c:pt idx="17">
                <c:v>36601</c:v>
              </c:pt>
              <c:pt idx="18">
                <c:v>36602</c:v>
              </c:pt>
              <c:pt idx="19">
                <c:v>36603</c:v>
              </c:pt>
              <c:pt idx="20">
                <c:v>36604</c:v>
              </c:pt>
              <c:pt idx="21">
                <c:v>36605</c:v>
              </c:pt>
              <c:pt idx="22">
                <c:v>36606</c:v>
              </c:pt>
              <c:pt idx="23">
                <c:v>36607</c:v>
              </c:pt>
              <c:pt idx="24">
                <c:v>36608</c:v>
              </c:pt>
              <c:pt idx="25">
                <c:v>36609</c:v>
              </c:pt>
              <c:pt idx="26">
                <c:v>36610</c:v>
              </c:pt>
              <c:pt idx="27">
                <c:v>36611</c:v>
              </c:pt>
              <c:pt idx="28">
                <c:v>36612</c:v>
              </c:pt>
              <c:pt idx="29">
                <c:v>36613</c:v>
              </c:pt>
              <c:pt idx="30">
                <c:v>36614</c:v>
              </c:pt>
              <c:pt idx="31">
                <c:v>36615</c:v>
              </c:pt>
              <c:pt idx="32">
                <c:v>36616</c:v>
              </c:pt>
              <c:pt idx="33">
                <c:v>36617</c:v>
              </c:pt>
              <c:pt idx="34">
                <c:v>36618</c:v>
              </c:pt>
              <c:pt idx="35">
                <c:v>36619</c:v>
              </c:pt>
              <c:pt idx="36">
                <c:v>36620</c:v>
              </c:pt>
              <c:pt idx="37">
                <c:v>36621</c:v>
              </c:pt>
              <c:pt idx="38">
                <c:v>36622</c:v>
              </c:pt>
              <c:pt idx="39">
                <c:v>36623</c:v>
              </c:pt>
              <c:pt idx="40">
                <c:v>36624</c:v>
              </c:pt>
              <c:pt idx="41">
                <c:v>36625</c:v>
              </c:pt>
              <c:pt idx="42">
                <c:v>36626</c:v>
              </c:pt>
              <c:pt idx="43">
                <c:v>36627</c:v>
              </c:pt>
              <c:pt idx="44">
                <c:v>36628</c:v>
              </c:pt>
              <c:pt idx="45">
                <c:v>36629</c:v>
              </c:pt>
              <c:pt idx="46">
                <c:v>36630</c:v>
              </c:pt>
              <c:pt idx="47">
                <c:v>36631</c:v>
              </c:pt>
              <c:pt idx="48">
                <c:v>36632</c:v>
              </c:pt>
              <c:pt idx="49">
                <c:v>36633</c:v>
              </c:pt>
              <c:pt idx="50">
                <c:v>36634</c:v>
              </c:pt>
              <c:pt idx="51">
                <c:v>36635</c:v>
              </c:pt>
              <c:pt idx="52">
                <c:v>36636</c:v>
              </c:pt>
              <c:pt idx="53">
                <c:v>36637</c:v>
              </c:pt>
              <c:pt idx="54">
                <c:v>36638</c:v>
              </c:pt>
              <c:pt idx="55">
                <c:v>36639</c:v>
              </c:pt>
              <c:pt idx="56">
                <c:v>36640</c:v>
              </c:pt>
              <c:pt idx="57">
                <c:v>36641</c:v>
              </c:pt>
              <c:pt idx="58">
                <c:v>36642</c:v>
              </c:pt>
              <c:pt idx="59">
                <c:v>36643</c:v>
              </c:pt>
              <c:pt idx="60">
                <c:v>36644</c:v>
              </c:pt>
              <c:pt idx="61">
                <c:v>36645</c:v>
              </c:pt>
              <c:pt idx="62">
                <c:v>36646</c:v>
              </c:pt>
              <c:pt idx="63">
                <c:v>36647</c:v>
              </c:pt>
              <c:pt idx="64">
                <c:v>36648</c:v>
              </c:pt>
              <c:pt idx="65">
                <c:v>36649</c:v>
              </c:pt>
              <c:pt idx="66">
                <c:v>36650</c:v>
              </c:pt>
              <c:pt idx="67">
                <c:v>36651</c:v>
              </c:pt>
              <c:pt idx="68">
                <c:v>36652</c:v>
              </c:pt>
              <c:pt idx="69">
                <c:v>36653</c:v>
              </c:pt>
              <c:pt idx="70">
                <c:v>36654</c:v>
              </c:pt>
              <c:pt idx="71">
                <c:v>36655</c:v>
              </c:pt>
              <c:pt idx="72">
                <c:v>36656</c:v>
              </c:pt>
              <c:pt idx="73">
                <c:v>36657</c:v>
              </c:pt>
              <c:pt idx="74">
                <c:v>36658</c:v>
              </c:pt>
              <c:pt idx="75">
                <c:v>36659</c:v>
              </c:pt>
              <c:pt idx="76">
                <c:v>36660</c:v>
              </c:pt>
              <c:pt idx="77">
                <c:v>36661</c:v>
              </c:pt>
              <c:pt idx="78">
                <c:v>36662</c:v>
              </c:pt>
              <c:pt idx="79">
                <c:v>36663</c:v>
              </c:pt>
            </c:numLit>
          </c:cat>
          <c:val>
            <c:numLit>
              <c:formatCode>General</c:formatCode>
              <c:ptCount val="8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0.60178807235581688</c:v>
              </c:pt>
              <c:pt idx="66">
                <c:v>0.73623704768770493</c:v>
              </c:pt>
              <c:pt idx="67">
                <c:v>0.79461167228268248</c:v>
              </c:pt>
              <c:pt idx="68">
                <c:v>0.82206952686384527</c:v>
              </c:pt>
              <c:pt idx="69">
                <c:v>0.83537367117747885</c:v>
              </c:pt>
              <c:pt idx="70">
                <c:v>0.84190430253722326</c:v>
              </c:pt>
              <c:pt idx="71">
                <c:v>0.84512960919482616</c:v>
              </c:pt>
              <c:pt idx="72">
                <c:v>0.84672720103677857</c:v>
              </c:pt>
              <c:pt idx="73">
                <c:v>0.84751967929444649</c:v>
              </c:pt>
              <c:pt idx="74">
                <c:v>0.84791306456656512</c:v>
              </c:pt>
              <c:pt idx="75">
                <c:v>0.84810840939964516</c:v>
              </c:pt>
              <c:pt idx="76">
                <c:v>0.84820542949172439</c:v>
              </c:pt>
              <c:pt idx="77">
                <c:v>0.84825361973506885</c:v>
              </c:pt>
              <c:pt idx="78">
                <c:v>0.84827755704084051</c:v>
              </c:pt>
              <c:pt idx="79">
                <c:v>0.84828944755702518</c:v>
              </c:pt>
            </c:numLit>
          </c:val>
          <c:extLst>
            <c:ext xmlns:c16="http://schemas.microsoft.com/office/drawing/2014/chart" uri="{C3380CC4-5D6E-409C-BE32-E72D297353CC}">
              <c16:uniqueId val="{00000004-4CB5-451A-865B-437BAD99C55F}"/>
            </c:ext>
          </c:extLst>
        </c:ser>
        <c:ser>
          <c:idx val="6"/>
          <c:order val="6"/>
          <c:tx>
            <c:v>Confidence Stack Chart 4</c:v>
          </c:tx>
          <c:spPr>
            <a:solidFill>
              <a:srgbClr val="00C78C"/>
            </a:solidFill>
            <a:ln w="25400">
              <a:noFill/>
            </a:ln>
          </c:spPr>
          <c:cat>
            <c:numLit>
              <c:formatCode>General</c:formatCode>
              <c:ptCount val="80"/>
              <c:pt idx="0">
                <c:v>36584</c:v>
              </c:pt>
              <c:pt idx="1">
                <c:v>36585</c:v>
              </c:pt>
              <c:pt idx="2">
                <c:v>36586</c:v>
              </c:pt>
              <c:pt idx="3">
                <c:v>36587</c:v>
              </c:pt>
              <c:pt idx="4">
                <c:v>36588</c:v>
              </c:pt>
              <c:pt idx="5">
                <c:v>36589</c:v>
              </c:pt>
              <c:pt idx="6">
                <c:v>36590</c:v>
              </c:pt>
              <c:pt idx="7">
                <c:v>36591</c:v>
              </c:pt>
              <c:pt idx="8">
                <c:v>36592</c:v>
              </c:pt>
              <c:pt idx="9">
                <c:v>36593</c:v>
              </c:pt>
              <c:pt idx="10">
                <c:v>36594</c:v>
              </c:pt>
              <c:pt idx="11">
                <c:v>36595</c:v>
              </c:pt>
              <c:pt idx="12">
                <c:v>36596</c:v>
              </c:pt>
              <c:pt idx="13">
                <c:v>36597</c:v>
              </c:pt>
              <c:pt idx="14">
                <c:v>36598</c:v>
              </c:pt>
              <c:pt idx="15">
                <c:v>36599</c:v>
              </c:pt>
              <c:pt idx="16">
                <c:v>36600</c:v>
              </c:pt>
              <c:pt idx="17">
                <c:v>36601</c:v>
              </c:pt>
              <c:pt idx="18">
                <c:v>36602</c:v>
              </c:pt>
              <c:pt idx="19">
                <c:v>36603</c:v>
              </c:pt>
              <c:pt idx="20">
                <c:v>36604</c:v>
              </c:pt>
              <c:pt idx="21">
                <c:v>36605</c:v>
              </c:pt>
              <c:pt idx="22">
                <c:v>36606</c:v>
              </c:pt>
              <c:pt idx="23">
                <c:v>36607</c:v>
              </c:pt>
              <c:pt idx="24">
                <c:v>36608</c:v>
              </c:pt>
              <c:pt idx="25">
                <c:v>36609</c:v>
              </c:pt>
              <c:pt idx="26">
                <c:v>36610</c:v>
              </c:pt>
              <c:pt idx="27">
                <c:v>36611</c:v>
              </c:pt>
              <c:pt idx="28">
                <c:v>36612</c:v>
              </c:pt>
              <c:pt idx="29">
                <c:v>36613</c:v>
              </c:pt>
              <c:pt idx="30">
                <c:v>36614</c:v>
              </c:pt>
              <c:pt idx="31">
                <c:v>36615</c:v>
              </c:pt>
              <c:pt idx="32">
                <c:v>36616</c:v>
              </c:pt>
              <c:pt idx="33">
                <c:v>36617</c:v>
              </c:pt>
              <c:pt idx="34">
                <c:v>36618</c:v>
              </c:pt>
              <c:pt idx="35">
                <c:v>36619</c:v>
              </c:pt>
              <c:pt idx="36">
                <c:v>36620</c:v>
              </c:pt>
              <c:pt idx="37">
                <c:v>36621</c:v>
              </c:pt>
              <c:pt idx="38">
                <c:v>36622</c:v>
              </c:pt>
              <c:pt idx="39">
                <c:v>36623</c:v>
              </c:pt>
              <c:pt idx="40">
                <c:v>36624</c:v>
              </c:pt>
              <c:pt idx="41">
                <c:v>36625</c:v>
              </c:pt>
              <c:pt idx="42">
                <c:v>36626</c:v>
              </c:pt>
              <c:pt idx="43">
                <c:v>36627</c:v>
              </c:pt>
              <c:pt idx="44">
                <c:v>36628</c:v>
              </c:pt>
              <c:pt idx="45">
                <c:v>36629</c:v>
              </c:pt>
              <c:pt idx="46">
                <c:v>36630</c:v>
              </c:pt>
              <c:pt idx="47">
                <c:v>36631</c:v>
              </c:pt>
              <c:pt idx="48">
                <c:v>36632</c:v>
              </c:pt>
              <c:pt idx="49">
                <c:v>36633</c:v>
              </c:pt>
              <c:pt idx="50">
                <c:v>36634</c:v>
              </c:pt>
              <c:pt idx="51">
                <c:v>36635</c:v>
              </c:pt>
              <c:pt idx="52">
                <c:v>36636</c:v>
              </c:pt>
              <c:pt idx="53">
                <c:v>36637</c:v>
              </c:pt>
              <c:pt idx="54">
                <c:v>36638</c:v>
              </c:pt>
              <c:pt idx="55">
                <c:v>36639</c:v>
              </c:pt>
              <c:pt idx="56">
                <c:v>36640</c:v>
              </c:pt>
              <c:pt idx="57">
                <c:v>36641</c:v>
              </c:pt>
              <c:pt idx="58">
                <c:v>36642</c:v>
              </c:pt>
              <c:pt idx="59">
                <c:v>36643</c:v>
              </c:pt>
              <c:pt idx="60">
                <c:v>36644</c:v>
              </c:pt>
              <c:pt idx="61">
                <c:v>36645</c:v>
              </c:pt>
              <c:pt idx="62">
                <c:v>36646</c:v>
              </c:pt>
              <c:pt idx="63">
                <c:v>36647</c:v>
              </c:pt>
              <c:pt idx="64">
                <c:v>36648</c:v>
              </c:pt>
              <c:pt idx="65">
                <c:v>36649</c:v>
              </c:pt>
              <c:pt idx="66">
                <c:v>36650</c:v>
              </c:pt>
              <c:pt idx="67">
                <c:v>36651</c:v>
              </c:pt>
              <c:pt idx="68">
                <c:v>36652</c:v>
              </c:pt>
              <c:pt idx="69">
                <c:v>36653</c:v>
              </c:pt>
              <c:pt idx="70">
                <c:v>36654</c:v>
              </c:pt>
              <c:pt idx="71">
                <c:v>36655</c:v>
              </c:pt>
              <c:pt idx="72">
                <c:v>36656</c:v>
              </c:pt>
              <c:pt idx="73">
                <c:v>36657</c:v>
              </c:pt>
              <c:pt idx="74">
                <c:v>36658</c:v>
              </c:pt>
              <c:pt idx="75">
                <c:v>36659</c:v>
              </c:pt>
              <c:pt idx="76">
                <c:v>36660</c:v>
              </c:pt>
              <c:pt idx="77">
                <c:v>36661</c:v>
              </c:pt>
              <c:pt idx="78">
                <c:v>36662</c:v>
              </c:pt>
              <c:pt idx="79">
                <c:v>36663</c:v>
              </c:pt>
            </c:numLit>
          </c:cat>
          <c:val>
            <c:numLit>
              <c:formatCode>General</c:formatCode>
              <c:ptCount val="8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0.51833407911286999</c:v>
              </c:pt>
              <c:pt idx="66">
                <c:v>0.634138112156447</c:v>
              </c:pt>
              <c:pt idx="67">
                <c:v>0.68441753554971552</c:v>
              </c:pt>
              <c:pt idx="68">
                <c:v>0.70806762504555232</c:v>
              </c:pt>
              <c:pt idx="69">
                <c:v>0.71952679432452515</c:v>
              </c:pt>
              <c:pt idx="70">
                <c:v>0.72515177917779317</c:v>
              </c:pt>
              <c:pt idx="71">
                <c:v>0.72792981090195241</c:v>
              </c:pt>
              <c:pt idx="72">
                <c:v>0.72930585395470826</c:v>
              </c:pt>
              <c:pt idx="73">
                <c:v>0.72998843393057478</c:v>
              </c:pt>
              <c:pt idx="74">
                <c:v>0.73032726582526819</c:v>
              </c:pt>
              <c:pt idx="75">
                <c:v>0.73049552087852576</c:v>
              </c:pt>
              <c:pt idx="76">
                <c:v>0.73057908654290726</c:v>
              </c:pt>
              <c:pt idx="77">
                <c:v>0.73062059392159018</c:v>
              </c:pt>
              <c:pt idx="78">
                <c:v>0.73064121168042184</c:v>
              </c:pt>
              <c:pt idx="79">
                <c:v>0.73065145325887759</c:v>
              </c:pt>
            </c:numLit>
          </c:val>
          <c:extLst>
            <c:ext xmlns:c16="http://schemas.microsoft.com/office/drawing/2014/chart" uri="{C3380CC4-5D6E-409C-BE32-E72D297353CC}">
              <c16:uniqueId val="{00000005-4CB5-451A-865B-437BAD99C55F}"/>
            </c:ext>
          </c:extLst>
        </c:ser>
        <c:ser>
          <c:idx val="7"/>
          <c:order val="7"/>
          <c:tx>
            <c:v>Confidence Stack Chart 5</c:v>
          </c:tx>
          <c:spPr>
            <a:solidFill>
              <a:srgbClr val="009569">
                <a:alpha val="95000"/>
              </a:srgbClr>
            </a:solidFill>
            <a:ln w="25400">
              <a:noFill/>
            </a:ln>
          </c:spPr>
          <c:cat>
            <c:numLit>
              <c:formatCode>General</c:formatCode>
              <c:ptCount val="80"/>
              <c:pt idx="0">
                <c:v>36584</c:v>
              </c:pt>
              <c:pt idx="1">
                <c:v>36585</c:v>
              </c:pt>
              <c:pt idx="2">
                <c:v>36586</c:v>
              </c:pt>
              <c:pt idx="3">
                <c:v>36587</c:v>
              </c:pt>
              <c:pt idx="4">
                <c:v>36588</c:v>
              </c:pt>
              <c:pt idx="5">
                <c:v>36589</c:v>
              </c:pt>
              <c:pt idx="6">
                <c:v>36590</c:v>
              </c:pt>
              <c:pt idx="7">
                <c:v>36591</c:v>
              </c:pt>
              <c:pt idx="8">
                <c:v>36592</c:v>
              </c:pt>
              <c:pt idx="9">
                <c:v>36593</c:v>
              </c:pt>
              <c:pt idx="10">
                <c:v>36594</c:v>
              </c:pt>
              <c:pt idx="11">
                <c:v>36595</c:v>
              </c:pt>
              <c:pt idx="12">
                <c:v>36596</c:v>
              </c:pt>
              <c:pt idx="13">
                <c:v>36597</c:v>
              </c:pt>
              <c:pt idx="14">
                <c:v>36598</c:v>
              </c:pt>
              <c:pt idx="15">
                <c:v>36599</c:v>
              </c:pt>
              <c:pt idx="16">
                <c:v>36600</c:v>
              </c:pt>
              <c:pt idx="17">
                <c:v>36601</c:v>
              </c:pt>
              <c:pt idx="18">
                <c:v>36602</c:v>
              </c:pt>
              <c:pt idx="19">
                <c:v>36603</c:v>
              </c:pt>
              <c:pt idx="20">
                <c:v>36604</c:v>
              </c:pt>
              <c:pt idx="21">
                <c:v>36605</c:v>
              </c:pt>
              <c:pt idx="22">
                <c:v>36606</c:v>
              </c:pt>
              <c:pt idx="23">
                <c:v>36607</c:v>
              </c:pt>
              <c:pt idx="24">
                <c:v>36608</c:v>
              </c:pt>
              <c:pt idx="25">
                <c:v>36609</c:v>
              </c:pt>
              <c:pt idx="26">
                <c:v>36610</c:v>
              </c:pt>
              <c:pt idx="27">
                <c:v>36611</c:v>
              </c:pt>
              <c:pt idx="28">
                <c:v>36612</c:v>
              </c:pt>
              <c:pt idx="29">
                <c:v>36613</c:v>
              </c:pt>
              <c:pt idx="30">
                <c:v>36614</c:v>
              </c:pt>
              <c:pt idx="31">
                <c:v>36615</c:v>
              </c:pt>
              <c:pt idx="32">
                <c:v>36616</c:v>
              </c:pt>
              <c:pt idx="33">
                <c:v>36617</c:v>
              </c:pt>
              <c:pt idx="34">
                <c:v>36618</c:v>
              </c:pt>
              <c:pt idx="35">
                <c:v>36619</c:v>
              </c:pt>
              <c:pt idx="36">
                <c:v>36620</c:v>
              </c:pt>
              <c:pt idx="37">
                <c:v>36621</c:v>
              </c:pt>
              <c:pt idx="38">
                <c:v>36622</c:v>
              </c:pt>
              <c:pt idx="39">
                <c:v>36623</c:v>
              </c:pt>
              <c:pt idx="40">
                <c:v>36624</c:v>
              </c:pt>
              <c:pt idx="41">
                <c:v>36625</c:v>
              </c:pt>
              <c:pt idx="42">
                <c:v>36626</c:v>
              </c:pt>
              <c:pt idx="43">
                <c:v>36627</c:v>
              </c:pt>
              <c:pt idx="44">
                <c:v>36628</c:v>
              </c:pt>
              <c:pt idx="45">
                <c:v>36629</c:v>
              </c:pt>
              <c:pt idx="46">
                <c:v>36630</c:v>
              </c:pt>
              <c:pt idx="47">
                <c:v>36631</c:v>
              </c:pt>
              <c:pt idx="48">
                <c:v>36632</c:v>
              </c:pt>
              <c:pt idx="49">
                <c:v>36633</c:v>
              </c:pt>
              <c:pt idx="50">
                <c:v>36634</c:v>
              </c:pt>
              <c:pt idx="51">
                <c:v>36635</c:v>
              </c:pt>
              <c:pt idx="52">
                <c:v>36636</c:v>
              </c:pt>
              <c:pt idx="53">
                <c:v>36637</c:v>
              </c:pt>
              <c:pt idx="54">
                <c:v>36638</c:v>
              </c:pt>
              <c:pt idx="55">
                <c:v>36639</c:v>
              </c:pt>
              <c:pt idx="56">
                <c:v>36640</c:v>
              </c:pt>
              <c:pt idx="57">
                <c:v>36641</c:v>
              </c:pt>
              <c:pt idx="58">
                <c:v>36642</c:v>
              </c:pt>
              <c:pt idx="59">
                <c:v>36643</c:v>
              </c:pt>
              <c:pt idx="60">
                <c:v>36644</c:v>
              </c:pt>
              <c:pt idx="61">
                <c:v>36645</c:v>
              </c:pt>
              <c:pt idx="62">
                <c:v>36646</c:v>
              </c:pt>
              <c:pt idx="63">
                <c:v>36647</c:v>
              </c:pt>
              <c:pt idx="64">
                <c:v>36648</c:v>
              </c:pt>
              <c:pt idx="65">
                <c:v>36649</c:v>
              </c:pt>
              <c:pt idx="66">
                <c:v>36650</c:v>
              </c:pt>
              <c:pt idx="67">
                <c:v>36651</c:v>
              </c:pt>
              <c:pt idx="68">
                <c:v>36652</c:v>
              </c:pt>
              <c:pt idx="69">
                <c:v>36653</c:v>
              </c:pt>
              <c:pt idx="70">
                <c:v>36654</c:v>
              </c:pt>
              <c:pt idx="71">
                <c:v>36655</c:v>
              </c:pt>
              <c:pt idx="72">
                <c:v>36656</c:v>
              </c:pt>
              <c:pt idx="73">
                <c:v>36657</c:v>
              </c:pt>
              <c:pt idx="74">
                <c:v>36658</c:v>
              </c:pt>
              <c:pt idx="75">
                <c:v>36659</c:v>
              </c:pt>
              <c:pt idx="76">
                <c:v>36660</c:v>
              </c:pt>
              <c:pt idx="77">
                <c:v>36661</c:v>
              </c:pt>
              <c:pt idx="78">
                <c:v>36662</c:v>
              </c:pt>
              <c:pt idx="79">
                <c:v>36663</c:v>
              </c:pt>
            </c:numLit>
          </c:cat>
          <c:val>
            <c:numLit>
              <c:formatCode>General</c:formatCode>
              <c:ptCount val="8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0.60178807235581666</c:v>
              </c:pt>
              <c:pt idx="66">
                <c:v>0.73623704768770515</c:v>
              </c:pt>
              <c:pt idx="67">
                <c:v>0.79461167228268237</c:v>
              </c:pt>
              <c:pt idx="68">
                <c:v>0.82206952686384516</c:v>
              </c:pt>
              <c:pt idx="69">
                <c:v>0.83537367117747896</c:v>
              </c:pt>
              <c:pt idx="70">
                <c:v>0.84190430253722337</c:v>
              </c:pt>
              <c:pt idx="71">
                <c:v>0.84512960919482605</c:v>
              </c:pt>
              <c:pt idx="72">
                <c:v>0.84672720103677834</c:v>
              </c:pt>
              <c:pt idx="73">
                <c:v>0.8475196792944466</c:v>
              </c:pt>
              <c:pt idx="74">
                <c:v>0.84791306456656534</c:v>
              </c:pt>
              <c:pt idx="75">
                <c:v>0.84810840939964538</c:v>
              </c:pt>
              <c:pt idx="76">
                <c:v>0.84820542949172451</c:v>
              </c:pt>
              <c:pt idx="77">
                <c:v>0.84825361973506863</c:v>
              </c:pt>
              <c:pt idx="78">
                <c:v>0.84827755704084051</c:v>
              </c:pt>
              <c:pt idx="79">
                <c:v>0.84828944755702529</c:v>
              </c:pt>
            </c:numLit>
          </c:val>
          <c:extLst>
            <c:ext xmlns:c16="http://schemas.microsoft.com/office/drawing/2014/chart" uri="{C3380CC4-5D6E-409C-BE32-E72D297353CC}">
              <c16:uniqueId val="{00000006-4CB5-451A-865B-437BAD99C55F}"/>
            </c:ext>
          </c:extLst>
        </c:ser>
        <c:ser>
          <c:idx val="8"/>
          <c:order val="8"/>
          <c:tx>
            <c:v>Confidence Stack Chart 6</c:v>
          </c:tx>
          <c:spPr>
            <a:solidFill>
              <a:srgbClr val="006446">
                <a:alpha val="90000"/>
              </a:srgbClr>
            </a:solidFill>
            <a:ln w="25400">
              <a:noFill/>
            </a:ln>
          </c:spPr>
          <c:cat>
            <c:numLit>
              <c:formatCode>General</c:formatCode>
              <c:ptCount val="80"/>
              <c:pt idx="0">
                <c:v>36584</c:v>
              </c:pt>
              <c:pt idx="1">
                <c:v>36585</c:v>
              </c:pt>
              <c:pt idx="2">
                <c:v>36586</c:v>
              </c:pt>
              <c:pt idx="3">
                <c:v>36587</c:v>
              </c:pt>
              <c:pt idx="4">
                <c:v>36588</c:v>
              </c:pt>
              <c:pt idx="5">
                <c:v>36589</c:v>
              </c:pt>
              <c:pt idx="6">
                <c:v>36590</c:v>
              </c:pt>
              <c:pt idx="7">
                <c:v>36591</c:v>
              </c:pt>
              <c:pt idx="8">
                <c:v>36592</c:v>
              </c:pt>
              <c:pt idx="9">
                <c:v>36593</c:v>
              </c:pt>
              <c:pt idx="10">
                <c:v>36594</c:v>
              </c:pt>
              <c:pt idx="11">
                <c:v>36595</c:v>
              </c:pt>
              <c:pt idx="12">
                <c:v>36596</c:v>
              </c:pt>
              <c:pt idx="13">
                <c:v>36597</c:v>
              </c:pt>
              <c:pt idx="14">
                <c:v>36598</c:v>
              </c:pt>
              <c:pt idx="15">
                <c:v>36599</c:v>
              </c:pt>
              <c:pt idx="16">
                <c:v>36600</c:v>
              </c:pt>
              <c:pt idx="17">
                <c:v>36601</c:v>
              </c:pt>
              <c:pt idx="18">
                <c:v>36602</c:v>
              </c:pt>
              <c:pt idx="19">
                <c:v>36603</c:v>
              </c:pt>
              <c:pt idx="20">
                <c:v>36604</c:v>
              </c:pt>
              <c:pt idx="21">
                <c:v>36605</c:v>
              </c:pt>
              <c:pt idx="22">
                <c:v>36606</c:v>
              </c:pt>
              <c:pt idx="23">
                <c:v>36607</c:v>
              </c:pt>
              <c:pt idx="24">
                <c:v>36608</c:v>
              </c:pt>
              <c:pt idx="25">
                <c:v>36609</c:v>
              </c:pt>
              <c:pt idx="26">
                <c:v>36610</c:v>
              </c:pt>
              <c:pt idx="27">
                <c:v>36611</c:v>
              </c:pt>
              <c:pt idx="28">
                <c:v>36612</c:v>
              </c:pt>
              <c:pt idx="29">
                <c:v>36613</c:v>
              </c:pt>
              <c:pt idx="30">
                <c:v>36614</c:v>
              </c:pt>
              <c:pt idx="31">
                <c:v>36615</c:v>
              </c:pt>
              <c:pt idx="32">
                <c:v>36616</c:v>
              </c:pt>
              <c:pt idx="33">
                <c:v>36617</c:v>
              </c:pt>
              <c:pt idx="34">
                <c:v>36618</c:v>
              </c:pt>
              <c:pt idx="35">
                <c:v>36619</c:v>
              </c:pt>
              <c:pt idx="36">
                <c:v>36620</c:v>
              </c:pt>
              <c:pt idx="37">
                <c:v>36621</c:v>
              </c:pt>
              <c:pt idx="38">
                <c:v>36622</c:v>
              </c:pt>
              <c:pt idx="39">
                <c:v>36623</c:v>
              </c:pt>
              <c:pt idx="40">
                <c:v>36624</c:v>
              </c:pt>
              <c:pt idx="41">
                <c:v>36625</c:v>
              </c:pt>
              <c:pt idx="42">
                <c:v>36626</c:v>
              </c:pt>
              <c:pt idx="43">
                <c:v>36627</c:v>
              </c:pt>
              <c:pt idx="44">
                <c:v>36628</c:v>
              </c:pt>
              <c:pt idx="45">
                <c:v>36629</c:v>
              </c:pt>
              <c:pt idx="46">
                <c:v>36630</c:v>
              </c:pt>
              <c:pt idx="47">
                <c:v>36631</c:v>
              </c:pt>
              <c:pt idx="48">
                <c:v>36632</c:v>
              </c:pt>
              <c:pt idx="49">
                <c:v>36633</c:v>
              </c:pt>
              <c:pt idx="50">
                <c:v>36634</c:v>
              </c:pt>
              <c:pt idx="51">
                <c:v>36635</c:v>
              </c:pt>
              <c:pt idx="52">
                <c:v>36636</c:v>
              </c:pt>
              <c:pt idx="53">
                <c:v>36637</c:v>
              </c:pt>
              <c:pt idx="54">
                <c:v>36638</c:v>
              </c:pt>
              <c:pt idx="55">
                <c:v>36639</c:v>
              </c:pt>
              <c:pt idx="56">
                <c:v>36640</c:v>
              </c:pt>
              <c:pt idx="57">
                <c:v>36641</c:v>
              </c:pt>
              <c:pt idx="58">
                <c:v>36642</c:v>
              </c:pt>
              <c:pt idx="59">
                <c:v>36643</c:v>
              </c:pt>
              <c:pt idx="60">
                <c:v>36644</c:v>
              </c:pt>
              <c:pt idx="61">
                <c:v>36645</c:v>
              </c:pt>
              <c:pt idx="62">
                <c:v>36646</c:v>
              </c:pt>
              <c:pt idx="63">
                <c:v>36647</c:v>
              </c:pt>
              <c:pt idx="64">
                <c:v>36648</c:v>
              </c:pt>
              <c:pt idx="65">
                <c:v>36649</c:v>
              </c:pt>
              <c:pt idx="66">
                <c:v>36650</c:v>
              </c:pt>
              <c:pt idx="67">
                <c:v>36651</c:v>
              </c:pt>
              <c:pt idx="68">
                <c:v>36652</c:v>
              </c:pt>
              <c:pt idx="69">
                <c:v>36653</c:v>
              </c:pt>
              <c:pt idx="70">
                <c:v>36654</c:v>
              </c:pt>
              <c:pt idx="71">
                <c:v>36655</c:v>
              </c:pt>
              <c:pt idx="72">
                <c:v>36656</c:v>
              </c:pt>
              <c:pt idx="73">
                <c:v>36657</c:v>
              </c:pt>
              <c:pt idx="74">
                <c:v>36658</c:v>
              </c:pt>
              <c:pt idx="75">
                <c:v>36659</c:v>
              </c:pt>
              <c:pt idx="76">
                <c:v>36660</c:v>
              </c:pt>
              <c:pt idx="77">
                <c:v>36661</c:v>
              </c:pt>
              <c:pt idx="78">
                <c:v>36662</c:v>
              </c:pt>
              <c:pt idx="79">
                <c:v>36663</c:v>
              </c:pt>
            </c:numLit>
          </c:cat>
          <c:val>
            <c:numLit>
              <c:formatCode>General</c:formatCode>
              <c:ptCount val="8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0.45003649276805302</c:v>
              </c:pt>
              <c:pt idx="66">
                <c:v>0.55058176459066521</c:v>
              </c:pt>
              <c:pt idx="67">
                <c:v>0.59423618801008204</c:v>
              </c:pt>
              <c:pt idx="68">
                <c:v>0.61477005556625963</c:v>
              </c:pt>
              <c:pt idx="69">
                <c:v>0.62471932295992672</c:v>
              </c:pt>
              <c:pt idx="70">
                <c:v>0.62960313931938927</c:v>
              </c:pt>
              <c:pt idx="71">
                <c:v>0.63201512746432997</c:v>
              </c:pt>
              <c:pt idx="72">
                <c:v>0.63320985807208796</c:v>
              </c:pt>
              <c:pt idx="73">
                <c:v>0.63380249882397188</c:v>
              </c:pt>
              <c:pt idx="74">
                <c:v>0.6340966849939933</c:v>
              </c:pt>
              <c:pt idx="75">
                <c:v>0.63424277014854868</c:v>
              </c:pt>
              <c:pt idx="76">
                <c:v>0.63431532489659559</c:v>
              </c:pt>
              <c:pt idx="77">
                <c:v>0.63435136311186846</c:v>
              </c:pt>
              <c:pt idx="78">
                <c:v>0.6343692641996943</c:v>
              </c:pt>
              <c:pt idx="79">
                <c:v>0.6343781563104669</c:v>
              </c:pt>
            </c:numLit>
          </c:val>
          <c:extLst>
            <c:ext xmlns:c16="http://schemas.microsoft.com/office/drawing/2014/chart" uri="{C3380CC4-5D6E-409C-BE32-E72D297353CC}">
              <c16:uniqueId val="{00000007-4CB5-451A-865B-437BAD99C55F}"/>
            </c:ext>
          </c:extLst>
        </c:ser>
        <c:ser>
          <c:idx val="9"/>
          <c:order val="9"/>
          <c:tx>
            <c:v>Confidence Stack Chart 7</c:v>
          </c:tx>
          <c:spPr>
            <a:solidFill>
              <a:srgbClr val="003223">
                <a:alpha val="85000"/>
              </a:srgbClr>
            </a:solidFill>
            <a:ln w="25400">
              <a:noFill/>
            </a:ln>
          </c:spPr>
          <c:cat>
            <c:numLit>
              <c:formatCode>General</c:formatCode>
              <c:ptCount val="80"/>
              <c:pt idx="0">
                <c:v>36584</c:v>
              </c:pt>
              <c:pt idx="1">
                <c:v>36585</c:v>
              </c:pt>
              <c:pt idx="2">
                <c:v>36586</c:v>
              </c:pt>
              <c:pt idx="3">
                <c:v>36587</c:v>
              </c:pt>
              <c:pt idx="4">
                <c:v>36588</c:v>
              </c:pt>
              <c:pt idx="5">
                <c:v>36589</c:v>
              </c:pt>
              <c:pt idx="6">
                <c:v>36590</c:v>
              </c:pt>
              <c:pt idx="7">
                <c:v>36591</c:v>
              </c:pt>
              <c:pt idx="8">
                <c:v>36592</c:v>
              </c:pt>
              <c:pt idx="9">
                <c:v>36593</c:v>
              </c:pt>
              <c:pt idx="10">
                <c:v>36594</c:v>
              </c:pt>
              <c:pt idx="11">
                <c:v>36595</c:v>
              </c:pt>
              <c:pt idx="12">
                <c:v>36596</c:v>
              </c:pt>
              <c:pt idx="13">
                <c:v>36597</c:v>
              </c:pt>
              <c:pt idx="14">
                <c:v>36598</c:v>
              </c:pt>
              <c:pt idx="15">
                <c:v>36599</c:v>
              </c:pt>
              <c:pt idx="16">
                <c:v>36600</c:v>
              </c:pt>
              <c:pt idx="17">
                <c:v>36601</c:v>
              </c:pt>
              <c:pt idx="18">
                <c:v>36602</c:v>
              </c:pt>
              <c:pt idx="19">
                <c:v>36603</c:v>
              </c:pt>
              <c:pt idx="20">
                <c:v>36604</c:v>
              </c:pt>
              <c:pt idx="21">
                <c:v>36605</c:v>
              </c:pt>
              <c:pt idx="22">
                <c:v>36606</c:v>
              </c:pt>
              <c:pt idx="23">
                <c:v>36607</c:v>
              </c:pt>
              <c:pt idx="24">
                <c:v>36608</c:v>
              </c:pt>
              <c:pt idx="25">
                <c:v>36609</c:v>
              </c:pt>
              <c:pt idx="26">
                <c:v>36610</c:v>
              </c:pt>
              <c:pt idx="27">
                <c:v>36611</c:v>
              </c:pt>
              <c:pt idx="28">
                <c:v>36612</c:v>
              </c:pt>
              <c:pt idx="29">
                <c:v>36613</c:v>
              </c:pt>
              <c:pt idx="30">
                <c:v>36614</c:v>
              </c:pt>
              <c:pt idx="31">
                <c:v>36615</c:v>
              </c:pt>
              <c:pt idx="32">
                <c:v>36616</c:v>
              </c:pt>
              <c:pt idx="33">
                <c:v>36617</c:v>
              </c:pt>
              <c:pt idx="34">
                <c:v>36618</c:v>
              </c:pt>
              <c:pt idx="35">
                <c:v>36619</c:v>
              </c:pt>
              <c:pt idx="36">
                <c:v>36620</c:v>
              </c:pt>
              <c:pt idx="37">
                <c:v>36621</c:v>
              </c:pt>
              <c:pt idx="38">
                <c:v>36622</c:v>
              </c:pt>
              <c:pt idx="39">
                <c:v>36623</c:v>
              </c:pt>
              <c:pt idx="40">
                <c:v>36624</c:v>
              </c:pt>
              <c:pt idx="41">
                <c:v>36625</c:v>
              </c:pt>
              <c:pt idx="42">
                <c:v>36626</c:v>
              </c:pt>
              <c:pt idx="43">
                <c:v>36627</c:v>
              </c:pt>
              <c:pt idx="44">
                <c:v>36628</c:v>
              </c:pt>
              <c:pt idx="45">
                <c:v>36629</c:v>
              </c:pt>
              <c:pt idx="46">
                <c:v>36630</c:v>
              </c:pt>
              <c:pt idx="47">
                <c:v>36631</c:v>
              </c:pt>
              <c:pt idx="48">
                <c:v>36632</c:v>
              </c:pt>
              <c:pt idx="49">
                <c:v>36633</c:v>
              </c:pt>
              <c:pt idx="50">
                <c:v>36634</c:v>
              </c:pt>
              <c:pt idx="51">
                <c:v>36635</c:v>
              </c:pt>
              <c:pt idx="52">
                <c:v>36636</c:v>
              </c:pt>
              <c:pt idx="53">
                <c:v>36637</c:v>
              </c:pt>
              <c:pt idx="54">
                <c:v>36638</c:v>
              </c:pt>
              <c:pt idx="55">
                <c:v>36639</c:v>
              </c:pt>
              <c:pt idx="56">
                <c:v>36640</c:v>
              </c:pt>
              <c:pt idx="57">
                <c:v>36641</c:v>
              </c:pt>
              <c:pt idx="58">
                <c:v>36642</c:v>
              </c:pt>
              <c:pt idx="59">
                <c:v>36643</c:v>
              </c:pt>
              <c:pt idx="60">
                <c:v>36644</c:v>
              </c:pt>
              <c:pt idx="61">
                <c:v>36645</c:v>
              </c:pt>
              <c:pt idx="62">
                <c:v>36646</c:v>
              </c:pt>
              <c:pt idx="63">
                <c:v>36647</c:v>
              </c:pt>
              <c:pt idx="64">
                <c:v>36648</c:v>
              </c:pt>
              <c:pt idx="65">
                <c:v>36649</c:v>
              </c:pt>
              <c:pt idx="66">
                <c:v>36650</c:v>
              </c:pt>
              <c:pt idx="67">
                <c:v>36651</c:v>
              </c:pt>
              <c:pt idx="68">
                <c:v>36652</c:v>
              </c:pt>
              <c:pt idx="69">
                <c:v>36653</c:v>
              </c:pt>
              <c:pt idx="70">
                <c:v>36654</c:v>
              </c:pt>
              <c:pt idx="71">
                <c:v>36655</c:v>
              </c:pt>
              <c:pt idx="72">
                <c:v>36656</c:v>
              </c:pt>
              <c:pt idx="73">
                <c:v>36657</c:v>
              </c:pt>
              <c:pt idx="74">
                <c:v>36658</c:v>
              </c:pt>
              <c:pt idx="75">
                <c:v>36659</c:v>
              </c:pt>
              <c:pt idx="76">
                <c:v>36660</c:v>
              </c:pt>
              <c:pt idx="77">
                <c:v>36661</c:v>
              </c:pt>
              <c:pt idx="78">
                <c:v>36662</c:v>
              </c:pt>
              <c:pt idx="79">
                <c:v>36663</c:v>
              </c:pt>
            </c:numLit>
          </c:cat>
          <c:val>
            <c:numLit>
              <c:formatCode>General</c:formatCode>
              <c:ptCount val="8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0.3716479034263882</c:v>
              </c:pt>
              <c:pt idx="66">
                <c:v>0.45467992432423376</c:v>
              </c:pt>
              <c:pt idx="67">
                <c:v>0.49073050066599677</c:v>
              </c:pt>
              <c:pt idx="68">
                <c:v>0.50768772291157527</c:v>
              </c:pt>
              <c:pt idx="69">
                <c:v>0.51590399965113942</c:v>
              </c:pt>
              <c:pt idx="70">
                <c:v>0.51993713949619846</c:v>
              </c:pt>
              <c:pt idx="71">
                <c:v>0.52192900093757411</c:v>
              </c:pt>
              <c:pt idx="72">
                <c:v>0.52291563009469311</c:v>
              </c:pt>
              <c:pt idx="73">
                <c:v>0.5234050430566688</c:v>
              </c:pt>
              <c:pt idx="74">
                <c:v>0.52364798707357063</c:v>
              </c:pt>
              <c:pt idx="75">
                <c:v>0.52376862671565427</c:v>
              </c:pt>
              <c:pt idx="76">
                <c:v>0.52382854367889764</c:v>
              </c:pt>
              <c:pt idx="77">
                <c:v>0.52385830465909522</c:v>
              </c:pt>
              <c:pt idx="78">
                <c:v>0.52387308768639751</c:v>
              </c:pt>
              <c:pt idx="79">
                <c:v>0.52388043094495229</c:v>
              </c:pt>
            </c:numLit>
          </c:val>
          <c:extLst>
            <c:ext xmlns:c16="http://schemas.microsoft.com/office/drawing/2014/chart" uri="{C3380CC4-5D6E-409C-BE32-E72D297353CC}">
              <c16:uniqueId val="{00000008-4CB5-451A-865B-437BAD99C55F}"/>
            </c:ext>
          </c:extLst>
        </c:ser>
        <c:ser>
          <c:idx val="10"/>
          <c:order val="10"/>
          <c:tx>
            <c:v>Confidence Stack Chart 8</c:v>
          </c:tx>
          <c:spPr>
            <a:solidFill>
              <a:srgbClr val="000000">
                <a:alpha val="80000"/>
              </a:srgbClr>
            </a:solidFill>
            <a:ln w="25400">
              <a:noFill/>
            </a:ln>
          </c:spPr>
          <c:cat>
            <c:numLit>
              <c:formatCode>General</c:formatCode>
              <c:ptCount val="80"/>
              <c:pt idx="0">
                <c:v>36584</c:v>
              </c:pt>
              <c:pt idx="1">
                <c:v>36585</c:v>
              </c:pt>
              <c:pt idx="2">
                <c:v>36586</c:v>
              </c:pt>
              <c:pt idx="3">
                <c:v>36587</c:v>
              </c:pt>
              <c:pt idx="4">
                <c:v>36588</c:v>
              </c:pt>
              <c:pt idx="5">
                <c:v>36589</c:v>
              </c:pt>
              <c:pt idx="6">
                <c:v>36590</c:v>
              </c:pt>
              <c:pt idx="7">
                <c:v>36591</c:v>
              </c:pt>
              <c:pt idx="8">
                <c:v>36592</c:v>
              </c:pt>
              <c:pt idx="9">
                <c:v>36593</c:v>
              </c:pt>
              <c:pt idx="10">
                <c:v>36594</c:v>
              </c:pt>
              <c:pt idx="11">
                <c:v>36595</c:v>
              </c:pt>
              <c:pt idx="12">
                <c:v>36596</c:v>
              </c:pt>
              <c:pt idx="13">
                <c:v>36597</c:v>
              </c:pt>
              <c:pt idx="14">
                <c:v>36598</c:v>
              </c:pt>
              <c:pt idx="15">
                <c:v>36599</c:v>
              </c:pt>
              <c:pt idx="16">
                <c:v>36600</c:v>
              </c:pt>
              <c:pt idx="17">
                <c:v>36601</c:v>
              </c:pt>
              <c:pt idx="18">
                <c:v>36602</c:v>
              </c:pt>
              <c:pt idx="19">
                <c:v>36603</c:v>
              </c:pt>
              <c:pt idx="20">
                <c:v>36604</c:v>
              </c:pt>
              <c:pt idx="21">
                <c:v>36605</c:v>
              </c:pt>
              <c:pt idx="22">
                <c:v>36606</c:v>
              </c:pt>
              <c:pt idx="23">
                <c:v>36607</c:v>
              </c:pt>
              <c:pt idx="24">
                <c:v>36608</c:v>
              </c:pt>
              <c:pt idx="25">
                <c:v>36609</c:v>
              </c:pt>
              <c:pt idx="26">
                <c:v>36610</c:v>
              </c:pt>
              <c:pt idx="27">
                <c:v>36611</c:v>
              </c:pt>
              <c:pt idx="28">
                <c:v>36612</c:v>
              </c:pt>
              <c:pt idx="29">
                <c:v>36613</c:v>
              </c:pt>
              <c:pt idx="30">
                <c:v>36614</c:v>
              </c:pt>
              <c:pt idx="31">
                <c:v>36615</c:v>
              </c:pt>
              <c:pt idx="32">
                <c:v>36616</c:v>
              </c:pt>
              <c:pt idx="33">
                <c:v>36617</c:v>
              </c:pt>
              <c:pt idx="34">
                <c:v>36618</c:v>
              </c:pt>
              <c:pt idx="35">
                <c:v>36619</c:v>
              </c:pt>
              <c:pt idx="36">
                <c:v>36620</c:v>
              </c:pt>
              <c:pt idx="37">
                <c:v>36621</c:v>
              </c:pt>
              <c:pt idx="38">
                <c:v>36622</c:v>
              </c:pt>
              <c:pt idx="39">
                <c:v>36623</c:v>
              </c:pt>
              <c:pt idx="40">
                <c:v>36624</c:v>
              </c:pt>
              <c:pt idx="41">
                <c:v>36625</c:v>
              </c:pt>
              <c:pt idx="42">
                <c:v>36626</c:v>
              </c:pt>
              <c:pt idx="43">
                <c:v>36627</c:v>
              </c:pt>
              <c:pt idx="44">
                <c:v>36628</c:v>
              </c:pt>
              <c:pt idx="45">
                <c:v>36629</c:v>
              </c:pt>
              <c:pt idx="46">
                <c:v>36630</c:v>
              </c:pt>
              <c:pt idx="47">
                <c:v>36631</c:v>
              </c:pt>
              <c:pt idx="48">
                <c:v>36632</c:v>
              </c:pt>
              <c:pt idx="49">
                <c:v>36633</c:v>
              </c:pt>
              <c:pt idx="50">
                <c:v>36634</c:v>
              </c:pt>
              <c:pt idx="51">
                <c:v>36635</c:v>
              </c:pt>
              <c:pt idx="52">
                <c:v>36636</c:v>
              </c:pt>
              <c:pt idx="53">
                <c:v>36637</c:v>
              </c:pt>
              <c:pt idx="54">
                <c:v>36638</c:v>
              </c:pt>
              <c:pt idx="55">
                <c:v>36639</c:v>
              </c:pt>
              <c:pt idx="56">
                <c:v>36640</c:v>
              </c:pt>
              <c:pt idx="57">
                <c:v>36641</c:v>
              </c:pt>
              <c:pt idx="58">
                <c:v>36642</c:v>
              </c:pt>
              <c:pt idx="59">
                <c:v>36643</c:v>
              </c:pt>
              <c:pt idx="60">
                <c:v>36644</c:v>
              </c:pt>
              <c:pt idx="61">
                <c:v>36645</c:v>
              </c:pt>
              <c:pt idx="62">
                <c:v>36646</c:v>
              </c:pt>
              <c:pt idx="63">
                <c:v>36647</c:v>
              </c:pt>
              <c:pt idx="64">
                <c:v>36648</c:v>
              </c:pt>
              <c:pt idx="65">
                <c:v>36649</c:v>
              </c:pt>
              <c:pt idx="66">
                <c:v>36650</c:v>
              </c:pt>
              <c:pt idx="67">
                <c:v>36651</c:v>
              </c:pt>
              <c:pt idx="68">
                <c:v>36652</c:v>
              </c:pt>
              <c:pt idx="69">
                <c:v>36653</c:v>
              </c:pt>
              <c:pt idx="70">
                <c:v>36654</c:v>
              </c:pt>
              <c:pt idx="71">
                <c:v>36655</c:v>
              </c:pt>
              <c:pt idx="72">
                <c:v>36656</c:v>
              </c:pt>
              <c:pt idx="73">
                <c:v>36657</c:v>
              </c:pt>
              <c:pt idx="74">
                <c:v>36658</c:v>
              </c:pt>
              <c:pt idx="75">
                <c:v>36659</c:v>
              </c:pt>
              <c:pt idx="76">
                <c:v>36660</c:v>
              </c:pt>
              <c:pt idx="77">
                <c:v>36661</c:v>
              </c:pt>
              <c:pt idx="78">
                <c:v>36662</c:v>
              </c:pt>
              <c:pt idx="79">
                <c:v>36663</c:v>
              </c:pt>
            </c:numLit>
          </c:cat>
          <c:val>
            <c:numLit>
              <c:formatCode>General</c:formatCode>
              <c:ptCount val="8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0.32234913089188733</c:v>
              </c:pt>
              <c:pt idx="66">
                <c:v>0.39436702612513486</c:v>
              </c:pt>
              <c:pt idx="67">
                <c:v>0.42563552473573107</c:v>
              </c:pt>
              <c:pt idx="68">
                <c:v>0.44034338613574953</c:v>
              </c:pt>
              <c:pt idx="69">
                <c:v>0.44746978088128087</c:v>
              </c:pt>
              <c:pt idx="70">
                <c:v>0.45096792821867826</c:v>
              </c:pt>
              <c:pt idx="71">
                <c:v>0.45269557096484991</c:v>
              </c:pt>
              <c:pt idx="72">
                <c:v>0.45355132461871861</c:v>
              </c:pt>
              <c:pt idx="73">
                <c:v>0.45397581737513049</c:v>
              </c:pt>
              <c:pt idx="74">
                <c:v>0.45418653507858497</c:v>
              </c:pt>
              <c:pt idx="75">
                <c:v>0.45429117197662316</c:v>
              </c:pt>
              <c:pt idx="76">
                <c:v>0.45434314100658124</c:v>
              </c:pt>
              <c:pt idx="77">
                <c:v>0.45436895421852963</c:v>
              </c:pt>
              <c:pt idx="78">
                <c:v>0.45438177629006216</c:v>
              </c:pt>
              <c:pt idx="79">
                <c:v>0.45438814547172957</c:v>
              </c:pt>
            </c:numLit>
          </c:val>
          <c:extLst>
            <c:ext xmlns:c16="http://schemas.microsoft.com/office/drawing/2014/chart" uri="{C3380CC4-5D6E-409C-BE32-E72D297353CC}">
              <c16:uniqueId val="{00000009-4CB5-451A-865B-437BAD99C55F}"/>
            </c:ext>
          </c:extLst>
        </c:ser>
        <c:dLbls>
          <c:showLegendKey val="0"/>
          <c:showVal val="0"/>
          <c:showCatName val="0"/>
          <c:showSerName val="0"/>
          <c:showPercent val="0"/>
          <c:showBubbleSize val="0"/>
        </c:dLbls>
        <c:axId val="1059491600"/>
        <c:axId val="1059498672"/>
      </c:areaChart>
      <c:scatterChart>
        <c:scatterStyle val="smoothMarker"/>
        <c:varyColors val="0"/>
        <c:ser>
          <c:idx val="0"/>
          <c:order val="0"/>
          <c:tx>
            <c:v>Time Series</c:v>
          </c:tx>
          <c:marker>
            <c:symbol val="none"/>
          </c:marker>
          <c:xVal>
            <c:numRef>
              <c:f>#REF!</c:f>
            </c:numRef>
          </c:xVal>
          <c:yVal>
            <c:numRef>
              <c:f>#REF!</c:f>
              <c:numCache>
                <c:formatCode>General</c:formatCode>
                <c:ptCount val="1"/>
                <c:pt idx="0">
                  <c:v>1</c:v>
                </c:pt>
              </c:numCache>
            </c:numRef>
          </c:yVal>
          <c:smooth val="0"/>
          <c:extLst>
            <c:ext xmlns:c16="http://schemas.microsoft.com/office/drawing/2014/chart" uri="{C3380CC4-5D6E-409C-BE32-E72D297353CC}">
              <c16:uniqueId val="{0000000A-4CB5-451A-865B-437BAD99C55F}"/>
            </c:ext>
          </c:extLst>
        </c:ser>
        <c:dLbls>
          <c:showLegendKey val="0"/>
          <c:showVal val="0"/>
          <c:showCatName val="0"/>
          <c:showSerName val="0"/>
          <c:showPercent val="0"/>
          <c:showBubbleSize val="0"/>
        </c:dLbls>
        <c:axId val="1059491600"/>
        <c:axId val="1059498672"/>
      </c:scatterChart>
      <c:dateAx>
        <c:axId val="1059491600"/>
        <c:scaling>
          <c:orientation val="minMax"/>
        </c:scaling>
        <c:delete val="0"/>
        <c:axPos val="b"/>
        <c:majorGridlines>
          <c:spPr>
            <a:ln w="6350" cap="flat" cmpd="sng" algn="ctr">
              <a:solidFill>
                <a:srgbClr val="D3D3D3">
                  <a:lumMod val="100000"/>
                  <a:alpha val="80000"/>
                </a:srgbClr>
              </a:solidFill>
              <a:prstDash val="dash"/>
              <a:round/>
              <a:headEnd type="none" w="med" len="med"/>
              <a:tailEnd type="none" w="med" len="med"/>
            </a:ln>
          </c:spPr>
        </c:majorGridlines>
        <c:numFmt formatCode="m/d/yyyy" sourceLinked="0"/>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en-US"/>
          </a:p>
        </c:txPr>
        <c:crossAx val="1059498672"/>
        <c:crosses val="min"/>
        <c:auto val="0"/>
        <c:lblOffset val="100"/>
        <c:baseTimeUnit val="days"/>
      </c:dateAx>
      <c:valAx>
        <c:axId val="1059498672"/>
        <c:scaling>
          <c:orientation val="minMax"/>
        </c:scaling>
        <c:delete val="0"/>
        <c:axPos val="l"/>
        <c:majorGridlines>
          <c:spPr>
            <a:ln w="6350" cap="flat" cmpd="sng" algn="ctr">
              <a:solidFill>
                <a:srgbClr val="D3D3D3">
                  <a:lumMod val="100000"/>
                  <a:alpha val="80000"/>
                </a:srgbClr>
              </a:solidFill>
              <a:prstDash val="dash"/>
              <a:round/>
              <a:headEnd type="none" w="med" len="med"/>
              <a:tailEnd type="none" w="med" len="med"/>
            </a:ln>
          </c:spPr>
        </c:majorGridlines>
        <c:numFmt formatCode="General" sourceLinked="1"/>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en-US"/>
          </a:p>
        </c:txPr>
        <c:crossAx val="1059491600"/>
        <c:crosses val="autoZero"/>
        <c:crossBetween val="between"/>
      </c:valAx>
      <c:spPr>
        <a:noFill/>
        <a:ln>
          <a:solidFill>
            <a:srgbClr val="000000"/>
          </a:solidFill>
        </a:ln>
        <a:extLst>
          <a:ext uri="{909E8E84-426E-40DD-AFC4-6F175D3DCCD1}">
            <a14:hiddenFill xmlns:a14="http://schemas.microsoft.com/office/drawing/2010/main">
              <a:solidFill>
                <a:sysClr val="window" lastClr="FFFFFF"/>
              </a:solidFill>
            </a14:hiddenFill>
          </a:ext>
        </a:extLst>
      </c:spPr>
    </c:plotArea>
    <c:plotVisOnly val="1"/>
    <c:dispBlanksAs val="gap"/>
    <c:showDLblsOverMax val="0"/>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Time Series</c:v>
          </c:tx>
          <c:marker>
            <c:symbol val="none"/>
          </c:marker>
          <c:xVal>
            <c:numRef>
              <c:f>#REF!</c:f>
            </c:numRef>
          </c:xVal>
          <c:yVal>
            <c:numRef>
              <c:f>#REF!</c:f>
              <c:numCache>
                <c:formatCode>General</c:formatCode>
                <c:ptCount val="1"/>
                <c:pt idx="0">
                  <c:v>1</c:v>
                </c:pt>
              </c:numCache>
            </c:numRef>
          </c:yVal>
          <c:smooth val="0"/>
          <c:extLst>
            <c:ext xmlns:c16="http://schemas.microsoft.com/office/drawing/2014/chart" uri="{C3380CC4-5D6E-409C-BE32-E72D297353CC}">
              <c16:uniqueId val="{00000000-9FEC-40E5-9401-2B092245BAC8}"/>
            </c:ext>
          </c:extLst>
        </c:ser>
        <c:ser>
          <c:idx val="1"/>
          <c:order val="1"/>
          <c:tx>
            <c:v>Stochastic series 1</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formatCode>General</c:formatCode>
              <c:ptCount val="208"/>
              <c:pt idx="0">
                <c:v>55</c:v>
              </c:pt>
              <c:pt idx="1">
                <c:v>56</c:v>
              </c:pt>
              <c:pt idx="2">
                <c:v>57</c:v>
              </c:pt>
              <c:pt idx="3">
                <c:v>58</c:v>
              </c:pt>
              <c:pt idx="4">
                <c:v>59</c:v>
              </c:pt>
              <c:pt idx="5">
                <c:v>60</c:v>
              </c:pt>
              <c:pt idx="6">
                <c:v>61</c:v>
              </c:pt>
              <c:pt idx="7">
                <c:v>62</c:v>
              </c:pt>
              <c:pt idx="8">
                <c:v>63</c:v>
              </c:pt>
              <c:pt idx="9">
                <c:v>64</c:v>
              </c:pt>
              <c:pt idx="10">
                <c:v>65</c:v>
              </c:pt>
              <c:pt idx="11">
                <c:v>66</c:v>
              </c:pt>
              <c:pt idx="12">
                <c:v>67</c:v>
              </c:pt>
              <c:pt idx="13">
                <c:v>68</c:v>
              </c:pt>
              <c:pt idx="14">
                <c:v>69</c:v>
              </c:pt>
              <c:pt idx="15">
                <c:v>70</c:v>
              </c:pt>
              <c:pt idx="16">
                <c:v>71</c:v>
              </c:pt>
              <c:pt idx="17">
                <c:v>72</c:v>
              </c:pt>
              <c:pt idx="18">
                <c:v>73</c:v>
              </c:pt>
              <c:pt idx="19">
                <c:v>74</c:v>
              </c:pt>
              <c:pt idx="20">
                <c:v>75</c:v>
              </c:pt>
              <c:pt idx="21">
                <c:v>76</c:v>
              </c:pt>
              <c:pt idx="22">
                <c:v>77</c:v>
              </c:pt>
              <c:pt idx="23">
                <c:v>78</c:v>
              </c:pt>
              <c:pt idx="24">
                <c:v>79</c:v>
              </c:pt>
              <c:pt idx="25">
                <c:v>80</c:v>
              </c:pt>
              <c:pt idx="26">
                <c:v>81</c:v>
              </c:pt>
              <c:pt idx="27">
                <c:v>82</c:v>
              </c:pt>
              <c:pt idx="28">
                <c:v>83</c:v>
              </c:pt>
              <c:pt idx="29">
                <c:v>84</c:v>
              </c:pt>
              <c:pt idx="30">
                <c:v>85</c:v>
              </c:pt>
              <c:pt idx="31">
                <c:v>86</c:v>
              </c:pt>
              <c:pt idx="32">
                <c:v>87</c:v>
              </c:pt>
              <c:pt idx="33">
                <c:v>88</c:v>
              </c:pt>
              <c:pt idx="34">
                <c:v>89</c:v>
              </c:pt>
              <c:pt idx="35">
                <c:v>90</c:v>
              </c:pt>
              <c:pt idx="36">
                <c:v>91</c:v>
              </c:pt>
              <c:pt idx="37">
                <c:v>92</c:v>
              </c:pt>
              <c:pt idx="38">
                <c:v>93</c:v>
              </c:pt>
              <c:pt idx="39">
                <c:v>94</c:v>
              </c:pt>
              <c:pt idx="40">
                <c:v>95</c:v>
              </c:pt>
              <c:pt idx="41">
                <c:v>96</c:v>
              </c:pt>
              <c:pt idx="42">
                <c:v>97</c:v>
              </c:pt>
              <c:pt idx="43">
                <c:v>98</c:v>
              </c:pt>
              <c:pt idx="44">
                <c:v>99</c:v>
              </c:pt>
              <c:pt idx="45">
                <c:v>100</c:v>
              </c:pt>
              <c:pt idx="46">
                <c:v>101</c:v>
              </c:pt>
              <c:pt idx="47">
                <c:v>102</c:v>
              </c:pt>
              <c:pt idx="48">
                <c:v>103</c:v>
              </c:pt>
              <c:pt idx="49">
                <c:v>104</c:v>
              </c:pt>
              <c:pt idx="50">
                <c:v>105</c:v>
              </c:pt>
              <c:pt idx="51">
                <c:v>106</c:v>
              </c:pt>
              <c:pt idx="52">
                <c:v>107</c:v>
              </c:pt>
              <c:pt idx="53">
                <c:v>108</c:v>
              </c:pt>
              <c:pt idx="54">
                <c:v>109</c:v>
              </c:pt>
              <c:pt idx="55">
                <c:v>110</c:v>
              </c:pt>
              <c:pt idx="56">
                <c:v>111</c:v>
              </c:pt>
              <c:pt idx="57">
                <c:v>112</c:v>
              </c:pt>
              <c:pt idx="58">
                <c:v>113</c:v>
              </c:pt>
              <c:pt idx="59">
                <c:v>114</c:v>
              </c:pt>
              <c:pt idx="60">
                <c:v>115</c:v>
              </c:pt>
              <c:pt idx="61">
                <c:v>116</c:v>
              </c:pt>
              <c:pt idx="62">
                <c:v>117</c:v>
              </c:pt>
              <c:pt idx="63">
                <c:v>118</c:v>
              </c:pt>
              <c:pt idx="64">
                <c:v>119</c:v>
              </c:pt>
              <c:pt idx="65">
                <c:v>120</c:v>
              </c:pt>
              <c:pt idx="66">
                <c:v>121</c:v>
              </c:pt>
              <c:pt idx="67">
                <c:v>122</c:v>
              </c:pt>
              <c:pt idx="68">
                <c:v>123</c:v>
              </c:pt>
              <c:pt idx="69">
                <c:v>124</c:v>
              </c:pt>
              <c:pt idx="70">
                <c:v>125</c:v>
              </c:pt>
              <c:pt idx="71">
                <c:v>126</c:v>
              </c:pt>
              <c:pt idx="72">
                <c:v>127</c:v>
              </c:pt>
              <c:pt idx="73">
                <c:v>128</c:v>
              </c:pt>
              <c:pt idx="74">
                <c:v>129</c:v>
              </c:pt>
              <c:pt idx="75">
                <c:v>130</c:v>
              </c:pt>
              <c:pt idx="76">
                <c:v>131</c:v>
              </c:pt>
              <c:pt idx="77">
                <c:v>132</c:v>
              </c:pt>
              <c:pt idx="78">
                <c:v>133</c:v>
              </c:pt>
              <c:pt idx="79">
                <c:v>134</c:v>
              </c:pt>
              <c:pt idx="80">
                <c:v>134</c:v>
              </c:pt>
              <c:pt idx="81">
                <c:v>133</c:v>
              </c:pt>
              <c:pt idx="82">
                <c:v>132</c:v>
              </c:pt>
              <c:pt idx="83">
                <c:v>131</c:v>
              </c:pt>
              <c:pt idx="84">
                <c:v>130</c:v>
              </c:pt>
              <c:pt idx="85">
                <c:v>129</c:v>
              </c:pt>
              <c:pt idx="86">
                <c:v>128</c:v>
              </c:pt>
              <c:pt idx="87">
                <c:v>127</c:v>
              </c:pt>
              <c:pt idx="88">
                <c:v>126</c:v>
              </c:pt>
              <c:pt idx="89">
                <c:v>125</c:v>
              </c:pt>
              <c:pt idx="90">
                <c:v>124</c:v>
              </c:pt>
              <c:pt idx="91">
                <c:v>123</c:v>
              </c:pt>
              <c:pt idx="92">
                <c:v>122</c:v>
              </c:pt>
              <c:pt idx="93">
                <c:v>121</c:v>
              </c:pt>
              <c:pt idx="94">
                <c:v>120</c:v>
              </c:pt>
              <c:pt idx="95">
                <c:v>119</c:v>
              </c:pt>
              <c:pt idx="96">
                <c:v>119</c:v>
              </c:pt>
              <c:pt idx="97">
                <c:v>120</c:v>
              </c:pt>
              <c:pt idx="98">
                <c:v>121</c:v>
              </c:pt>
              <c:pt idx="99">
                <c:v>122</c:v>
              </c:pt>
              <c:pt idx="100">
                <c:v>123</c:v>
              </c:pt>
              <c:pt idx="101">
                <c:v>124</c:v>
              </c:pt>
              <c:pt idx="102">
                <c:v>125</c:v>
              </c:pt>
              <c:pt idx="103">
                <c:v>126</c:v>
              </c:pt>
              <c:pt idx="104">
                <c:v>127</c:v>
              </c:pt>
              <c:pt idx="105">
                <c:v>128</c:v>
              </c:pt>
              <c:pt idx="106">
                <c:v>129</c:v>
              </c:pt>
              <c:pt idx="107">
                <c:v>130</c:v>
              </c:pt>
              <c:pt idx="108">
                <c:v>131</c:v>
              </c:pt>
              <c:pt idx="109">
                <c:v>132</c:v>
              </c:pt>
              <c:pt idx="110">
                <c:v>133</c:v>
              </c:pt>
              <c:pt idx="111">
                <c:v>134</c:v>
              </c:pt>
              <c:pt idx="112">
                <c:v>134</c:v>
              </c:pt>
              <c:pt idx="113">
                <c:v>133</c:v>
              </c:pt>
              <c:pt idx="114">
                <c:v>132</c:v>
              </c:pt>
              <c:pt idx="115">
                <c:v>131</c:v>
              </c:pt>
              <c:pt idx="116">
                <c:v>130</c:v>
              </c:pt>
              <c:pt idx="117">
                <c:v>129</c:v>
              </c:pt>
              <c:pt idx="118">
                <c:v>128</c:v>
              </c:pt>
              <c:pt idx="119">
                <c:v>127</c:v>
              </c:pt>
              <c:pt idx="120">
                <c:v>126</c:v>
              </c:pt>
              <c:pt idx="121">
                <c:v>125</c:v>
              </c:pt>
              <c:pt idx="122">
                <c:v>124</c:v>
              </c:pt>
              <c:pt idx="123">
                <c:v>123</c:v>
              </c:pt>
              <c:pt idx="124">
                <c:v>122</c:v>
              </c:pt>
              <c:pt idx="125">
                <c:v>121</c:v>
              </c:pt>
              <c:pt idx="126">
                <c:v>120</c:v>
              </c:pt>
              <c:pt idx="127">
                <c:v>119</c:v>
              </c:pt>
              <c:pt idx="128">
                <c:v>119</c:v>
              </c:pt>
              <c:pt idx="129">
                <c:v>120</c:v>
              </c:pt>
              <c:pt idx="130">
                <c:v>121</c:v>
              </c:pt>
              <c:pt idx="131">
                <c:v>122</c:v>
              </c:pt>
              <c:pt idx="132">
                <c:v>123</c:v>
              </c:pt>
              <c:pt idx="133">
                <c:v>124</c:v>
              </c:pt>
              <c:pt idx="134">
                <c:v>125</c:v>
              </c:pt>
              <c:pt idx="135">
                <c:v>126</c:v>
              </c:pt>
              <c:pt idx="136">
                <c:v>127</c:v>
              </c:pt>
              <c:pt idx="137">
                <c:v>128</c:v>
              </c:pt>
              <c:pt idx="138">
                <c:v>129</c:v>
              </c:pt>
              <c:pt idx="139">
                <c:v>130</c:v>
              </c:pt>
              <c:pt idx="140">
                <c:v>131</c:v>
              </c:pt>
              <c:pt idx="141">
                <c:v>132</c:v>
              </c:pt>
              <c:pt idx="142">
                <c:v>133</c:v>
              </c:pt>
              <c:pt idx="143">
                <c:v>134</c:v>
              </c:pt>
              <c:pt idx="144">
                <c:v>134</c:v>
              </c:pt>
              <c:pt idx="145">
                <c:v>133</c:v>
              </c:pt>
              <c:pt idx="146">
                <c:v>132</c:v>
              </c:pt>
              <c:pt idx="147">
                <c:v>131</c:v>
              </c:pt>
              <c:pt idx="148">
                <c:v>130</c:v>
              </c:pt>
              <c:pt idx="149">
                <c:v>129</c:v>
              </c:pt>
              <c:pt idx="150">
                <c:v>128</c:v>
              </c:pt>
              <c:pt idx="151">
                <c:v>127</c:v>
              </c:pt>
              <c:pt idx="152">
                <c:v>126</c:v>
              </c:pt>
              <c:pt idx="153">
                <c:v>125</c:v>
              </c:pt>
              <c:pt idx="154">
                <c:v>124</c:v>
              </c:pt>
              <c:pt idx="155">
                <c:v>123</c:v>
              </c:pt>
              <c:pt idx="156">
                <c:v>122</c:v>
              </c:pt>
              <c:pt idx="157">
                <c:v>121</c:v>
              </c:pt>
              <c:pt idx="158">
                <c:v>120</c:v>
              </c:pt>
              <c:pt idx="159">
                <c:v>119</c:v>
              </c:pt>
              <c:pt idx="160">
                <c:v>119</c:v>
              </c:pt>
              <c:pt idx="161">
                <c:v>120</c:v>
              </c:pt>
              <c:pt idx="162">
                <c:v>121</c:v>
              </c:pt>
              <c:pt idx="163">
                <c:v>122</c:v>
              </c:pt>
              <c:pt idx="164">
                <c:v>123</c:v>
              </c:pt>
              <c:pt idx="165">
                <c:v>124</c:v>
              </c:pt>
              <c:pt idx="166">
                <c:v>125</c:v>
              </c:pt>
              <c:pt idx="167">
                <c:v>126</c:v>
              </c:pt>
              <c:pt idx="168">
                <c:v>127</c:v>
              </c:pt>
              <c:pt idx="169">
                <c:v>128</c:v>
              </c:pt>
              <c:pt idx="170">
                <c:v>129</c:v>
              </c:pt>
              <c:pt idx="171">
                <c:v>130</c:v>
              </c:pt>
              <c:pt idx="172">
                <c:v>131</c:v>
              </c:pt>
              <c:pt idx="173">
                <c:v>132</c:v>
              </c:pt>
              <c:pt idx="174">
                <c:v>133</c:v>
              </c:pt>
              <c:pt idx="175">
                <c:v>134</c:v>
              </c:pt>
              <c:pt idx="176">
                <c:v>134</c:v>
              </c:pt>
              <c:pt idx="177">
                <c:v>133</c:v>
              </c:pt>
              <c:pt idx="178">
                <c:v>132</c:v>
              </c:pt>
              <c:pt idx="179">
                <c:v>131</c:v>
              </c:pt>
              <c:pt idx="180">
                <c:v>130</c:v>
              </c:pt>
              <c:pt idx="181">
                <c:v>129</c:v>
              </c:pt>
              <c:pt idx="182">
                <c:v>128</c:v>
              </c:pt>
              <c:pt idx="183">
                <c:v>127</c:v>
              </c:pt>
              <c:pt idx="184">
                <c:v>126</c:v>
              </c:pt>
              <c:pt idx="185">
                <c:v>125</c:v>
              </c:pt>
              <c:pt idx="186">
                <c:v>124</c:v>
              </c:pt>
              <c:pt idx="187">
                <c:v>123</c:v>
              </c:pt>
              <c:pt idx="188">
                <c:v>122</c:v>
              </c:pt>
              <c:pt idx="189">
                <c:v>121</c:v>
              </c:pt>
              <c:pt idx="190">
                <c:v>120</c:v>
              </c:pt>
              <c:pt idx="191">
                <c:v>119</c:v>
              </c:pt>
              <c:pt idx="192">
                <c:v>119</c:v>
              </c:pt>
              <c:pt idx="193">
                <c:v>120</c:v>
              </c:pt>
              <c:pt idx="194">
                <c:v>121</c:v>
              </c:pt>
              <c:pt idx="195">
                <c:v>122</c:v>
              </c:pt>
              <c:pt idx="196">
                <c:v>123</c:v>
              </c:pt>
              <c:pt idx="197">
                <c:v>124</c:v>
              </c:pt>
              <c:pt idx="198">
                <c:v>125</c:v>
              </c:pt>
              <c:pt idx="199">
                <c:v>126</c:v>
              </c:pt>
              <c:pt idx="200">
                <c:v>127</c:v>
              </c:pt>
              <c:pt idx="201">
                <c:v>128</c:v>
              </c:pt>
              <c:pt idx="202">
                <c:v>129</c:v>
              </c:pt>
              <c:pt idx="203">
                <c:v>130</c:v>
              </c:pt>
              <c:pt idx="204">
                <c:v>131</c:v>
              </c:pt>
              <c:pt idx="205">
                <c:v>132</c:v>
              </c:pt>
              <c:pt idx="206">
                <c:v>133</c:v>
              </c:pt>
              <c:pt idx="207">
                <c:v>134</c:v>
              </c:pt>
            </c:numLit>
          </c:xVal>
          <c:yVal>
            <c:numLit>
              <c:formatCode>General</c:formatCode>
              <c:ptCount val="20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-1.75748808019877</c:v>
              </c:pt>
              <c:pt idx="65">
                <c:v>-0.46235631448899417</c:v>
              </c:pt>
              <c:pt idx="66">
                <c:v>-0.64985024426563276</c:v>
              </c:pt>
              <c:pt idx="67">
                <c:v>-0.53764003427703877</c:v>
              </c:pt>
              <c:pt idx="68">
                <c:v>-0.20887971086834051</c:v>
              </c:pt>
              <c:pt idx="69">
                <c:v>2.0116212503518414</c:v>
              </c:pt>
              <c:pt idx="70">
                <c:v>0.86744708427980188</c:v>
              </c:pt>
              <c:pt idx="71">
                <c:v>2.6475742267580369</c:v>
              </c:pt>
              <c:pt idx="72">
                <c:v>1.2432030257122861</c:v>
              </c:pt>
              <c:pt idx="73">
                <c:v>0.4362353042450034</c:v>
              </c:pt>
              <c:pt idx="74">
                <c:v>0.40849684387851304</c:v>
              </c:pt>
              <c:pt idx="75">
                <c:v>-0.20527433787246177</c:v>
              </c:pt>
              <c:pt idx="76">
                <c:v>0.70488846879621836</c:v>
              </c:pt>
              <c:pt idx="77">
                <c:v>3.9822072238078876E-2</c:v>
              </c:pt>
              <c:pt idx="78">
                <c:v>1.0512728293464508</c:v>
              </c:pt>
              <c:pt idx="79">
                <c:v>-0.13760463842253345</c:v>
              </c:pt>
              <c:pt idx="80">
                <c:v>-0.13760463842253345</c:v>
              </c:pt>
              <c:pt idx="81">
                <c:v>1.0512728293464508</c:v>
              </c:pt>
              <c:pt idx="82">
                <c:v>3.9822072238078876E-2</c:v>
              </c:pt>
              <c:pt idx="83">
                <c:v>0.70488846879621836</c:v>
              </c:pt>
              <c:pt idx="84">
                <c:v>-0.20527433787246177</c:v>
              </c:pt>
              <c:pt idx="85">
                <c:v>0.40849684387851304</c:v>
              </c:pt>
              <c:pt idx="86">
                <c:v>0.4362353042450034</c:v>
              </c:pt>
              <c:pt idx="87">
                <c:v>1.2432030257122861</c:v>
              </c:pt>
              <c:pt idx="88">
                <c:v>2.6475742267580369</c:v>
              </c:pt>
              <c:pt idx="89">
                <c:v>0.86744708427980188</c:v>
              </c:pt>
              <c:pt idx="90">
                <c:v>2.0116212503518414</c:v>
              </c:pt>
              <c:pt idx="91">
                <c:v>-0.20887971086834051</c:v>
              </c:pt>
              <c:pt idx="92">
                <c:v>-0.53764003427703877</c:v>
              </c:pt>
              <c:pt idx="93">
                <c:v>-0.64985024426563276</c:v>
              </c:pt>
              <c:pt idx="94">
                <c:v>-0.46235631448899417</c:v>
              </c:pt>
              <c:pt idx="95">
                <c:v>-1.75748808019877</c:v>
              </c:pt>
              <c:pt idx="96">
                <c:v>-1.75748808019877</c:v>
              </c:pt>
              <c:pt idx="97">
                <c:v>-0.79246074719013115</c:v>
              </c:pt>
              <c:pt idx="98">
                <c:v>-1.7158786176188634</c:v>
              </c:pt>
              <c:pt idx="99">
                <c:v>-1.8581709336259391</c:v>
              </c:pt>
              <c:pt idx="100">
                <c:v>-1.1823779424495078</c:v>
              </c:pt>
              <c:pt idx="101">
                <c:v>-0.65715160555410601</c:v>
              </c:pt>
              <c:pt idx="102">
                <c:v>-0.71827419111373125</c:v>
              </c:pt>
              <c:pt idx="103">
                <c:v>-1.8626617161912908</c:v>
              </c:pt>
              <c:pt idx="104">
                <c:v>1.16753553250095</c:v>
              </c:pt>
              <c:pt idx="105">
                <c:v>-0.15449151279720463</c:v>
              </c:pt>
              <c:pt idx="106">
                <c:v>0.65839495109838708</c:v>
              </c:pt>
              <c:pt idx="107">
                <c:v>0.16248544207598919</c:v>
              </c:pt>
              <c:pt idx="108">
                <c:v>-0.36289725329859734</c:v>
              </c:pt>
              <c:pt idx="109">
                <c:v>-1.3364301869752642</c:v>
              </c:pt>
              <c:pt idx="110">
                <c:v>-1.1186275704760891</c:v>
              </c:pt>
              <c:pt idx="111">
                <c:v>-1.7310713222450667</c:v>
              </c:pt>
              <c:pt idx="112">
                <c:v>-1.7310713222450667</c:v>
              </c:pt>
              <c:pt idx="113">
                <c:v>-1.1186275704760891</c:v>
              </c:pt>
              <c:pt idx="114">
                <c:v>-1.3364301869752642</c:v>
              </c:pt>
              <c:pt idx="115">
                <c:v>-0.36289725329859734</c:v>
              </c:pt>
              <c:pt idx="116">
                <c:v>0.16248544207598919</c:v>
              </c:pt>
              <c:pt idx="117">
                <c:v>0.65839495109838708</c:v>
              </c:pt>
              <c:pt idx="118">
                <c:v>-0.15449151279720463</c:v>
              </c:pt>
              <c:pt idx="119">
                <c:v>1.16753553250095</c:v>
              </c:pt>
              <c:pt idx="120">
                <c:v>-1.8626617161912908</c:v>
              </c:pt>
              <c:pt idx="121">
                <c:v>-0.71827419111373125</c:v>
              </c:pt>
              <c:pt idx="122">
                <c:v>-0.65715160555410601</c:v>
              </c:pt>
              <c:pt idx="123">
                <c:v>-1.1823779424495078</c:v>
              </c:pt>
              <c:pt idx="124">
                <c:v>-1.8581709336259391</c:v>
              </c:pt>
              <c:pt idx="125">
                <c:v>-1.7158786176188634</c:v>
              </c:pt>
              <c:pt idx="126">
                <c:v>-0.79246074719013115</c:v>
              </c:pt>
              <c:pt idx="127">
                <c:v>-1.75748808019877</c:v>
              </c:pt>
              <c:pt idx="128">
                <c:v>-1.75748808019877</c:v>
              </c:pt>
              <c:pt idx="129">
                <c:v>-1.1920932930058092</c:v>
              </c:pt>
              <c:pt idx="130">
                <c:v>-1.0193895385604461</c:v>
              </c:pt>
              <c:pt idx="131">
                <c:v>-0.49352377298060462</c:v>
              </c:pt>
              <c:pt idx="132">
                <c:v>-0.44091886007770209</c:v>
              </c:pt>
              <c:pt idx="133">
                <c:v>-0.18970931737118851</c:v>
              </c:pt>
              <c:pt idx="134">
                <c:v>-0.65496669562646237</c:v>
              </c:pt>
              <c:pt idx="135">
                <c:v>1.8811080704896876</c:v>
              </c:pt>
              <c:pt idx="136">
                <c:v>1.1224472198472994</c:v>
              </c:pt>
              <c:pt idx="137">
                <c:v>0.3491019074841607</c:v>
              </c:pt>
              <c:pt idx="138">
                <c:v>1.0964222377285935</c:v>
              </c:pt>
              <c:pt idx="139">
                <c:v>1.5530334356100592</c:v>
              </c:pt>
              <c:pt idx="140">
                <c:v>-0.75607470461246251</c:v>
              </c:pt>
              <c:pt idx="141">
                <c:v>0.44342320519904865</c:v>
              </c:pt>
              <c:pt idx="142">
                <c:v>1.1672057481460745</c:v>
              </c:pt>
              <c:pt idx="143">
                <c:v>-0.97662851518366278</c:v>
              </c:pt>
              <c:pt idx="144">
                <c:v>-0.97662851518366278</c:v>
              </c:pt>
              <c:pt idx="145">
                <c:v>1.1672057481460745</c:v>
              </c:pt>
              <c:pt idx="146">
                <c:v>0.44342320519904865</c:v>
              </c:pt>
              <c:pt idx="147">
                <c:v>-0.75607470461246251</c:v>
              </c:pt>
              <c:pt idx="148">
                <c:v>1.5530334356100592</c:v>
              </c:pt>
              <c:pt idx="149">
                <c:v>1.0964222377285935</c:v>
              </c:pt>
              <c:pt idx="150">
                <c:v>0.3491019074841607</c:v>
              </c:pt>
              <c:pt idx="151">
                <c:v>1.1224472198472994</c:v>
              </c:pt>
              <c:pt idx="152">
                <c:v>1.8811080704896876</c:v>
              </c:pt>
              <c:pt idx="153">
                <c:v>-0.65496669562646237</c:v>
              </c:pt>
              <c:pt idx="154">
                <c:v>-0.18970931737118851</c:v>
              </c:pt>
              <c:pt idx="155">
                <c:v>-0.44091886007770209</c:v>
              </c:pt>
              <c:pt idx="156">
                <c:v>-0.49352377298060462</c:v>
              </c:pt>
              <c:pt idx="157">
                <c:v>-1.0193895385604461</c:v>
              </c:pt>
              <c:pt idx="158">
                <c:v>-1.1920932930058092</c:v>
              </c:pt>
              <c:pt idx="159">
                <c:v>-1.75748808019877</c:v>
              </c:pt>
              <c:pt idx="160">
                <c:v>-1.75748808019877</c:v>
              </c:pt>
              <c:pt idx="161">
                <c:v>-0.48767834705504509</c:v>
              </c:pt>
              <c:pt idx="162">
                <c:v>-1.7264130284906041</c:v>
              </c:pt>
              <c:pt idx="163">
                <c:v>-2.4583255026459061</c:v>
              </c:pt>
              <c:pt idx="164">
                <c:v>-0.79799652752383621</c:v>
              </c:pt>
              <c:pt idx="165">
                <c:v>-1.9069006566732636</c:v>
              </c:pt>
              <c:pt idx="166">
                <c:v>0.79085378175218812</c:v>
              </c:pt>
              <c:pt idx="167">
                <c:v>1.3110200615532659</c:v>
              </c:pt>
              <c:pt idx="168">
                <c:v>-0.34738791520743217</c:v>
              </c:pt>
              <c:pt idx="169">
                <c:v>-0.28951419255659705</c:v>
              </c:pt>
              <c:pt idx="170">
                <c:v>2.0970374779057566</c:v>
              </c:pt>
              <c:pt idx="171">
                <c:v>3.5071432608513673</c:v>
              </c:pt>
              <c:pt idx="172">
                <c:v>2.7267300080467241</c:v>
              </c:pt>
              <c:pt idx="173">
                <c:v>3.5286572314843005</c:v>
              </c:pt>
              <c:pt idx="174">
                <c:v>1.5597047431294691</c:v>
              </c:pt>
              <c:pt idx="175">
                <c:v>1.5794131966422253</c:v>
              </c:pt>
              <c:pt idx="176">
                <c:v>1.5794131966422253</c:v>
              </c:pt>
              <c:pt idx="177">
                <c:v>1.5597047431294691</c:v>
              </c:pt>
              <c:pt idx="178">
                <c:v>3.5286572314843005</c:v>
              </c:pt>
              <c:pt idx="179">
                <c:v>2.7267300080467241</c:v>
              </c:pt>
              <c:pt idx="180">
                <c:v>3.5071432608513673</c:v>
              </c:pt>
              <c:pt idx="181">
                <c:v>2.0970374779057566</c:v>
              </c:pt>
              <c:pt idx="182">
                <c:v>-0.28951419255659705</c:v>
              </c:pt>
              <c:pt idx="183">
                <c:v>-0.34738791520743217</c:v>
              </c:pt>
              <c:pt idx="184">
                <c:v>1.3110200615532659</c:v>
              </c:pt>
              <c:pt idx="185">
                <c:v>0.79085378175218812</c:v>
              </c:pt>
              <c:pt idx="186">
                <c:v>-1.9069006566732636</c:v>
              </c:pt>
              <c:pt idx="187">
                <c:v>-0.79799652752383621</c:v>
              </c:pt>
              <c:pt idx="188">
                <c:v>-2.4583255026459061</c:v>
              </c:pt>
              <c:pt idx="189">
                <c:v>-1.7264130284906041</c:v>
              </c:pt>
              <c:pt idx="190">
                <c:v>-0.48767834705504509</c:v>
              </c:pt>
              <c:pt idx="191">
                <c:v>-1.75748808019877</c:v>
              </c:pt>
              <c:pt idx="192">
                <c:v>-1.75748808019877</c:v>
              </c:pt>
              <c:pt idx="193">
                <c:v>-0.55201670218754018</c:v>
              </c:pt>
              <c:pt idx="194">
                <c:v>0.78504081286468752</c:v>
              </c:pt>
              <c:pt idx="195">
                <c:v>3.0445628662787216E-2</c:v>
              </c:pt>
              <c:pt idx="196">
                <c:v>-0.29073640602657724</c:v>
              </c:pt>
              <c:pt idx="197">
                <c:v>0.57001291423860223</c:v>
              </c:pt>
              <c:pt idx="198">
                <c:v>0.95360824463387428</c:v>
              </c:pt>
              <c:pt idx="199">
                <c:v>0.47918578209211726</c:v>
              </c:pt>
              <c:pt idx="200">
                <c:v>0.63692289292007387</c:v>
              </c:pt>
              <c:pt idx="201">
                <c:v>2.0131065023084598</c:v>
              </c:pt>
              <c:pt idx="202">
                <c:v>3.4575522314499016</c:v>
              </c:pt>
              <c:pt idx="203">
                <c:v>0.36921958546343125</c:v>
              </c:pt>
              <c:pt idx="204">
                <c:v>-0.24074736870529098</c:v>
              </c:pt>
              <c:pt idx="205">
                <c:v>0.51560721823532263</c:v>
              </c:pt>
              <c:pt idx="206">
                <c:v>1.5587484847178312</c:v>
              </c:pt>
              <c:pt idx="207">
                <c:v>0.94677741424393935</c:v>
              </c:pt>
            </c:numLit>
          </c:yVal>
          <c:smooth val="0"/>
          <c:extLst>
            <c:ext xmlns:c16="http://schemas.microsoft.com/office/drawing/2014/chart" uri="{C3380CC4-5D6E-409C-BE32-E72D297353CC}">
              <c16:uniqueId val="{00000001-9FEC-40E5-9401-2B092245BAC8}"/>
            </c:ext>
          </c:extLst>
        </c:ser>
        <c:ser>
          <c:idx val="2"/>
          <c:order val="2"/>
          <c:tx>
            <c:v>Stochastic series 2</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02-9FEC-40E5-9401-2B092245BAC8}"/>
            </c:ext>
          </c:extLst>
        </c:ser>
        <c:ser>
          <c:idx val="3"/>
          <c:order val="3"/>
          <c:tx>
            <c:v>Stochastic series 3</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03-9FEC-40E5-9401-2B092245BAC8}"/>
            </c:ext>
          </c:extLst>
        </c:ser>
        <c:ser>
          <c:idx val="4"/>
          <c:order val="4"/>
          <c:tx>
            <c:v>Stochastic series 4</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04-9FEC-40E5-9401-2B092245BAC8}"/>
            </c:ext>
          </c:extLst>
        </c:ser>
        <c:ser>
          <c:idx val="5"/>
          <c:order val="5"/>
          <c:tx>
            <c:v>Stochastic series 5</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05-9FEC-40E5-9401-2B092245BAC8}"/>
            </c:ext>
          </c:extLst>
        </c:ser>
        <c:ser>
          <c:idx val="6"/>
          <c:order val="6"/>
          <c:tx>
            <c:v>Stochastic series 6</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06-9FEC-40E5-9401-2B092245BAC8}"/>
            </c:ext>
          </c:extLst>
        </c:ser>
        <c:ser>
          <c:idx val="7"/>
          <c:order val="7"/>
          <c:tx>
            <c:v>Stochastic series 7</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07-9FEC-40E5-9401-2B092245BAC8}"/>
            </c:ext>
          </c:extLst>
        </c:ser>
        <c:ser>
          <c:idx val="8"/>
          <c:order val="8"/>
          <c:tx>
            <c:v>Stochastic series 8</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08-9FEC-40E5-9401-2B092245BAC8}"/>
            </c:ext>
          </c:extLst>
        </c:ser>
        <c:ser>
          <c:idx val="9"/>
          <c:order val="9"/>
          <c:tx>
            <c:v>Stochastic series 9</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09-9FEC-40E5-9401-2B092245BAC8}"/>
            </c:ext>
          </c:extLst>
        </c:ser>
        <c:ser>
          <c:idx val="10"/>
          <c:order val="10"/>
          <c:tx>
            <c:v>Stochastic series 10</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0A-9FEC-40E5-9401-2B092245BAC8}"/>
            </c:ext>
          </c:extLst>
        </c:ser>
        <c:ser>
          <c:idx val="11"/>
          <c:order val="11"/>
          <c:tx>
            <c:v>Stochastic series 11</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0B-9FEC-40E5-9401-2B092245BAC8}"/>
            </c:ext>
          </c:extLst>
        </c:ser>
        <c:ser>
          <c:idx val="12"/>
          <c:order val="12"/>
          <c:tx>
            <c:v>Stochastic series 12</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0C-9FEC-40E5-9401-2B092245BAC8}"/>
            </c:ext>
          </c:extLst>
        </c:ser>
        <c:ser>
          <c:idx val="13"/>
          <c:order val="13"/>
          <c:tx>
            <c:v>Stochastic series 13</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0D-9FEC-40E5-9401-2B092245BAC8}"/>
            </c:ext>
          </c:extLst>
        </c:ser>
        <c:ser>
          <c:idx val="14"/>
          <c:order val="14"/>
          <c:tx>
            <c:v>Stochastic series 14</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0E-9FEC-40E5-9401-2B092245BAC8}"/>
            </c:ext>
          </c:extLst>
        </c:ser>
        <c:ser>
          <c:idx val="15"/>
          <c:order val="15"/>
          <c:tx>
            <c:v>Stochastic series 15</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0F-9FEC-40E5-9401-2B092245BAC8}"/>
            </c:ext>
          </c:extLst>
        </c:ser>
        <c:ser>
          <c:idx val="16"/>
          <c:order val="16"/>
          <c:tx>
            <c:v>Stochastic series 16</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10-9FEC-40E5-9401-2B092245BAC8}"/>
            </c:ext>
          </c:extLst>
        </c:ser>
        <c:ser>
          <c:idx val="17"/>
          <c:order val="17"/>
          <c:tx>
            <c:v>Stochastic series 17</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11-9FEC-40E5-9401-2B092245BAC8}"/>
            </c:ext>
          </c:extLst>
        </c:ser>
        <c:ser>
          <c:idx val="18"/>
          <c:order val="18"/>
          <c:tx>
            <c:v>Stochastic series 18</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12-9FEC-40E5-9401-2B092245BAC8}"/>
            </c:ext>
          </c:extLst>
        </c:ser>
        <c:ser>
          <c:idx val="19"/>
          <c:order val="19"/>
          <c:tx>
            <c:v>Stochastic series 19</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13-9FEC-40E5-9401-2B092245BAC8}"/>
            </c:ext>
          </c:extLst>
        </c:ser>
        <c:ser>
          <c:idx val="20"/>
          <c:order val="20"/>
          <c:tx>
            <c:v>Stochastic series 20</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14-9FEC-40E5-9401-2B092245BAC8}"/>
            </c:ext>
          </c:extLst>
        </c:ser>
        <c:ser>
          <c:idx val="21"/>
          <c:order val="21"/>
          <c:tx>
            <c:v>Stochastic series 21</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15-9FEC-40E5-9401-2B092245BAC8}"/>
            </c:ext>
          </c:extLst>
        </c:ser>
        <c:ser>
          <c:idx val="22"/>
          <c:order val="22"/>
          <c:tx>
            <c:v>Stochastic series 22</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16-9FEC-40E5-9401-2B092245BAC8}"/>
            </c:ext>
          </c:extLst>
        </c:ser>
        <c:ser>
          <c:idx val="23"/>
          <c:order val="23"/>
          <c:tx>
            <c:v>Stochastic series 23</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17-9FEC-40E5-9401-2B092245BAC8}"/>
            </c:ext>
          </c:extLst>
        </c:ser>
        <c:ser>
          <c:idx val="24"/>
          <c:order val="24"/>
          <c:tx>
            <c:v>Stochastic series 24</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18-9FEC-40E5-9401-2B092245BAC8}"/>
            </c:ext>
          </c:extLst>
        </c:ser>
        <c:ser>
          <c:idx val="25"/>
          <c:order val="25"/>
          <c:tx>
            <c:v>Stochastic series 25</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19-9FEC-40E5-9401-2B092245BAC8}"/>
            </c:ext>
          </c:extLst>
        </c:ser>
        <c:ser>
          <c:idx val="26"/>
          <c:order val="26"/>
          <c:tx>
            <c:v>Stochastic series 26</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1A-9FEC-40E5-9401-2B092245BAC8}"/>
            </c:ext>
          </c:extLst>
        </c:ser>
        <c:ser>
          <c:idx val="27"/>
          <c:order val="27"/>
          <c:tx>
            <c:v>Stochastic series 27</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1B-9FEC-40E5-9401-2B092245BAC8}"/>
            </c:ext>
          </c:extLst>
        </c:ser>
        <c:ser>
          <c:idx val="28"/>
          <c:order val="28"/>
          <c:tx>
            <c:v>Stochastic series 28</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1C-9FEC-40E5-9401-2B092245BAC8}"/>
            </c:ext>
          </c:extLst>
        </c:ser>
        <c:ser>
          <c:idx val="29"/>
          <c:order val="29"/>
          <c:tx>
            <c:v>Stochastic series 29</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1D-9FEC-40E5-9401-2B092245BAC8}"/>
            </c:ext>
          </c:extLst>
        </c:ser>
        <c:ser>
          <c:idx val="30"/>
          <c:order val="30"/>
          <c:tx>
            <c:v>Stochastic series 30</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1E-9FEC-40E5-9401-2B092245BAC8}"/>
            </c:ext>
          </c:extLst>
        </c:ser>
        <c:ser>
          <c:idx val="31"/>
          <c:order val="31"/>
          <c:tx>
            <c:v>Stochastic series 31</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1F-9FEC-40E5-9401-2B092245BAC8}"/>
            </c:ext>
          </c:extLst>
        </c:ser>
        <c:ser>
          <c:idx val="32"/>
          <c:order val="32"/>
          <c:tx>
            <c:v>Stochastic series 32</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20-9FEC-40E5-9401-2B092245BAC8}"/>
            </c:ext>
          </c:extLst>
        </c:ser>
        <c:ser>
          <c:idx val="33"/>
          <c:order val="33"/>
          <c:tx>
            <c:v>Stochastic series 33</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21-9FEC-40E5-9401-2B092245BAC8}"/>
            </c:ext>
          </c:extLst>
        </c:ser>
        <c:ser>
          <c:idx val="34"/>
          <c:order val="34"/>
          <c:tx>
            <c:v>Stochastic series 34</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22-9FEC-40E5-9401-2B092245BAC8}"/>
            </c:ext>
          </c:extLst>
        </c:ser>
        <c:ser>
          <c:idx val="35"/>
          <c:order val="35"/>
          <c:tx>
            <c:v>Stochastic series 35</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23-9FEC-40E5-9401-2B092245BAC8}"/>
            </c:ext>
          </c:extLst>
        </c:ser>
        <c:ser>
          <c:idx val="36"/>
          <c:order val="36"/>
          <c:tx>
            <c:v>Stochastic series 36</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24-9FEC-40E5-9401-2B092245BAC8}"/>
            </c:ext>
          </c:extLst>
        </c:ser>
        <c:ser>
          <c:idx val="37"/>
          <c:order val="37"/>
          <c:tx>
            <c:v>Stochastic series 37</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25-9FEC-40E5-9401-2B092245BAC8}"/>
            </c:ext>
          </c:extLst>
        </c:ser>
        <c:ser>
          <c:idx val="38"/>
          <c:order val="38"/>
          <c:tx>
            <c:v>Stochastic series 38</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26-9FEC-40E5-9401-2B092245BAC8}"/>
            </c:ext>
          </c:extLst>
        </c:ser>
        <c:ser>
          <c:idx val="39"/>
          <c:order val="39"/>
          <c:tx>
            <c:v>Stochastic series 39</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27-9FEC-40E5-9401-2B092245BAC8}"/>
            </c:ext>
          </c:extLst>
        </c:ser>
        <c:ser>
          <c:idx val="40"/>
          <c:order val="40"/>
          <c:tx>
            <c:v>Stochastic series 40</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28-9FEC-40E5-9401-2B092245BAC8}"/>
            </c:ext>
          </c:extLst>
        </c:ser>
        <c:ser>
          <c:idx val="41"/>
          <c:order val="41"/>
          <c:tx>
            <c:v>Stochastic series 41</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29-9FEC-40E5-9401-2B092245BAC8}"/>
            </c:ext>
          </c:extLst>
        </c:ser>
        <c:ser>
          <c:idx val="42"/>
          <c:order val="42"/>
          <c:tx>
            <c:v>Stochastic series 42</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2A-9FEC-40E5-9401-2B092245BAC8}"/>
            </c:ext>
          </c:extLst>
        </c:ser>
        <c:ser>
          <c:idx val="43"/>
          <c:order val="43"/>
          <c:tx>
            <c:v>Stochastic series 43</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2B-9FEC-40E5-9401-2B092245BAC8}"/>
            </c:ext>
          </c:extLst>
        </c:ser>
        <c:ser>
          <c:idx val="44"/>
          <c:order val="44"/>
          <c:tx>
            <c:v>Stochastic series 44</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2C-9FEC-40E5-9401-2B092245BAC8}"/>
            </c:ext>
          </c:extLst>
        </c:ser>
        <c:ser>
          <c:idx val="45"/>
          <c:order val="45"/>
          <c:tx>
            <c:v>Stochastic series 45</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2D-9FEC-40E5-9401-2B092245BAC8}"/>
            </c:ext>
          </c:extLst>
        </c:ser>
        <c:ser>
          <c:idx val="46"/>
          <c:order val="46"/>
          <c:tx>
            <c:v>Stochastic series 46</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2E-9FEC-40E5-9401-2B092245BAC8}"/>
            </c:ext>
          </c:extLst>
        </c:ser>
        <c:ser>
          <c:idx val="47"/>
          <c:order val="47"/>
          <c:tx>
            <c:v>Stochastic series 47</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2F-9FEC-40E5-9401-2B092245BAC8}"/>
            </c:ext>
          </c:extLst>
        </c:ser>
        <c:ser>
          <c:idx val="48"/>
          <c:order val="48"/>
          <c:tx>
            <c:v>Stochastic series 48</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30-9FEC-40E5-9401-2B092245BAC8}"/>
            </c:ext>
          </c:extLst>
        </c:ser>
        <c:ser>
          <c:idx val="49"/>
          <c:order val="49"/>
          <c:tx>
            <c:v>Stochastic series 49</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31-9FEC-40E5-9401-2B092245BAC8}"/>
            </c:ext>
          </c:extLst>
        </c:ser>
        <c:ser>
          <c:idx val="50"/>
          <c:order val="50"/>
          <c:tx>
            <c:v>Stochastic series 50</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32-9FEC-40E5-9401-2B092245BAC8}"/>
            </c:ext>
          </c:extLst>
        </c:ser>
        <c:ser>
          <c:idx val="51"/>
          <c:order val="51"/>
          <c:tx>
            <c:v>Stochastic series 51</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33-9FEC-40E5-9401-2B092245BAC8}"/>
            </c:ext>
          </c:extLst>
        </c:ser>
        <c:ser>
          <c:idx val="52"/>
          <c:order val="52"/>
          <c:tx>
            <c:v>Stochastic series 52</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34-9FEC-40E5-9401-2B092245BAC8}"/>
            </c:ext>
          </c:extLst>
        </c:ser>
        <c:ser>
          <c:idx val="53"/>
          <c:order val="53"/>
          <c:tx>
            <c:v>Stochastic series 53</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35-9FEC-40E5-9401-2B092245BAC8}"/>
            </c:ext>
          </c:extLst>
        </c:ser>
        <c:ser>
          <c:idx val="54"/>
          <c:order val="54"/>
          <c:tx>
            <c:v>Stochastic series 54</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36-9FEC-40E5-9401-2B092245BAC8}"/>
            </c:ext>
          </c:extLst>
        </c:ser>
        <c:ser>
          <c:idx val="55"/>
          <c:order val="55"/>
          <c:tx>
            <c:v>Stochastic series 55</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37-9FEC-40E5-9401-2B092245BAC8}"/>
            </c:ext>
          </c:extLst>
        </c:ser>
        <c:ser>
          <c:idx val="56"/>
          <c:order val="56"/>
          <c:tx>
            <c:v>Stochastic series 56</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38-9FEC-40E5-9401-2B092245BAC8}"/>
            </c:ext>
          </c:extLst>
        </c:ser>
        <c:ser>
          <c:idx val="57"/>
          <c:order val="57"/>
          <c:tx>
            <c:v>Stochastic series 57</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39-9FEC-40E5-9401-2B092245BAC8}"/>
            </c:ext>
          </c:extLst>
        </c:ser>
        <c:ser>
          <c:idx val="58"/>
          <c:order val="58"/>
          <c:tx>
            <c:v>Stochastic series 58</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3A-9FEC-40E5-9401-2B092245BAC8}"/>
            </c:ext>
          </c:extLst>
        </c:ser>
        <c:ser>
          <c:idx val="59"/>
          <c:order val="59"/>
          <c:tx>
            <c:v>Stochastic series 59</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3B-9FEC-40E5-9401-2B092245BAC8}"/>
            </c:ext>
          </c:extLst>
        </c:ser>
        <c:ser>
          <c:idx val="60"/>
          <c:order val="60"/>
          <c:tx>
            <c:v>Stochastic series 60</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3C-9FEC-40E5-9401-2B092245BAC8}"/>
            </c:ext>
          </c:extLst>
        </c:ser>
        <c:ser>
          <c:idx val="61"/>
          <c:order val="61"/>
          <c:tx>
            <c:v>Stochastic series 61</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3D-9FEC-40E5-9401-2B092245BAC8}"/>
            </c:ext>
          </c:extLst>
        </c:ser>
        <c:ser>
          <c:idx val="62"/>
          <c:order val="62"/>
          <c:tx>
            <c:v>Stochastic series 62</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3E-9FEC-40E5-9401-2B092245BAC8}"/>
            </c:ext>
          </c:extLst>
        </c:ser>
        <c:ser>
          <c:idx val="63"/>
          <c:order val="63"/>
          <c:tx>
            <c:v>Stochastic series 63</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3F-9FEC-40E5-9401-2B092245BAC8}"/>
            </c:ext>
          </c:extLst>
        </c:ser>
        <c:ser>
          <c:idx val="64"/>
          <c:order val="64"/>
          <c:tx>
            <c:v>Stochastic series 64</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40-9FEC-40E5-9401-2B092245BAC8}"/>
            </c:ext>
          </c:extLst>
        </c:ser>
        <c:ser>
          <c:idx val="65"/>
          <c:order val="65"/>
          <c:tx>
            <c:v>Stochastic series 65</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41-9FEC-40E5-9401-2B092245BAC8}"/>
            </c:ext>
          </c:extLst>
        </c:ser>
        <c:ser>
          <c:idx val="66"/>
          <c:order val="66"/>
          <c:tx>
            <c:v>Stochastic series 66</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42-9FEC-40E5-9401-2B092245BAC8}"/>
            </c:ext>
          </c:extLst>
        </c:ser>
        <c:ser>
          <c:idx val="67"/>
          <c:order val="67"/>
          <c:tx>
            <c:v>Stochastic series 67</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43-9FEC-40E5-9401-2B092245BAC8}"/>
            </c:ext>
          </c:extLst>
        </c:ser>
        <c:ser>
          <c:idx val="68"/>
          <c:order val="68"/>
          <c:tx>
            <c:v>Stochastic series 68</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44-9FEC-40E5-9401-2B092245BAC8}"/>
            </c:ext>
          </c:extLst>
        </c:ser>
        <c:ser>
          <c:idx val="69"/>
          <c:order val="69"/>
          <c:tx>
            <c:v>Stochastic series 69</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45-9FEC-40E5-9401-2B092245BAC8}"/>
            </c:ext>
          </c:extLst>
        </c:ser>
        <c:ser>
          <c:idx val="70"/>
          <c:order val="70"/>
          <c:tx>
            <c:v>Stochastic series 70</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46-9FEC-40E5-9401-2B092245BAC8}"/>
            </c:ext>
          </c:extLst>
        </c:ser>
        <c:ser>
          <c:idx val="71"/>
          <c:order val="71"/>
          <c:tx>
            <c:v>Stochastic series 71</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47-9FEC-40E5-9401-2B092245BAC8}"/>
            </c:ext>
          </c:extLst>
        </c:ser>
        <c:ser>
          <c:idx val="72"/>
          <c:order val="72"/>
          <c:tx>
            <c:v>Stochastic series 72</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48-9FEC-40E5-9401-2B092245BAC8}"/>
            </c:ext>
          </c:extLst>
        </c:ser>
        <c:ser>
          <c:idx val="73"/>
          <c:order val="73"/>
          <c:tx>
            <c:v>Stochastic series 73</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49-9FEC-40E5-9401-2B092245BAC8}"/>
            </c:ext>
          </c:extLst>
        </c:ser>
        <c:ser>
          <c:idx val="74"/>
          <c:order val="74"/>
          <c:tx>
            <c:v>Stochastic series 74</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4A-9FEC-40E5-9401-2B092245BAC8}"/>
            </c:ext>
          </c:extLst>
        </c:ser>
        <c:ser>
          <c:idx val="75"/>
          <c:order val="75"/>
          <c:tx>
            <c:v>Stochastic series 75</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4B-9FEC-40E5-9401-2B092245BAC8}"/>
            </c:ext>
          </c:extLst>
        </c:ser>
        <c:ser>
          <c:idx val="76"/>
          <c:order val="76"/>
          <c:tx>
            <c:v>Stochastic series 76</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4C-9FEC-40E5-9401-2B092245BAC8}"/>
            </c:ext>
          </c:extLst>
        </c:ser>
        <c:ser>
          <c:idx val="77"/>
          <c:order val="77"/>
          <c:tx>
            <c:v>Stochastic series 77</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4D-9FEC-40E5-9401-2B092245BAC8}"/>
            </c:ext>
          </c:extLst>
        </c:ser>
        <c:ser>
          <c:idx val="78"/>
          <c:order val="78"/>
          <c:tx>
            <c:v>Stochastic series 78</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4E-9FEC-40E5-9401-2B092245BAC8}"/>
            </c:ext>
          </c:extLst>
        </c:ser>
        <c:ser>
          <c:idx val="79"/>
          <c:order val="79"/>
          <c:tx>
            <c:v>Stochastic series 79</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4F-9FEC-40E5-9401-2B092245BAC8}"/>
            </c:ext>
          </c:extLst>
        </c:ser>
        <c:ser>
          <c:idx val="80"/>
          <c:order val="80"/>
          <c:tx>
            <c:v>Stochastic series 80</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50-9FEC-40E5-9401-2B092245BAC8}"/>
            </c:ext>
          </c:extLst>
        </c:ser>
        <c:ser>
          <c:idx val="81"/>
          <c:order val="81"/>
          <c:tx>
            <c:v>Stochastic series 81</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51-9FEC-40E5-9401-2B092245BAC8}"/>
            </c:ext>
          </c:extLst>
        </c:ser>
        <c:ser>
          <c:idx val="82"/>
          <c:order val="82"/>
          <c:tx>
            <c:v>Stochastic series 82</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52-9FEC-40E5-9401-2B092245BAC8}"/>
            </c:ext>
          </c:extLst>
        </c:ser>
        <c:ser>
          <c:idx val="83"/>
          <c:order val="83"/>
          <c:tx>
            <c:v>Stochastic series 83</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53-9FEC-40E5-9401-2B092245BAC8}"/>
            </c:ext>
          </c:extLst>
        </c:ser>
        <c:ser>
          <c:idx val="84"/>
          <c:order val="84"/>
          <c:tx>
            <c:v>Stochastic series 84</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54-9FEC-40E5-9401-2B092245BAC8}"/>
            </c:ext>
          </c:extLst>
        </c:ser>
        <c:ser>
          <c:idx val="85"/>
          <c:order val="85"/>
          <c:tx>
            <c:v>Stochastic series 85</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55-9FEC-40E5-9401-2B092245BAC8}"/>
            </c:ext>
          </c:extLst>
        </c:ser>
        <c:ser>
          <c:idx val="86"/>
          <c:order val="86"/>
          <c:tx>
            <c:v>Stochastic series 86</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56-9FEC-40E5-9401-2B092245BAC8}"/>
            </c:ext>
          </c:extLst>
        </c:ser>
        <c:ser>
          <c:idx val="87"/>
          <c:order val="87"/>
          <c:tx>
            <c:v>Stochastic series 87</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57-9FEC-40E5-9401-2B092245BAC8}"/>
            </c:ext>
          </c:extLst>
        </c:ser>
        <c:ser>
          <c:idx val="88"/>
          <c:order val="88"/>
          <c:tx>
            <c:v>Stochastic series 88</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58-9FEC-40E5-9401-2B092245BAC8}"/>
            </c:ext>
          </c:extLst>
        </c:ser>
        <c:ser>
          <c:idx val="89"/>
          <c:order val="89"/>
          <c:tx>
            <c:v>Stochastic series 89</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59-9FEC-40E5-9401-2B092245BAC8}"/>
            </c:ext>
          </c:extLst>
        </c:ser>
        <c:ser>
          <c:idx val="90"/>
          <c:order val="90"/>
          <c:tx>
            <c:v>Stochastic series 90</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5A-9FEC-40E5-9401-2B092245BAC8}"/>
            </c:ext>
          </c:extLst>
        </c:ser>
        <c:ser>
          <c:idx val="91"/>
          <c:order val="91"/>
          <c:tx>
            <c:v>Stochastic series 91</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5B-9FEC-40E5-9401-2B092245BAC8}"/>
            </c:ext>
          </c:extLst>
        </c:ser>
        <c:ser>
          <c:idx val="92"/>
          <c:order val="92"/>
          <c:tx>
            <c:v>Stochastic series 92</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5C-9FEC-40E5-9401-2B092245BAC8}"/>
            </c:ext>
          </c:extLst>
        </c:ser>
        <c:ser>
          <c:idx val="93"/>
          <c:order val="93"/>
          <c:tx>
            <c:v>Stochastic series 93</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5D-9FEC-40E5-9401-2B092245BAC8}"/>
            </c:ext>
          </c:extLst>
        </c:ser>
        <c:ser>
          <c:idx val="94"/>
          <c:order val="94"/>
          <c:tx>
            <c:v>Stochastic series 94</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5E-9FEC-40E5-9401-2B092245BAC8}"/>
            </c:ext>
          </c:extLst>
        </c:ser>
        <c:ser>
          <c:idx val="95"/>
          <c:order val="95"/>
          <c:tx>
            <c:v>Stochastic series 95</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5F-9FEC-40E5-9401-2B092245BAC8}"/>
            </c:ext>
          </c:extLst>
        </c:ser>
        <c:ser>
          <c:idx val="96"/>
          <c:order val="96"/>
          <c:tx>
            <c:v>Stochastic series 96</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60-9FEC-40E5-9401-2B092245BAC8}"/>
            </c:ext>
          </c:extLst>
        </c:ser>
        <c:ser>
          <c:idx val="97"/>
          <c:order val="97"/>
          <c:tx>
            <c:v>Stochastic series 97</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61-9FEC-40E5-9401-2B092245BAC8}"/>
            </c:ext>
          </c:extLst>
        </c:ser>
        <c:ser>
          <c:idx val="98"/>
          <c:order val="98"/>
          <c:tx>
            <c:v>Stochastic series 98</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62-9FEC-40E5-9401-2B092245BAC8}"/>
            </c:ext>
          </c:extLst>
        </c:ser>
        <c:ser>
          <c:idx val="99"/>
          <c:order val="99"/>
          <c:tx>
            <c:v>Stochastic series 99</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63-9FEC-40E5-9401-2B092245BAC8}"/>
            </c:ext>
          </c:extLst>
        </c:ser>
        <c:ser>
          <c:idx val="100"/>
          <c:order val="100"/>
          <c:tx>
            <c:v>Stochastic series 100</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64-9FEC-40E5-9401-2B092245BAC8}"/>
            </c:ext>
          </c:extLst>
        </c:ser>
        <c:ser>
          <c:idx val="101"/>
          <c:order val="101"/>
          <c:tx>
            <c:v>Stochastic series 101</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65-9FEC-40E5-9401-2B092245BAC8}"/>
            </c:ext>
          </c:extLst>
        </c:ser>
        <c:ser>
          <c:idx val="102"/>
          <c:order val="102"/>
          <c:tx>
            <c:v>Stochastic series 102</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66-9FEC-40E5-9401-2B092245BAC8}"/>
            </c:ext>
          </c:extLst>
        </c:ser>
        <c:ser>
          <c:idx val="103"/>
          <c:order val="103"/>
          <c:tx>
            <c:v>Stochastic series 103</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67-9FEC-40E5-9401-2B092245BAC8}"/>
            </c:ext>
          </c:extLst>
        </c:ser>
        <c:ser>
          <c:idx val="104"/>
          <c:order val="104"/>
          <c:tx>
            <c:v>Stochastic series 104</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68-9FEC-40E5-9401-2B092245BAC8}"/>
            </c:ext>
          </c:extLst>
        </c:ser>
        <c:ser>
          <c:idx val="105"/>
          <c:order val="105"/>
          <c:tx>
            <c:v>Stochastic series 105</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69-9FEC-40E5-9401-2B092245BAC8}"/>
            </c:ext>
          </c:extLst>
        </c:ser>
        <c:ser>
          <c:idx val="106"/>
          <c:order val="106"/>
          <c:tx>
            <c:v>Stochastic series 106</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6A-9FEC-40E5-9401-2B092245BAC8}"/>
            </c:ext>
          </c:extLst>
        </c:ser>
        <c:ser>
          <c:idx val="107"/>
          <c:order val="107"/>
          <c:tx>
            <c:v>Stochastic series 107</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6B-9FEC-40E5-9401-2B092245BAC8}"/>
            </c:ext>
          </c:extLst>
        </c:ser>
        <c:ser>
          <c:idx val="108"/>
          <c:order val="108"/>
          <c:tx>
            <c:v>Stochastic series 108</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6C-9FEC-40E5-9401-2B092245BAC8}"/>
            </c:ext>
          </c:extLst>
        </c:ser>
        <c:ser>
          <c:idx val="109"/>
          <c:order val="109"/>
          <c:tx>
            <c:v>Stochastic series 109</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6D-9FEC-40E5-9401-2B092245BAC8}"/>
            </c:ext>
          </c:extLst>
        </c:ser>
        <c:ser>
          <c:idx val="110"/>
          <c:order val="110"/>
          <c:tx>
            <c:v>Stochastic series 110</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6E-9FEC-40E5-9401-2B092245BAC8}"/>
            </c:ext>
          </c:extLst>
        </c:ser>
        <c:ser>
          <c:idx val="111"/>
          <c:order val="111"/>
          <c:tx>
            <c:v>Stochastic series 111</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6F-9FEC-40E5-9401-2B092245BAC8}"/>
            </c:ext>
          </c:extLst>
        </c:ser>
        <c:ser>
          <c:idx val="112"/>
          <c:order val="112"/>
          <c:tx>
            <c:v>Stochastic series 112</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70-9FEC-40E5-9401-2B092245BAC8}"/>
            </c:ext>
          </c:extLst>
        </c:ser>
        <c:ser>
          <c:idx val="113"/>
          <c:order val="113"/>
          <c:tx>
            <c:v>Stochastic series 113</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71-9FEC-40E5-9401-2B092245BAC8}"/>
            </c:ext>
          </c:extLst>
        </c:ser>
        <c:ser>
          <c:idx val="114"/>
          <c:order val="114"/>
          <c:tx>
            <c:v>Stochastic series 114</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72-9FEC-40E5-9401-2B092245BAC8}"/>
            </c:ext>
          </c:extLst>
        </c:ser>
        <c:ser>
          <c:idx val="115"/>
          <c:order val="115"/>
          <c:tx>
            <c:v>Stochastic series 115</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73-9FEC-40E5-9401-2B092245BAC8}"/>
            </c:ext>
          </c:extLst>
        </c:ser>
        <c:ser>
          <c:idx val="116"/>
          <c:order val="116"/>
          <c:tx>
            <c:v>Stochastic series 116</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74-9FEC-40E5-9401-2B092245BAC8}"/>
            </c:ext>
          </c:extLst>
        </c:ser>
        <c:ser>
          <c:idx val="117"/>
          <c:order val="117"/>
          <c:tx>
            <c:v>Stochastic series 117</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75-9FEC-40E5-9401-2B092245BAC8}"/>
            </c:ext>
          </c:extLst>
        </c:ser>
        <c:ser>
          <c:idx val="118"/>
          <c:order val="118"/>
          <c:tx>
            <c:v>Stochastic series 118</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76-9FEC-40E5-9401-2B092245BAC8}"/>
            </c:ext>
          </c:extLst>
        </c:ser>
        <c:ser>
          <c:idx val="119"/>
          <c:order val="119"/>
          <c:tx>
            <c:v>Stochastic series 119</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77-9FEC-40E5-9401-2B092245BAC8}"/>
            </c:ext>
          </c:extLst>
        </c:ser>
        <c:ser>
          <c:idx val="120"/>
          <c:order val="120"/>
          <c:tx>
            <c:v>Stochastic series 120</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78-9FEC-40E5-9401-2B092245BAC8}"/>
            </c:ext>
          </c:extLst>
        </c:ser>
        <c:ser>
          <c:idx val="121"/>
          <c:order val="121"/>
          <c:tx>
            <c:v>Stochastic series 121</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79-9FEC-40E5-9401-2B092245BAC8}"/>
            </c:ext>
          </c:extLst>
        </c:ser>
        <c:ser>
          <c:idx val="122"/>
          <c:order val="122"/>
          <c:tx>
            <c:v>Stochastic series 122</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7A-9FEC-40E5-9401-2B092245BAC8}"/>
            </c:ext>
          </c:extLst>
        </c:ser>
        <c:ser>
          <c:idx val="123"/>
          <c:order val="123"/>
          <c:tx>
            <c:v>Stochastic series 123</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7B-9FEC-40E5-9401-2B092245BAC8}"/>
            </c:ext>
          </c:extLst>
        </c:ser>
        <c:ser>
          <c:idx val="124"/>
          <c:order val="124"/>
          <c:tx>
            <c:v>Stochastic series 124</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7C-9FEC-40E5-9401-2B092245BAC8}"/>
            </c:ext>
          </c:extLst>
        </c:ser>
        <c:ser>
          <c:idx val="125"/>
          <c:order val="125"/>
          <c:tx>
            <c:v>Stochastic series 125</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7D-9FEC-40E5-9401-2B092245BAC8}"/>
            </c:ext>
          </c:extLst>
        </c:ser>
        <c:ser>
          <c:idx val="126"/>
          <c:order val="126"/>
          <c:tx>
            <c:v>Stochastic series 126</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7E-9FEC-40E5-9401-2B092245BAC8}"/>
            </c:ext>
          </c:extLst>
        </c:ser>
        <c:ser>
          <c:idx val="127"/>
          <c:order val="127"/>
          <c:tx>
            <c:v>Stochastic series 127</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7F-9FEC-40E5-9401-2B092245BAC8}"/>
            </c:ext>
          </c:extLst>
        </c:ser>
        <c:ser>
          <c:idx val="128"/>
          <c:order val="128"/>
          <c:tx>
            <c:v>Stochastic series 128</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80-9FEC-40E5-9401-2B092245BAC8}"/>
            </c:ext>
          </c:extLst>
        </c:ser>
        <c:ser>
          <c:idx val="129"/>
          <c:order val="129"/>
          <c:tx>
            <c:v>Stochastic series 129</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81-9FEC-40E5-9401-2B092245BAC8}"/>
            </c:ext>
          </c:extLst>
        </c:ser>
        <c:ser>
          <c:idx val="130"/>
          <c:order val="130"/>
          <c:tx>
            <c:v>Stochastic series 130</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82-9FEC-40E5-9401-2B092245BAC8}"/>
            </c:ext>
          </c:extLst>
        </c:ser>
        <c:ser>
          <c:idx val="131"/>
          <c:order val="131"/>
          <c:tx>
            <c:v>Stochastic series 131</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83-9FEC-40E5-9401-2B092245BAC8}"/>
            </c:ext>
          </c:extLst>
        </c:ser>
        <c:ser>
          <c:idx val="132"/>
          <c:order val="132"/>
          <c:tx>
            <c:v>Stochastic series 132</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84-9FEC-40E5-9401-2B092245BAC8}"/>
            </c:ext>
          </c:extLst>
        </c:ser>
        <c:ser>
          <c:idx val="133"/>
          <c:order val="133"/>
          <c:tx>
            <c:v>Stochastic series 133</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85-9FEC-40E5-9401-2B092245BAC8}"/>
            </c:ext>
          </c:extLst>
        </c:ser>
        <c:ser>
          <c:idx val="134"/>
          <c:order val="134"/>
          <c:tx>
            <c:v>Stochastic series 134</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86-9FEC-40E5-9401-2B092245BAC8}"/>
            </c:ext>
          </c:extLst>
        </c:ser>
        <c:ser>
          <c:idx val="135"/>
          <c:order val="135"/>
          <c:tx>
            <c:v>Stochastic series 135</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87-9FEC-40E5-9401-2B092245BAC8}"/>
            </c:ext>
          </c:extLst>
        </c:ser>
        <c:ser>
          <c:idx val="136"/>
          <c:order val="136"/>
          <c:tx>
            <c:v>Stochastic series 136</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88-9FEC-40E5-9401-2B092245BAC8}"/>
            </c:ext>
          </c:extLst>
        </c:ser>
        <c:ser>
          <c:idx val="137"/>
          <c:order val="137"/>
          <c:tx>
            <c:v>Stochastic series 137</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89-9FEC-40E5-9401-2B092245BAC8}"/>
            </c:ext>
          </c:extLst>
        </c:ser>
        <c:ser>
          <c:idx val="138"/>
          <c:order val="138"/>
          <c:tx>
            <c:v>Stochastic series 138</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8A-9FEC-40E5-9401-2B092245BAC8}"/>
            </c:ext>
          </c:extLst>
        </c:ser>
        <c:ser>
          <c:idx val="139"/>
          <c:order val="139"/>
          <c:tx>
            <c:v>Stochastic series 139</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8B-9FEC-40E5-9401-2B092245BAC8}"/>
            </c:ext>
          </c:extLst>
        </c:ser>
        <c:ser>
          <c:idx val="140"/>
          <c:order val="140"/>
          <c:tx>
            <c:v>Stochastic series 140</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8C-9FEC-40E5-9401-2B092245BAC8}"/>
            </c:ext>
          </c:extLst>
        </c:ser>
        <c:ser>
          <c:idx val="141"/>
          <c:order val="141"/>
          <c:tx>
            <c:v>Stochastic series 141</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8D-9FEC-40E5-9401-2B092245BAC8}"/>
            </c:ext>
          </c:extLst>
        </c:ser>
        <c:ser>
          <c:idx val="142"/>
          <c:order val="142"/>
          <c:tx>
            <c:v>Stochastic series 142</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8E-9FEC-40E5-9401-2B092245BAC8}"/>
            </c:ext>
          </c:extLst>
        </c:ser>
        <c:ser>
          <c:idx val="143"/>
          <c:order val="143"/>
          <c:tx>
            <c:v>Stochastic series 143</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8F-9FEC-40E5-9401-2B092245BAC8}"/>
            </c:ext>
          </c:extLst>
        </c:ser>
        <c:ser>
          <c:idx val="144"/>
          <c:order val="144"/>
          <c:tx>
            <c:v>Stochastic series 144</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90-9FEC-40E5-9401-2B092245BAC8}"/>
            </c:ext>
          </c:extLst>
        </c:ser>
        <c:ser>
          <c:idx val="145"/>
          <c:order val="145"/>
          <c:tx>
            <c:v>Stochastic series 145</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91-9FEC-40E5-9401-2B092245BAC8}"/>
            </c:ext>
          </c:extLst>
        </c:ser>
        <c:ser>
          <c:idx val="146"/>
          <c:order val="146"/>
          <c:tx>
            <c:v>Stochastic series 146</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92-9FEC-40E5-9401-2B092245BAC8}"/>
            </c:ext>
          </c:extLst>
        </c:ser>
        <c:ser>
          <c:idx val="147"/>
          <c:order val="147"/>
          <c:tx>
            <c:v>Stochastic series 147</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93-9FEC-40E5-9401-2B092245BAC8}"/>
            </c:ext>
          </c:extLst>
        </c:ser>
        <c:ser>
          <c:idx val="148"/>
          <c:order val="148"/>
          <c:tx>
            <c:v>Stochastic series 148</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94-9FEC-40E5-9401-2B092245BAC8}"/>
            </c:ext>
          </c:extLst>
        </c:ser>
        <c:ser>
          <c:idx val="149"/>
          <c:order val="149"/>
          <c:tx>
            <c:v>Stochastic series 149</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95-9FEC-40E5-9401-2B092245BAC8}"/>
            </c:ext>
          </c:extLst>
        </c:ser>
        <c:ser>
          <c:idx val="150"/>
          <c:order val="150"/>
          <c:tx>
            <c:v>Stochastic series 150</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96-9FEC-40E5-9401-2B092245BAC8}"/>
            </c:ext>
          </c:extLst>
        </c:ser>
        <c:ser>
          <c:idx val="151"/>
          <c:order val="151"/>
          <c:tx>
            <c:v>Stochastic series 151</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97-9FEC-40E5-9401-2B092245BAC8}"/>
            </c:ext>
          </c:extLst>
        </c:ser>
        <c:ser>
          <c:idx val="152"/>
          <c:order val="152"/>
          <c:tx>
            <c:v>Stochastic series 152</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98-9FEC-40E5-9401-2B092245BAC8}"/>
            </c:ext>
          </c:extLst>
        </c:ser>
        <c:ser>
          <c:idx val="153"/>
          <c:order val="153"/>
          <c:tx>
            <c:v>Stochastic series 153</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99-9FEC-40E5-9401-2B092245BAC8}"/>
            </c:ext>
          </c:extLst>
        </c:ser>
        <c:ser>
          <c:idx val="154"/>
          <c:order val="154"/>
          <c:tx>
            <c:v>Stochastic series 154</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9A-9FEC-40E5-9401-2B092245BAC8}"/>
            </c:ext>
          </c:extLst>
        </c:ser>
        <c:ser>
          <c:idx val="155"/>
          <c:order val="155"/>
          <c:tx>
            <c:v>Stochastic series 155</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9B-9FEC-40E5-9401-2B092245BAC8}"/>
            </c:ext>
          </c:extLst>
        </c:ser>
        <c:ser>
          <c:idx val="156"/>
          <c:order val="156"/>
          <c:tx>
            <c:v>Stochastic series 156</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9C-9FEC-40E5-9401-2B092245BAC8}"/>
            </c:ext>
          </c:extLst>
        </c:ser>
        <c:ser>
          <c:idx val="157"/>
          <c:order val="157"/>
          <c:tx>
            <c:v>Stochastic series 157</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9D-9FEC-40E5-9401-2B092245BAC8}"/>
            </c:ext>
          </c:extLst>
        </c:ser>
        <c:ser>
          <c:idx val="158"/>
          <c:order val="158"/>
          <c:tx>
            <c:v>Stochastic series 158</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9E-9FEC-40E5-9401-2B092245BAC8}"/>
            </c:ext>
          </c:extLst>
        </c:ser>
        <c:ser>
          <c:idx val="159"/>
          <c:order val="159"/>
          <c:tx>
            <c:v>Stochastic series 159</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9F-9FEC-40E5-9401-2B092245BAC8}"/>
            </c:ext>
          </c:extLst>
        </c:ser>
        <c:ser>
          <c:idx val="160"/>
          <c:order val="160"/>
          <c:tx>
            <c:v>Stochastic series 160</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A0-9FEC-40E5-9401-2B092245BAC8}"/>
            </c:ext>
          </c:extLst>
        </c:ser>
        <c:ser>
          <c:idx val="161"/>
          <c:order val="161"/>
          <c:tx>
            <c:v>Stochastic series 161</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A1-9FEC-40E5-9401-2B092245BAC8}"/>
            </c:ext>
          </c:extLst>
        </c:ser>
        <c:ser>
          <c:idx val="162"/>
          <c:order val="162"/>
          <c:tx>
            <c:v>Stochastic series 162</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A2-9FEC-40E5-9401-2B092245BAC8}"/>
            </c:ext>
          </c:extLst>
        </c:ser>
        <c:ser>
          <c:idx val="163"/>
          <c:order val="163"/>
          <c:tx>
            <c:v>Stochastic series 163</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A3-9FEC-40E5-9401-2B092245BAC8}"/>
            </c:ext>
          </c:extLst>
        </c:ser>
        <c:ser>
          <c:idx val="164"/>
          <c:order val="164"/>
          <c:tx>
            <c:v>Stochastic series 164</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A4-9FEC-40E5-9401-2B092245BAC8}"/>
            </c:ext>
          </c:extLst>
        </c:ser>
        <c:ser>
          <c:idx val="165"/>
          <c:order val="165"/>
          <c:tx>
            <c:v>Stochastic series 165</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A5-9FEC-40E5-9401-2B092245BAC8}"/>
            </c:ext>
          </c:extLst>
        </c:ser>
        <c:ser>
          <c:idx val="166"/>
          <c:order val="166"/>
          <c:tx>
            <c:v>Stochastic series 166</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A6-9FEC-40E5-9401-2B092245BAC8}"/>
            </c:ext>
          </c:extLst>
        </c:ser>
        <c:ser>
          <c:idx val="167"/>
          <c:order val="167"/>
          <c:tx>
            <c:v>Stochastic series 167</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A7-9FEC-40E5-9401-2B092245BAC8}"/>
            </c:ext>
          </c:extLst>
        </c:ser>
        <c:ser>
          <c:idx val="168"/>
          <c:order val="168"/>
          <c:tx>
            <c:v>Stochastic series 168</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A8-9FEC-40E5-9401-2B092245BAC8}"/>
            </c:ext>
          </c:extLst>
        </c:ser>
        <c:ser>
          <c:idx val="169"/>
          <c:order val="169"/>
          <c:tx>
            <c:v>Stochastic series 169</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A9-9FEC-40E5-9401-2B092245BAC8}"/>
            </c:ext>
          </c:extLst>
        </c:ser>
        <c:ser>
          <c:idx val="170"/>
          <c:order val="170"/>
          <c:tx>
            <c:v>Stochastic series 170</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AA-9FEC-40E5-9401-2B092245BAC8}"/>
            </c:ext>
          </c:extLst>
        </c:ser>
        <c:ser>
          <c:idx val="171"/>
          <c:order val="171"/>
          <c:tx>
            <c:v>Stochastic series 171</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AB-9FEC-40E5-9401-2B092245BAC8}"/>
            </c:ext>
          </c:extLst>
        </c:ser>
        <c:ser>
          <c:idx val="172"/>
          <c:order val="172"/>
          <c:tx>
            <c:v>Stochastic series 172</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AC-9FEC-40E5-9401-2B092245BAC8}"/>
            </c:ext>
          </c:extLst>
        </c:ser>
        <c:ser>
          <c:idx val="173"/>
          <c:order val="173"/>
          <c:tx>
            <c:v>Stochastic series 173</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AD-9FEC-40E5-9401-2B092245BAC8}"/>
            </c:ext>
          </c:extLst>
        </c:ser>
        <c:ser>
          <c:idx val="174"/>
          <c:order val="174"/>
          <c:tx>
            <c:v>Stochastic series 174</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AE-9FEC-40E5-9401-2B092245BAC8}"/>
            </c:ext>
          </c:extLst>
        </c:ser>
        <c:ser>
          <c:idx val="175"/>
          <c:order val="175"/>
          <c:tx>
            <c:v>Stochastic series 175</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AF-9FEC-40E5-9401-2B092245BAC8}"/>
            </c:ext>
          </c:extLst>
        </c:ser>
        <c:ser>
          <c:idx val="176"/>
          <c:order val="176"/>
          <c:tx>
            <c:v>Stochastic series 176</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B0-9FEC-40E5-9401-2B092245BAC8}"/>
            </c:ext>
          </c:extLst>
        </c:ser>
        <c:ser>
          <c:idx val="177"/>
          <c:order val="177"/>
          <c:tx>
            <c:v>Stochastic series 177</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B1-9FEC-40E5-9401-2B092245BAC8}"/>
            </c:ext>
          </c:extLst>
        </c:ser>
        <c:ser>
          <c:idx val="178"/>
          <c:order val="178"/>
          <c:tx>
            <c:v>Stochastic series 178</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B2-9FEC-40E5-9401-2B092245BAC8}"/>
            </c:ext>
          </c:extLst>
        </c:ser>
        <c:ser>
          <c:idx val="179"/>
          <c:order val="179"/>
          <c:tx>
            <c:v>Stochastic series 179</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B3-9FEC-40E5-9401-2B092245BAC8}"/>
            </c:ext>
          </c:extLst>
        </c:ser>
        <c:ser>
          <c:idx val="180"/>
          <c:order val="180"/>
          <c:tx>
            <c:v>Stochastic series 180</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B4-9FEC-40E5-9401-2B092245BAC8}"/>
            </c:ext>
          </c:extLst>
        </c:ser>
        <c:ser>
          <c:idx val="181"/>
          <c:order val="181"/>
          <c:tx>
            <c:v>Stochastic series 181</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B5-9FEC-40E5-9401-2B092245BAC8}"/>
            </c:ext>
          </c:extLst>
        </c:ser>
        <c:ser>
          <c:idx val="182"/>
          <c:order val="182"/>
          <c:tx>
            <c:v>Stochastic series 182</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B6-9FEC-40E5-9401-2B092245BAC8}"/>
            </c:ext>
          </c:extLst>
        </c:ser>
        <c:ser>
          <c:idx val="183"/>
          <c:order val="183"/>
          <c:tx>
            <c:v>Stochastic series 183</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B7-9FEC-40E5-9401-2B092245BAC8}"/>
            </c:ext>
          </c:extLst>
        </c:ser>
        <c:ser>
          <c:idx val="184"/>
          <c:order val="184"/>
          <c:tx>
            <c:v>Stochastic series 184</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B8-9FEC-40E5-9401-2B092245BAC8}"/>
            </c:ext>
          </c:extLst>
        </c:ser>
        <c:ser>
          <c:idx val="185"/>
          <c:order val="185"/>
          <c:tx>
            <c:v>Stochastic series 185</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B9-9FEC-40E5-9401-2B092245BAC8}"/>
            </c:ext>
          </c:extLst>
        </c:ser>
        <c:ser>
          <c:idx val="186"/>
          <c:order val="186"/>
          <c:tx>
            <c:v>Stochastic series 186</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BA-9FEC-40E5-9401-2B092245BAC8}"/>
            </c:ext>
          </c:extLst>
        </c:ser>
        <c:ser>
          <c:idx val="187"/>
          <c:order val="187"/>
          <c:tx>
            <c:v>Stochastic series 187</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BB-9FEC-40E5-9401-2B092245BAC8}"/>
            </c:ext>
          </c:extLst>
        </c:ser>
        <c:ser>
          <c:idx val="188"/>
          <c:order val="188"/>
          <c:tx>
            <c:v>Stochastic series 188</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BC-9FEC-40E5-9401-2B092245BAC8}"/>
            </c:ext>
          </c:extLst>
        </c:ser>
        <c:ser>
          <c:idx val="189"/>
          <c:order val="189"/>
          <c:tx>
            <c:v>Stochastic series 189</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BD-9FEC-40E5-9401-2B092245BAC8}"/>
            </c:ext>
          </c:extLst>
        </c:ser>
        <c:ser>
          <c:idx val="190"/>
          <c:order val="190"/>
          <c:tx>
            <c:v>Stochastic series 190</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BE-9FEC-40E5-9401-2B092245BAC8}"/>
            </c:ext>
          </c:extLst>
        </c:ser>
        <c:ser>
          <c:idx val="191"/>
          <c:order val="191"/>
          <c:tx>
            <c:v>Stochastic series 191</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BF-9FEC-40E5-9401-2B092245BAC8}"/>
            </c:ext>
          </c:extLst>
        </c:ser>
        <c:ser>
          <c:idx val="192"/>
          <c:order val="192"/>
          <c:tx>
            <c:v>Stochastic series 192</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C0-9FEC-40E5-9401-2B092245BAC8}"/>
            </c:ext>
          </c:extLst>
        </c:ser>
        <c:ser>
          <c:idx val="193"/>
          <c:order val="193"/>
          <c:tx>
            <c:v>Stochastic series 193</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C1-9FEC-40E5-9401-2B092245BAC8}"/>
            </c:ext>
          </c:extLst>
        </c:ser>
        <c:ser>
          <c:idx val="194"/>
          <c:order val="194"/>
          <c:tx>
            <c:v>Stochastic series 194</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C2-9FEC-40E5-9401-2B092245BAC8}"/>
            </c:ext>
          </c:extLst>
        </c:ser>
        <c:ser>
          <c:idx val="195"/>
          <c:order val="195"/>
          <c:tx>
            <c:v>Stochastic series 195</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C3-9FEC-40E5-9401-2B092245BAC8}"/>
            </c:ext>
          </c:extLst>
        </c:ser>
        <c:ser>
          <c:idx val="196"/>
          <c:order val="196"/>
          <c:tx>
            <c:v>Stochastic series 196</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C4-9FEC-40E5-9401-2B092245BAC8}"/>
            </c:ext>
          </c:extLst>
        </c:ser>
        <c:ser>
          <c:idx val="197"/>
          <c:order val="197"/>
          <c:tx>
            <c:v>Stochastic series 197</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C5-9FEC-40E5-9401-2B092245BAC8}"/>
            </c:ext>
          </c:extLst>
        </c:ser>
        <c:ser>
          <c:idx val="198"/>
          <c:order val="198"/>
          <c:tx>
            <c:v>Stochastic series 198</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C6-9FEC-40E5-9401-2B092245BAC8}"/>
            </c:ext>
          </c:extLst>
        </c:ser>
        <c:ser>
          <c:idx val="199"/>
          <c:order val="199"/>
          <c:tx>
            <c:v>Stochastic series 199</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C7-9FEC-40E5-9401-2B092245BAC8}"/>
            </c:ext>
          </c:extLst>
        </c:ser>
        <c:ser>
          <c:idx val="200"/>
          <c:order val="200"/>
          <c:tx>
            <c:v>Stochastic series 200</c:v>
          </c:tx>
          <c:spPr>
            <a:ln w="6350" cap="rnd" cmpd="sng" algn="ctr">
              <a:solidFill>
                <a:srgbClr val="03A89E">
                  <a:alpha val="50000"/>
                </a:srgbClr>
              </a:solidFill>
              <a:prstDash val="solid"/>
              <a:round/>
              <a:headEnd type="none" w="med" len="med"/>
              <a:tailEnd type="none" w="med" len="med"/>
            </a:ln>
            <a:effectLst>
              <a:glow rad="50800">
                <a:srgbClr val="FFFFFF">
                  <a:alpha val="10000"/>
                </a:srgbClr>
              </a:glow>
            </a:effectLst>
          </c:spPr>
          <c:marker>
            <c:symbol val="none"/>
          </c:marker>
          <c:xVal>
            <c:numLit>
              <c:ptCount val="0"/>
            </c:numLit>
          </c:xVal>
          <c:yVal>
            <c:numLit>
              <c:ptCount val="0"/>
            </c:numLit>
          </c:yVal>
          <c:smooth val="0"/>
          <c:extLst>
            <c:ext xmlns:c16="http://schemas.microsoft.com/office/drawing/2014/chart" uri="{C3380CC4-5D6E-409C-BE32-E72D297353CC}">
              <c16:uniqueId val="{000000C8-9FEC-40E5-9401-2B092245BAC8}"/>
            </c:ext>
          </c:extLst>
        </c:ser>
        <c:dLbls>
          <c:showLegendKey val="0"/>
          <c:showVal val="0"/>
          <c:showCatName val="0"/>
          <c:showSerName val="0"/>
          <c:showPercent val="0"/>
          <c:showBubbleSize val="0"/>
        </c:dLbls>
        <c:axId val="1059499216"/>
        <c:axId val="1059500848"/>
      </c:scatterChart>
      <c:valAx>
        <c:axId val="1059499216"/>
        <c:scaling>
          <c:orientation val="minMax"/>
          <c:max val="134"/>
          <c:min val="55"/>
        </c:scaling>
        <c:delete val="0"/>
        <c:axPos val="b"/>
        <c:majorGridlines>
          <c:spPr>
            <a:ln w="6350" cap="flat" cmpd="sng" algn="ctr">
              <a:solidFill>
                <a:srgbClr val="D3D3D3">
                  <a:lumMod val="100000"/>
                  <a:alpha val="80000"/>
                </a:srgbClr>
              </a:solidFill>
              <a:prstDash val="dash"/>
              <a:round/>
              <a:headEnd type="none" w="med" len="med"/>
              <a:tailEnd type="none" w="med" len="med"/>
            </a:ln>
          </c:spPr>
        </c:majorGridlines>
        <c:numFmt formatCode="General" sourceLinked="1"/>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en-US"/>
          </a:p>
        </c:txPr>
        <c:crossAx val="1059500848"/>
        <c:crosses val="min"/>
        <c:crossBetween val="midCat"/>
      </c:valAx>
      <c:valAx>
        <c:axId val="1059500848"/>
        <c:scaling>
          <c:orientation val="minMax"/>
        </c:scaling>
        <c:delete val="0"/>
        <c:axPos val="l"/>
        <c:majorGridlines>
          <c:spPr>
            <a:ln w="6350" cap="flat" cmpd="sng" algn="ctr">
              <a:solidFill>
                <a:srgbClr val="D3D3D3">
                  <a:lumMod val="100000"/>
                  <a:alpha val="80000"/>
                </a:srgbClr>
              </a:solidFill>
              <a:prstDash val="dash"/>
              <a:round/>
              <a:headEnd type="none" w="med" len="med"/>
              <a:tailEnd type="none" w="med" len="med"/>
            </a:ln>
          </c:spPr>
        </c:majorGridlines>
        <c:numFmt formatCode="General" sourceLinked="1"/>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en-US"/>
          </a:p>
        </c:txPr>
        <c:crossAx val="1059499216"/>
        <c:crosses val="autoZero"/>
        <c:crossBetween val="midCat"/>
      </c:valAx>
      <c:spPr>
        <a:noFill/>
        <a:ln>
          <a:solidFill>
            <a:srgbClr val="000000"/>
          </a:solidFill>
        </a:ln>
        <a:extLst>
          <a:ext uri="{909E8E84-426E-40DD-AFC4-6F175D3DCCD1}">
            <a14:hiddenFill xmlns:a14="http://schemas.microsoft.com/office/drawing/2010/main">
              <a:solidFill>
                <a:sysClr val="window" lastClr="FFFFFF"/>
              </a:solidFill>
            </a14:hiddenFill>
          </a:ext>
        </a:extLst>
      </c:spPr>
    </c:plotArea>
    <c:plotVisOnly val="1"/>
    <c:dispBlanksAs val="gap"/>
    <c:showDLblsOverMax val="0"/>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xdr:twoCellAnchor>
    <xdr:from>
      <xdr:col>1</xdr:col>
      <xdr:colOff>0</xdr:colOff>
      <xdr:row>449</xdr:row>
      <xdr:rowOff>0</xdr:rowOff>
    </xdr:from>
    <xdr:to>
      <xdr:col>8</xdr:col>
      <xdr:colOff>317500</xdr:colOff>
      <xdr:row>464</xdr:row>
      <xdr:rowOff>0</xdr:rowOff>
    </xdr:to>
    <xdr:graphicFrame macro="">
      <xdr:nvGraphicFramePr>
        <xdr:cNvPr id="15" name="[Real Stats Chart |Tutorial|$B$448]">
          <a:extLst>
            <a:ext uri="{FF2B5EF4-FFF2-40B4-BE49-F238E27FC236}">
              <a16:creationId xmlns:a16="http://schemas.microsoft.com/office/drawing/2014/main" id="{9876B625-45A8-43AB-85AA-381EE8A6BB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310</xdr:row>
      <xdr:rowOff>0</xdr:rowOff>
    </xdr:from>
    <xdr:to>
      <xdr:col>11</xdr:col>
      <xdr:colOff>419100</xdr:colOff>
      <xdr:row>322</xdr:row>
      <xdr:rowOff>44450</xdr:rowOff>
    </xdr:to>
    <xdr:graphicFrame macro="">
      <xdr:nvGraphicFramePr>
        <xdr:cNvPr id="16" name="[Real Stats Chart |Tutorial|$B$310]">
          <a:extLst>
            <a:ext uri="{FF2B5EF4-FFF2-40B4-BE49-F238E27FC236}">
              <a16:creationId xmlns:a16="http://schemas.microsoft.com/office/drawing/2014/main" id="{E7CBCB7C-4500-4A2E-976B-3DD0D6B2E5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268</xdr:row>
      <xdr:rowOff>0</xdr:rowOff>
    </xdr:from>
    <xdr:to>
      <xdr:col>5</xdr:col>
      <xdr:colOff>212725</xdr:colOff>
      <xdr:row>278</xdr:row>
      <xdr:rowOff>0</xdr:rowOff>
    </xdr:to>
    <xdr:graphicFrame macro="">
      <xdr:nvGraphicFramePr>
        <xdr:cNvPr id="17" name="[Real Stats Chart |Tutorial|$B$268]">
          <a:extLst>
            <a:ext uri="{FF2B5EF4-FFF2-40B4-BE49-F238E27FC236}">
              <a16:creationId xmlns:a16="http://schemas.microsoft.com/office/drawing/2014/main" id="{30A917B6-6340-4A18-9D6E-C73BF85336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283</xdr:row>
      <xdr:rowOff>0</xdr:rowOff>
    </xdr:from>
    <xdr:to>
      <xdr:col>11</xdr:col>
      <xdr:colOff>546100</xdr:colOff>
      <xdr:row>303</xdr:row>
      <xdr:rowOff>0</xdr:rowOff>
    </xdr:to>
    <xdr:graphicFrame macro="">
      <xdr:nvGraphicFramePr>
        <xdr:cNvPr id="18" name="[Real Stats Chart |Tutorial|$B$282]">
          <a:extLst>
            <a:ext uri="{FF2B5EF4-FFF2-40B4-BE49-F238E27FC236}">
              <a16:creationId xmlns:a16="http://schemas.microsoft.com/office/drawing/2014/main" id="{76F24C00-5891-4805-8EF5-09BD9134487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0</xdr:colOff>
      <xdr:row>268</xdr:row>
      <xdr:rowOff>0</xdr:rowOff>
    </xdr:from>
    <xdr:to>
      <xdr:col>10</xdr:col>
      <xdr:colOff>269875</xdr:colOff>
      <xdr:row>278</xdr:row>
      <xdr:rowOff>0</xdr:rowOff>
    </xdr:to>
    <xdr:graphicFrame macro="">
      <xdr:nvGraphicFramePr>
        <xdr:cNvPr id="20" name="[Real Stats Chart |Tutorial|$F$268]">
          <a:extLst>
            <a:ext uri="{FF2B5EF4-FFF2-40B4-BE49-F238E27FC236}">
              <a16:creationId xmlns:a16="http://schemas.microsoft.com/office/drawing/2014/main" id="{3789A3C1-609B-4D78-8BF1-83BAD2E7C7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0</xdr:colOff>
      <xdr:row>23</xdr:row>
      <xdr:rowOff>0</xdr:rowOff>
    </xdr:from>
    <xdr:to>
      <xdr:col>10</xdr:col>
      <xdr:colOff>234950</xdr:colOff>
      <xdr:row>35</xdr:row>
      <xdr:rowOff>73025</xdr:rowOff>
    </xdr:to>
    <xdr:graphicFrame macro="">
      <xdr:nvGraphicFramePr>
        <xdr:cNvPr id="21" name="[Real Stats Chart |Tutorial|$G$23]">
          <a:extLst>
            <a:ext uri="{FF2B5EF4-FFF2-40B4-BE49-F238E27FC236}">
              <a16:creationId xmlns:a16="http://schemas.microsoft.com/office/drawing/2014/main" id="{987C4F4F-466D-429A-884E-6BE686D6569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330</xdr:row>
      <xdr:rowOff>0</xdr:rowOff>
    </xdr:from>
    <xdr:to>
      <xdr:col>11</xdr:col>
      <xdr:colOff>546100</xdr:colOff>
      <xdr:row>343</xdr:row>
      <xdr:rowOff>63500</xdr:rowOff>
    </xdr:to>
    <xdr:graphicFrame macro="">
      <xdr:nvGraphicFramePr>
        <xdr:cNvPr id="23" name="[Real Stats Chart |Tutorial|$B$330]">
          <a:extLst>
            <a:ext uri="{FF2B5EF4-FFF2-40B4-BE49-F238E27FC236}">
              <a16:creationId xmlns:a16="http://schemas.microsoft.com/office/drawing/2014/main" id="{ACA065FC-CF9C-41D0-BC21-4141F15077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0</xdr:colOff>
      <xdr:row>6</xdr:row>
      <xdr:rowOff>0</xdr:rowOff>
    </xdr:from>
    <xdr:to>
      <xdr:col>3</xdr:col>
      <xdr:colOff>142875</xdr:colOff>
      <xdr:row>9</xdr:row>
      <xdr:rowOff>688975</xdr:rowOff>
    </xdr:to>
    <xdr:graphicFrame macro="">
      <xdr:nvGraphicFramePr>
        <xdr:cNvPr id="25" name="[Real Stats Chart |Tutorial|$B$6]">
          <a:extLst>
            <a:ext uri="{FF2B5EF4-FFF2-40B4-BE49-F238E27FC236}">
              <a16:creationId xmlns:a16="http://schemas.microsoft.com/office/drawing/2014/main" id="{D3EBE8AA-3DF3-4C6F-B83A-5770527EA3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88</xdr:row>
      <xdr:rowOff>0</xdr:rowOff>
    </xdr:from>
    <xdr:to>
      <xdr:col>10</xdr:col>
      <xdr:colOff>374650</xdr:colOff>
      <xdr:row>103</xdr:row>
      <xdr:rowOff>0</xdr:rowOff>
    </xdr:to>
    <xdr:graphicFrame macro="">
      <xdr:nvGraphicFramePr>
        <xdr:cNvPr id="26" name="[Real Stats Chart |Tutorial|$C$88]">
          <a:extLst>
            <a:ext uri="{FF2B5EF4-FFF2-40B4-BE49-F238E27FC236}">
              <a16:creationId xmlns:a16="http://schemas.microsoft.com/office/drawing/2014/main" id="{03DEF040-31FE-413F-A4DE-E6D58E18A2D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0</xdr:colOff>
      <xdr:row>145</xdr:row>
      <xdr:rowOff>0</xdr:rowOff>
    </xdr:from>
    <xdr:to>
      <xdr:col>11</xdr:col>
      <xdr:colOff>403225</xdr:colOff>
      <xdr:row>160</xdr:row>
      <xdr:rowOff>0</xdr:rowOff>
    </xdr:to>
    <xdr:graphicFrame macro="">
      <xdr:nvGraphicFramePr>
        <xdr:cNvPr id="32" name="[Real Stats Chart |Tutorial|$D$144]">
          <a:extLst>
            <a:ext uri="{FF2B5EF4-FFF2-40B4-BE49-F238E27FC236}">
              <a16:creationId xmlns:a16="http://schemas.microsoft.com/office/drawing/2014/main" id="{E58B6923-BAE6-402B-88AF-202A8792AA4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0</xdr:colOff>
      <xdr:row>399</xdr:row>
      <xdr:rowOff>0</xdr:rowOff>
    </xdr:from>
    <xdr:to>
      <xdr:col>8</xdr:col>
      <xdr:colOff>317500</xdr:colOff>
      <xdr:row>414</xdr:row>
      <xdr:rowOff>0</xdr:rowOff>
    </xdr:to>
    <xdr:graphicFrame macro="">
      <xdr:nvGraphicFramePr>
        <xdr:cNvPr id="33" name="[Real Stats Chart |Tutorial|$B$399]">
          <a:extLst>
            <a:ext uri="{FF2B5EF4-FFF2-40B4-BE49-F238E27FC236}">
              <a16:creationId xmlns:a16="http://schemas.microsoft.com/office/drawing/2014/main" id="{BCD15542-89EB-4487-BA3E-903C8180E2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113</xdr:row>
      <xdr:rowOff>0</xdr:rowOff>
    </xdr:from>
    <xdr:to>
      <xdr:col>8</xdr:col>
      <xdr:colOff>317500</xdr:colOff>
      <xdr:row>128</xdr:row>
      <xdr:rowOff>0</xdr:rowOff>
    </xdr:to>
    <xdr:graphicFrame macro="">
      <xdr:nvGraphicFramePr>
        <xdr:cNvPr id="34" name="[Real Stats Chart |Tutorial|$B$113]">
          <a:extLst>
            <a:ext uri="{FF2B5EF4-FFF2-40B4-BE49-F238E27FC236}">
              <a16:creationId xmlns:a16="http://schemas.microsoft.com/office/drawing/2014/main" id="{E348D6A2-2679-4F75-946D-3483D0F416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0</xdr:colOff>
      <xdr:row>209</xdr:row>
      <xdr:rowOff>0</xdr:rowOff>
    </xdr:from>
    <xdr:to>
      <xdr:col>8</xdr:col>
      <xdr:colOff>317500</xdr:colOff>
      <xdr:row>224</xdr:row>
      <xdr:rowOff>0</xdr:rowOff>
    </xdr:to>
    <xdr:graphicFrame macro="">
      <xdr:nvGraphicFramePr>
        <xdr:cNvPr id="36" name="[Real Stats Chart |Tutorial|$B$209]">
          <a:extLst>
            <a:ext uri="{FF2B5EF4-FFF2-40B4-BE49-F238E27FC236}">
              <a16:creationId xmlns:a16="http://schemas.microsoft.com/office/drawing/2014/main" id="{E3D93166-2545-4EE5-83C0-E99A19A7E69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xdr:col>
      <xdr:colOff>0</xdr:colOff>
      <xdr:row>164</xdr:row>
      <xdr:rowOff>0</xdr:rowOff>
    </xdr:from>
    <xdr:to>
      <xdr:col>8</xdr:col>
      <xdr:colOff>317500</xdr:colOff>
      <xdr:row>179</xdr:row>
      <xdr:rowOff>0</xdr:rowOff>
    </xdr:to>
    <xdr:graphicFrame macro="">
      <xdr:nvGraphicFramePr>
        <xdr:cNvPr id="129" name="[Real Stats Chart |Tutorial|$B$164]">
          <a:extLst>
            <a:ext uri="{FF2B5EF4-FFF2-40B4-BE49-F238E27FC236}">
              <a16:creationId xmlns:a16="http://schemas.microsoft.com/office/drawing/2014/main" id="{98D85455-1F2D-4867-8CD1-349EF2DC328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495</xdr:row>
      <xdr:rowOff>0</xdr:rowOff>
    </xdr:from>
    <xdr:to>
      <xdr:col>8</xdr:col>
      <xdr:colOff>317500</xdr:colOff>
      <xdr:row>510</xdr:row>
      <xdr:rowOff>0</xdr:rowOff>
    </xdr:to>
    <xdr:graphicFrame macro="">
      <xdr:nvGraphicFramePr>
        <xdr:cNvPr id="450" name="[Real Stats Chart |Tutorial|$B$494]">
          <a:extLst>
            <a:ext uri="{FF2B5EF4-FFF2-40B4-BE49-F238E27FC236}">
              <a16:creationId xmlns:a16="http://schemas.microsoft.com/office/drawing/2014/main" id="{5479594A-22C6-40E4-AE8D-E6711D9413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xdr:col>
      <xdr:colOff>0</xdr:colOff>
      <xdr:row>350</xdr:row>
      <xdr:rowOff>0</xdr:rowOff>
    </xdr:from>
    <xdr:to>
      <xdr:col>11</xdr:col>
      <xdr:colOff>444500</xdr:colOff>
      <xdr:row>363</xdr:row>
      <xdr:rowOff>63500</xdr:rowOff>
    </xdr:to>
    <xdr:graphicFrame macro="">
      <xdr:nvGraphicFramePr>
        <xdr:cNvPr id="455" name="[Real Stats Chart |Tutorial|$B$350]">
          <a:extLst>
            <a:ext uri="{FF2B5EF4-FFF2-40B4-BE49-F238E27FC236}">
              <a16:creationId xmlns:a16="http://schemas.microsoft.com/office/drawing/2014/main" id="{2D9F5D26-53BC-4DDB-944F-3B641EAF806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0.06637</cdr:x>
      <cdr:y>0.39579</cdr:y>
    </cdr:from>
    <cdr:to>
      <cdr:x>0.96574</cdr:x>
      <cdr:y>0.88243</cdr:y>
    </cdr:to>
    <cdr:sp macro="" textlink="">
      <cdr:nvSpPr>
        <cdr:cNvPr id="3412" name="$I$4:$T$137|$B$310 1">
          <a:extLst xmlns:a="http://schemas.openxmlformats.org/drawingml/2006/main">
            <a:ext uri="{FF2B5EF4-FFF2-40B4-BE49-F238E27FC236}">
              <a16:creationId xmlns:a16="http://schemas.microsoft.com/office/drawing/2014/main" id="{F0490324-1A91-42DD-AC55-C4C96575F37A}"/>
            </a:ext>
          </a:extLst>
        </cdr:cNvPr>
        <cdr:cNvSpPr/>
      </cdr:nvSpPr>
      <cdr:spPr>
        <a:xfrm xmlns:a="http://schemas.openxmlformats.org/drawingml/2006/main">
          <a:off x="455136" y="1005307"/>
          <a:ext cx="6167915" cy="1236053"/>
        </a:xfrm>
        <a:custGeom xmlns:a="http://schemas.openxmlformats.org/drawingml/2006/main">
          <a:avLst/>
          <a:gdLst/>
          <a:ahLst/>
          <a:cxnLst/>
          <a:rect l="0" t="0" r="0" b="0"/>
          <a:pathLst>
            <a:path w="6167915" h="1236053">
              <a:moveTo>
                <a:pt x="12700" y="920903"/>
              </a:moveTo>
              <a:lnTo>
                <a:pt x="46375" y="878798"/>
              </a:lnTo>
              <a:lnTo>
                <a:pt x="92751" y="784585"/>
              </a:lnTo>
              <a:lnTo>
                <a:pt x="139126" y="724277"/>
              </a:lnTo>
              <a:lnTo>
                <a:pt x="185501" y="626303"/>
              </a:lnTo>
              <a:lnTo>
                <a:pt x="231876" y="592707"/>
              </a:lnTo>
              <a:lnTo>
                <a:pt x="278252" y="884631"/>
              </a:lnTo>
              <a:lnTo>
                <a:pt x="324627" y="824710"/>
              </a:lnTo>
              <a:lnTo>
                <a:pt x="371002" y="605692"/>
              </a:lnTo>
              <a:lnTo>
                <a:pt x="417378" y="764086"/>
              </a:lnTo>
              <a:lnTo>
                <a:pt x="463753" y="844924"/>
              </a:lnTo>
              <a:lnTo>
                <a:pt x="510128" y="826923"/>
              </a:lnTo>
              <a:lnTo>
                <a:pt x="556504" y="740063"/>
              </a:lnTo>
              <a:lnTo>
                <a:pt x="602879" y="875148"/>
              </a:lnTo>
              <a:lnTo>
                <a:pt x="649254" y="814343"/>
              </a:lnTo>
              <a:lnTo>
                <a:pt x="695629" y="839230"/>
              </a:lnTo>
              <a:lnTo>
                <a:pt x="742005" y="969804"/>
              </a:lnTo>
              <a:lnTo>
                <a:pt x="788380" y="993529"/>
              </a:lnTo>
              <a:lnTo>
                <a:pt x="834755" y="1236052"/>
              </a:lnTo>
              <a:lnTo>
                <a:pt x="881131" y="1104663"/>
              </a:lnTo>
              <a:lnTo>
                <a:pt x="927506" y="1042662"/>
              </a:lnTo>
              <a:lnTo>
                <a:pt x="973881" y="1169803"/>
              </a:lnTo>
              <a:lnTo>
                <a:pt x="1020256" y="942326"/>
              </a:lnTo>
              <a:lnTo>
                <a:pt x="1066632" y="923933"/>
              </a:lnTo>
              <a:lnTo>
                <a:pt x="1113007" y="773728"/>
              </a:lnTo>
              <a:lnTo>
                <a:pt x="1159382" y="554253"/>
              </a:lnTo>
              <a:lnTo>
                <a:pt x="1205758" y="445888"/>
              </a:lnTo>
              <a:lnTo>
                <a:pt x="1252133" y="457850"/>
              </a:lnTo>
              <a:lnTo>
                <a:pt x="1298508" y="536429"/>
              </a:lnTo>
              <a:lnTo>
                <a:pt x="1344884" y="514245"/>
              </a:lnTo>
              <a:lnTo>
                <a:pt x="1391259" y="723995"/>
              </a:lnTo>
              <a:lnTo>
                <a:pt x="1437634" y="964047"/>
              </a:lnTo>
              <a:lnTo>
                <a:pt x="1484009" y="975291"/>
              </a:lnTo>
              <a:lnTo>
                <a:pt x="1530385" y="1007673"/>
              </a:lnTo>
              <a:lnTo>
                <a:pt x="1576760" y="1003637"/>
              </a:lnTo>
              <a:lnTo>
                <a:pt x="1623135" y="748269"/>
              </a:lnTo>
              <a:lnTo>
                <a:pt x="1669510" y="887201"/>
              </a:lnTo>
              <a:lnTo>
                <a:pt x="1715886" y="892281"/>
              </a:lnTo>
              <a:lnTo>
                <a:pt x="1762261" y="1031620"/>
              </a:lnTo>
              <a:lnTo>
                <a:pt x="1808636" y="1131458"/>
              </a:lnTo>
              <a:lnTo>
                <a:pt x="1855012" y="794993"/>
              </a:lnTo>
              <a:lnTo>
                <a:pt x="1901387" y="831566"/>
              </a:lnTo>
              <a:lnTo>
                <a:pt x="1947762" y="905140"/>
              </a:lnTo>
              <a:lnTo>
                <a:pt x="1994138" y="1062486"/>
              </a:lnTo>
              <a:lnTo>
                <a:pt x="2040513" y="904259"/>
              </a:lnTo>
              <a:lnTo>
                <a:pt x="2086888" y="1020702"/>
              </a:lnTo>
              <a:lnTo>
                <a:pt x="2133264" y="1220733"/>
              </a:lnTo>
              <a:lnTo>
                <a:pt x="2179639" y="1066594"/>
              </a:lnTo>
              <a:lnTo>
                <a:pt x="2226014" y="892996"/>
              </a:lnTo>
              <a:lnTo>
                <a:pt x="2272389" y="899657"/>
              </a:lnTo>
              <a:lnTo>
                <a:pt x="2318765" y="884261"/>
              </a:lnTo>
              <a:lnTo>
                <a:pt x="2365140" y="1013646"/>
              </a:lnTo>
              <a:lnTo>
                <a:pt x="2411515" y="777152"/>
              </a:lnTo>
              <a:lnTo>
                <a:pt x="2457890" y="890019"/>
              </a:lnTo>
              <a:lnTo>
                <a:pt x="2504266" y="849599"/>
              </a:lnTo>
              <a:lnTo>
                <a:pt x="2550641" y="767221"/>
              </a:lnTo>
              <a:lnTo>
                <a:pt x="2597016" y="983067"/>
              </a:lnTo>
              <a:lnTo>
                <a:pt x="2643392" y="923663"/>
              </a:lnTo>
              <a:lnTo>
                <a:pt x="2689767" y="599060"/>
              </a:lnTo>
              <a:lnTo>
                <a:pt x="2736142" y="502583"/>
              </a:lnTo>
              <a:lnTo>
                <a:pt x="2782518" y="771134"/>
              </a:lnTo>
              <a:lnTo>
                <a:pt x="2828893" y="861516"/>
              </a:lnTo>
              <a:lnTo>
                <a:pt x="2875268" y="1076670"/>
              </a:lnTo>
              <a:lnTo>
                <a:pt x="2921644" y="953193"/>
              </a:lnTo>
              <a:lnTo>
                <a:pt x="2968019" y="843816"/>
              </a:lnTo>
              <a:lnTo>
                <a:pt x="3014394" y="894054"/>
              </a:lnTo>
              <a:lnTo>
                <a:pt x="3060769" y="885052"/>
              </a:lnTo>
              <a:lnTo>
                <a:pt x="3107145" y="914047"/>
              </a:lnTo>
              <a:lnTo>
                <a:pt x="3153520" y="914127"/>
              </a:lnTo>
              <a:lnTo>
                <a:pt x="3199895" y="923019"/>
              </a:lnTo>
              <a:lnTo>
                <a:pt x="3246271" y="781405"/>
              </a:lnTo>
              <a:lnTo>
                <a:pt x="3292646" y="839295"/>
              </a:lnTo>
              <a:lnTo>
                <a:pt x="3339021" y="880628"/>
              </a:lnTo>
              <a:lnTo>
                <a:pt x="3385396" y="902304"/>
              </a:lnTo>
              <a:lnTo>
                <a:pt x="3431772" y="725689"/>
              </a:lnTo>
              <a:lnTo>
                <a:pt x="3478147" y="646161"/>
              </a:lnTo>
              <a:lnTo>
                <a:pt x="3524522" y="701072"/>
              </a:lnTo>
              <a:lnTo>
                <a:pt x="3570898" y="631660"/>
              </a:lnTo>
              <a:lnTo>
                <a:pt x="3617273" y="878084"/>
              </a:lnTo>
              <a:lnTo>
                <a:pt x="3663648" y="765409"/>
              </a:lnTo>
              <a:lnTo>
                <a:pt x="3710023" y="1137030"/>
              </a:lnTo>
              <a:lnTo>
                <a:pt x="3756399" y="944273"/>
              </a:lnTo>
              <a:lnTo>
                <a:pt x="3802774" y="795216"/>
              </a:lnTo>
              <a:lnTo>
                <a:pt x="3849149" y="866832"/>
              </a:lnTo>
              <a:lnTo>
                <a:pt x="3895525" y="845125"/>
              </a:lnTo>
              <a:lnTo>
                <a:pt x="3941900" y="644942"/>
              </a:lnTo>
              <a:lnTo>
                <a:pt x="3988275" y="775112"/>
              </a:lnTo>
              <a:lnTo>
                <a:pt x="4034650" y="716061"/>
              </a:lnTo>
              <a:lnTo>
                <a:pt x="4081026" y="757884"/>
              </a:lnTo>
              <a:lnTo>
                <a:pt x="4127401" y="1011273"/>
              </a:lnTo>
              <a:lnTo>
                <a:pt x="4173776" y="991718"/>
              </a:lnTo>
              <a:lnTo>
                <a:pt x="4220151" y="930356"/>
              </a:lnTo>
              <a:lnTo>
                <a:pt x="4266527" y="960361"/>
              </a:lnTo>
              <a:lnTo>
                <a:pt x="4312902" y="862991"/>
              </a:lnTo>
              <a:lnTo>
                <a:pt x="4359277" y="952575"/>
              </a:lnTo>
              <a:lnTo>
                <a:pt x="4405653" y="787785"/>
              </a:lnTo>
              <a:lnTo>
                <a:pt x="4452028" y="987166"/>
              </a:lnTo>
              <a:lnTo>
                <a:pt x="4498404" y="842943"/>
              </a:lnTo>
              <a:lnTo>
                <a:pt x="4544779" y="830936"/>
              </a:lnTo>
              <a:lnTo>
                <a:pt x="4591154" y="886783"/>
              </a:lnTo>
              <a:lnTo>
                <a:pt x="4637530" y="896794"/>
              </a:lnTo>
              <a:lnTo>
                <a:pt x="4683905" y="798151"/>
              </a:lnTo>
              <a:lnTo>
                <a:pt x="4730280" y="550787"/>
              </a:lnTo>
              <a:lnTo>
                <a:pt x="4776655" y="369537"/>
              </a:lnTo>
              <a:lnTo>
                <a:pt x="4823031" y="244547"/>
              </a:lnTo>
              <a:lnTo>
                <a:pt x="4869406" y="432664"/>
              </a:lnTo>
              <a:lnTo>
                <a:pt x="4915781" y="162833"/>
              </a:lnTo>
              <a:lnTo>
                <a:pt x="4962156" y="112232"/>
              </a:lnTo>
              <a:lnTo>
                <a:pt x="5008532" y="433978"/>
              </a:lnTo>
              <a:lnTo>
                <a:pt x="5054907" y="675075"/>
              </a:lnTo>
              <a:lnTo>
                <a:pt x="5101282" y="966643"/>
              </a:lnTo>
              <a:lnTo>
                <a:pt x="5147658" y="820654"/>
              </a:lnTo>
              <a:lnTo>
                <a:pt x="5194033" y="844492"/>
              </a:lnTo>
              <a:lnTo>
                <a:pt x="5240408" y="976801"/>
              </a:lnTo>
              <a:lnTo>
                <a:pt x="5286783" y="934530"/>
              </a:lnTo>
              <a:lnTo>
                <a:pt x="5333159" y="827544"/>
              </a:lnTo>
              <a:lnTo>
                <a:pt x="5379534" y="792805"/>
              </a:lnTo>
              <a:lnTo>
                <a:pt x="5425909" y="950463"/>
              </a:lnTo>
              <a:lnTo>
                <a:pt x="5472285" y="645909"/>
              </a:lnTo>
              <a:lnTo>
                <a:pt x="5518660" y="1029263"/>
              </a:lnTo>
              <a:lnTo>
                <a:pt x="5565035" y="1088846"/>
              </a:lnTo>
              <a:lnTo>
                <a:pt x="5611410" y="1106275"/>
              </a:lnTo>
              <a:lnTo>
                <a:pt x="5657786" y="1106374"/>
              </a:lnTo>
              <a:lnTo>
                <a:pt x="5704161" y="1098860"/>
              </a:lnTo>
              <a:lnTo>
                <a:pt x="5750536" y="1088308"/>
              </a:lnTo>
              <a:lnTo>
                <a:pt x="5796912" y="1077013"/>
              </a:lnTo>
              <a:lnTo>
                <a:pt x="5843287" y="1066129"/>
              </a:lnTo>
              <a:lnTo>
                <a:pt x="5889662" y="1056197"/>
              </a:lnTo>
              <a:lnTo>
                <a:pt x="5936037" y="1047428"/>
              </a:lnTo>
              <a:lnTo>
                <a:pt x="5982413" y="1039849"/>
              </a:lnTo>
              <a:lnTo>
                <a:pt x="6028788" y="1033398"/>
              </a:lnTo>
              <a:lnTo>
                <a:pt x="6075163" y="1027966"/>
              </a:lnTo>
              <a:lnTo>
                <a:pt x="6121539" y="1023428"/>
              </a:lnTo>
              <a:lnTo>
                <a:pt x="6167914" y="1019661"/>
              </a:lnTo>
              <a:lnTo>
                <a:pt x="6167914" y="834688"/>
              </a:lnTo>
              <a:lnTo>
                <a:pt x="6121539" y="838543"/>
              </a:lnTo>
              <a:lnTo>
                <a:pt x="6075163" y="843214"/>
              </a:lnTo>
              <a:lnTo>
                <a:pt x="6028788" y="848848"/>
              </a:lnTo>
              <a:lnTo>
                <a:pt x="5982413" y="855607"/>
              </a:lnTo>
              <a:lnTo>
                <a:pt x="5936037" y="863653"/>
              </a:lnTo>
              <a:lnTo>
                <a:pt x="5889662" y="873135"/>
              </a:lnTo>
              <a:lnTo>
                <a:pt x="5843287" y="884155"/>
              </a:lnTo>
              <a:lnTo>
                <a:pt x="5796912" y="896704"/>
              </a:lnTo>
              <a:lnTo>
                <a:pt x="5750536" y="910558"/>
              </a:lnTo>
              <a:lnTo>
                <a:pt x="5704161" y="925069"/>
              </a:lnTo>
              <a:lnTo>
                <a:pt x="5657786" y="938775"/>
              </a:lnTo>
              <a:lnTo>
                <a:pt x="5611410" y="948544"/>
              </a:lnTo>
              <a:lnTo>
                <a:pt x="5565035" y="947415"/>
              </a:lnTo>
              <a:lnTo>
                <a:pt x="5518660" y="917032"/>
              </a:lnTo>
              <a:lnTo>
                <a:pt x="5472285" y="645909"/>
              </a:lnTo>
              <a:lnTo>
                <a:pt x="5425909" y="838231"/>
              </a:lnTo>
              <a:lnTo>
                <a:pt x="5379534" y="680574"/>
              </a:lnTo>
              <a:lnTo>
                <a:pt x="5333159" y="715313"/>
              </a:lnTo>
              <a:lnTo>
                <a:pt x="5286783" y="822298"/>
              </a:lnTo>
              <a:lnTo>
                <a:pt x="5240408" y="864569"/>
              </a:lnTo>
              <a:lnTo>
                <a:pt x="5194033" y="732260"/>
              </a:lnTo>
              <a:lnTo>
                <a:pt x="5147658" y="708423"/>
              </a:lnTo>
              <a:lnTo>
                <a:pt x="5101282" y="854411"/>
              </a:lnTo>
              <a:lnTo>
                <a:pt x="5054907" y="562843"/>
              </a:lnTo>
              <a:lnTo>
                <a:pt x="5008532" y="321746"/>
              </a:lnTo>
              <a:lnTo>
                <a:pt x="4962156" y="0"/>
              </a:lnTo>
              <a:lnTo>
                <a:pt x="4915781" y="50602"/>
              </a:lnTo>
              <a:lnTo>
                <a:pt x="4869406" y="320433"/>
              </a:lnTo>
              <a:lnTo>
                <a:pt x="4823031" y="132316"/>
              </a:lnTo>
              <a:lnTo>
                <a:pt x="4776655" y="257306"/>
              </a:lnTo>
              <a:lnTo>
                <a:pt x="4730280" y="438555"/>
              </a:lnTo>
              <a:lnTo>
                <a:pt x="4683905" y="685919"/>
              </a:lnTo>
              <a:lnTo>
                <a:pt x="4637530" y="784563"/>
              </a:lnTo>
              <a:lnTo>
                <a:pt x="4591154" y="774551"/>
              </a:lnTo>
              <a:lnTo>
                <a:pt x="4544779" y="718705"/>
              </a:lnTo>
              <a:lnTo>
                <a:pt x="4498404" y="730712"/>
              </a:lnTo>
              <a:lnTo>
                <a:pt x="4452028" y="874935"/>
              </a:lnTo>
              <a:lnTo>
                <a:pt x="4405653" y="675553"/>
              </a:lnTo>
              <a:lnTo>
                <a:pt x="4359277" y="840344"/>
              </a:lnTo>
              <a:lnTo>
                <a:pt x="4312902" y="750760"/>
              </a:lnTo>
              <a:lnTo>
                <a:pt x="4266527" y="848130"/>
              </a:lnTo>
              <a:lnTo>
                <a:pt x="4220151" y="818124"/>
              </a:lnTo>
              <a:lnTo>
                <a:pt x="4173776" y="879487"/>
              </a:lnTo>
              <a:lnTo>
                <a:pt x="4127401" y="899042"/>
              </a:lnTo>
              <a:lnTo>
                <a:pt x="4081026" y="645652"/>
              </a:lnTo>
              <a:lnTo>
                <a:pt x="4034650" y="603830"/>
              </a:lnTo>
              <a:lnTo>
                <a:pt x="3988275" y="662881"/>
              </a:lnTo>
              <a:lnTo>
                <a:pt x="3941900" y="532711"/>
              </a:lnTo>
              <a:lnTo>
                <a:pt x="3895525" y="732893"/>
              </a:lnTo>
              <a:lnTo>
                <a:pt x="3849149" y="754601"/>
              </a:lnTo>
              <a:lnTo>
                <a:pt x="3802774" y="682984"/>
              </a:lnTo>
              <a:lnTo>
                <a:pt x="3756399" y="832041"/>
              </a:lnTo>
              <a:lnTo>
                <a:pt x="3710023" y="1024799"/>
              </a:lnTo>
              <a:lnTo>
                <a:pt x="3663648" y="653178"/>
              </a:lnTo>
              <a:lnTo>
                <a:pt x="3617273" y="765853"/>
              </a:lnTo>
              <a:lnTo>
                <a:pt x="3570898" y="519429"/>
              </a:lnTo>
              <a:lnTo>
                <a:pt x="3524522" y="588840"/>
              </a:lnTo>
              <a:lnTo>
                <a:pt x="3478147" y="533930"/>
              </a:lnTo>
              <a:lnTo>
                <a:pt x="3431772" y="613457"/>
              </a:lnTo>
              <a:lnTo>
                <a:pt x="3385396" y="790073"/>
              </a:lnTo>
              <a:lnTo>
                <a:pt x="3339021" y="768397"/>
              </a:lnTo>
              <a:lnTo>
                <a:pt x="3292646" y="727063"/>
              </a:lnTo>
              <a:lnTo>
                <a:pt x="3246271" y="669173"/>
              </a:lnTo>
              <a:lnTo>
                <a:pt x="3199895" y="810788"/>
              </a:lnTo>
              <a:lnTo>
                <a:pt x="3153520" y="801896"/>
              </a:lnTo>
              <a:lnTo>
                <a:pt x="3107145" y="801815"/>
              </a:lnTo>
              <a:lnTo>
                <a:pt x="3060769" y="772821"/>
              </a:lnTo>
              <a:lnTo>
                <a:pt x="3014394" y="781823"/>
              </a:lnTo>
              <a:lnTo>
                <a:pt x="2968019" y="731584"/>
              </a:lnTo>
              <a:lnTo>
                <a:pt x="2921644" y="840961"/>
              </a:lnTo>
              <a:lnTo>
                <a:pt x="2875268" y="964438"/>
              </a:lnTo>
              <a:lnTo>
                <a:pt x="2828893" y="749285"/>
              </a:lnTo>
              <a:lnTo>
                <a:pt x="2782518" y="658903"/>
              </a:lnTo>
              <a:lnTo>
                <a:pt x="2736142" y="390351"/>
              </a:lnTo>
              <a:lnTo>
                <a:pt x="2689767" y="486829"/>
              </a:lnTo>
              <a:lnTo>
                <a:pt x="2643392" y="811431"/>
              </a:lnTo>
              <a:lnTo>
                <a:pt x="2597016" y="870836"/>
              </a:lnTo>
              <a:lnTo>
                <a:pt x="2550641" y="654990"/>
              </a:lnTo>
              <a:lnTo>
                <a:pt x="2504266" y="737367"/>
              </a:lnTo>
              <a:lnTo>
                <a:pt x="2457890" y="777788"/>
              </a:lnTo>
              <a:lnTo>
                <a:pt x="2411515" y="664921"/>
              </a:lnTo>
              <a:lnTo>
                <a:pt x="2365140" y="901415"/>
              </a:lnTo>
              <a:lnTo>
                <a:pt x="2318765" y="772030"/>
              </a:lnTo>
              <a:lnTo>
                <a:pt x="2272389" y="787426"/>
              </a:lnTo>
              <a:lnTo>
                <a:pt x="2226014" y="780764"/>
              </a:lnTo>
              <a:lnTo>
                <a:pt x="2179639" y="954362"/>
              </a:lnTo>
              <a:lnTo>
                <a:pt x="2133264" y="1108501"/>
              </a:lnTo>
              <a:lnTo>
                <a:pt x="2086888" y="908470"/>
              </a:lnTo>
              <a:lnTo>
                <a:pt x="2040513" y="792027"/>
              </a:lnTo>
              <a:lnTo>
                <a:pt x="1994138" y="950255"/>
              </a:lnTo>
              <a:lnTo>
                <a:pt x="1947762" y="792908"/>
              </a:lnTo>
              <a:lnTo>
                <a:pt x="1901387" y="719334"/>
              </a:lnTo>
              <a:lnTo>
                <a:pt x="1855012" y="682762"/>
              </a:lnTo>
              <a:lnTo>
                <a:pt x="1808636" y="1019227"/>
              </a:lnTo>
              <a:lnTo>
                <a:pt x="1762261" y="919388"/>
              </a:lnTo>
              <a:lnTo>
                <a:pt x="1715886" y="780050"/>
              </a:lnTo>
              <a:lnTo>
                <a:pt x="1669510" y="774970"/>
              </a:lnTo>
              <a:lnTo>
                <a:pt x="1623135" y="636037"/>
              </a:lnTo>
              <a:lnTo>
                <a:pt x="1576760" y="891405"/>
              </a:lnTo>
              <a:lnTo>
                <a:pt x="1530385" y="895441"/>
              </a:lnTo>
              <a:lnTo>
                <a:pt x="1484009" y="863059"/>
              </a:lnTo>
              <a:lnTo>
                <a:pt x="1437634" y="851816"/>
              </a:lnTo>
              <a:lnTo>
                <a:pt x="1391259" y="611763"/>
              </a:lnTo>
              <a:lnTo>
                <a:pt x="1344884" y="402013"/>
              </a:lnTo>
              <a:lnTo>
                <a:pt x="1298508" y="424197"/>
              </a:lnTo>
              <a:lnTo>
                <a:pt x="1252133" y="345618"/>
              </a:lnTo>
              <a:lnTo>
                <a:pt x="1205758" y="333657"/>
              </a:lnTo>
              <a:lnTo>
                <a:pt x="1159382" y="442022"/>
              </a:lnTo>
              <a:lnTo>
                <a:pt x="1113007" y="661496"/>
              </a:lnTo>
              <a:lnTo>
                <a:pt x="1066632" y="811701"/>
              </a:lnTo>
              <a:lnTo>
                <a:pt x="1020256" y="830095"/>
              </a:lnTo>
              <a:lnTo>
                <a:pt x="973881" y="1057572"/>
              </a:lnTo>
              <a:lnTo>
                <a:pt x="927506" y="930430"/>
              </a:lnTo>
              <a:lnTo>
                <a:pt x="881131" y="992432"/>
              </a:lnTo>
              <a:lnTo>
                <a:pt x="834755" y="1123821"/>
              </a:lnTo>
              <a:lnTo>
                <a:pt x="788380" y="881298"/>
              </a:lnTo>
              <a:lnTo>
                <a:pt x="742005" y="857573"/>
              </a:lnTo>
              <a:lnTo>
                <a:pt x="695629" y="726998"/>
              </a:lnTo>
              <a:lnTo>
                <a:pt x="649254" y="702112"/>
              </a:lnTo>
              <a:lnTo>
                <a:pt x="602879" y="762916"/>
              </a:lnTo>
              <a:lnTo>
                <a:pt x="556504" y="627832"/>
              </a:lnTo>
              <a:lnTo>
                <a:pt x="510128" y="714692"/>
              </a:lnTo>
              <a:lnTo>
                <a:pt x="463753" y="732693"/>
              </a:lnTo>
              <a:lnTo>
                <a:pt x="417378" y="651854"/>
              </a:lnTo>
              <a:lnTo>
                <a:pt x="371002" y="493461"/>
              </a:lnTo>
              <a:lnTo>
                <a:pt x="324627" y="712479"/>
              </a:lnTo>
              <a:lnTo>
                <a:pt x="278252" y="772399"/>
              </a:lnTo>
              <a:lnTo>
                <a:pt x="231876" y="480475"/>
              </a:lnTo>
              <a:lnTo>
                <a:pt x="185501" y="514072"/>
              </a:lnTo>
              <a:lnTo>
                <a:pt x="139126" y="612046"/>
              </a:lnTo>
              <a:lnTo>
                <a:pt x="92751" y="672354"/>
              </a:lnTo>
              <a:lnTo>
                <a:pt x="46375" y="766566"/>
              </a:lnTo>
              <a:lnTo>
                <a:pt x="0" y="808672"/>
              </a:lnTo>
              <a:lnTo>
                <a:pt x="0" y="920903"/>
              </a:lnTo>
            </a:path>
          </a:pathLst>
        </a:custGeom>
        <a:solidFill xmlns:a="http://schemas.openxmlformats.org/drawingml/2006/main">
          <a:srgbClr val="2E473B">
            <a:alpha val="20000"/>
          </a:srgbClr>
        </a:solidFill>
        <a:ln xmlns:a="http://schemas.openxmlformats.org/drawingml/2006/main">
          <a:solidFill>
            <a:srgbClr val="FFFFFF"/>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0.06637</cdr:x>
      <cdr:y>0.37318</cdr:y>
    </cdr:from>
    <cdr:to>
      <cdr:x>0.96574</cdr:x>
      <cdr:y>0.83824</cdr:y>
    </cdr:to>
    <cdr:sp macro="" textlink="">
      <cdr:nvSpPr>
        <cdr:cNvPr id="3413" name="$I$4:$T$137|$B$310 2">
          <a:extLst xmlns:a="http://schemas.openxmlformats.org/drawingml/2006/main">
            <a:ext uri="{FF2B5EF4-FFF2-40B4-BE49-F238E27FC236}">
              <a16:creationId xmlns:a16="http://schemas.microsoft.com/office/drawing/2014/main" id="{AC73C41C-EB85-43C9-82E2-22C031DEA3D0}"/>
            </a:ext>
          </a:extLst>
        </cdr:cNvPr>
        <cdr:cNvSpPr/>
      </cdr:nvSpPr>
      <cdr:spPr>
        <a:xfrm xmlns:a="http://schemas.openxmlformats.org/drawingml/2006/main">
          <a:off x="455136" y="947884"/>
          <a:ext cx="6167915" cy="1181245"/>
        </a:xfrm>
        <a:custGeom xmlns:a="http://schemas.openxmlformats.org/drawingml/2006/main">
          <a:avLst/>
          <a:gdLst/>
          <a:ahLst/>
          <a:cxnLst/>
          <a:rect l="0" t="0" r="0" b="0"/>
          <a:pathLst>
            <a:path w="6167915" h="1181245">
              <a:moveTo>
                <a:pt x="12700" y="866095"/>
              </a:moveTo>
              <a:lnTo>
                <a:pt x="46375" y="823989"/>
              </a:lnTo>
              <a:lnTo>
                <a:pt x="92751" y="729777"/>
              </a:lnTo>
              <a:lnTo>
                <a:pt x="139126" y="669469"/>
              </a:lnTo>
              <a:lnTo>
                <a:pt x="185501" y="571495"/>
              </a:lnTo>
              <a:lnTo>
                <a:pt x="231876" y="537898"/>
              </a:lnTo>
              <a:lnTo>
                <a:pt x="278252" y="829822"/>
              </a:lnTo>
              <a:lnTo>
                <a:pt x="324627" y="769902"/>
              </a:lnTo>
              <a:lnTo>
                <a:pt x="371002" y="550884"/>
              </a:lnTo>
              <a:lnTo>
                <a:pt x="417378" y="709277"/>
              </a:lnTo>
              <a:lnTo>
                <a:pt x="463753" y="790116"/>
              </a:lnTo>
              <a:lnTo>
                <a:pt x="510128" y="772115"/>
              </a:lnTo>
              <a:lnTo>
                <a:pt x="556504" y="685255"/>
              </a:lnTo>
              <a:lnTo>
                <a:pt x="602879" y="820339"/>
              </a:lnTo>
              <a:lnTo>
                <a:pt x="649254" y="759535"/>
              </a:lnTo>
              <a:lnTo>
                <a:pt x="695629" y="784421"/>
              </a:lnTo>
              <a:lnTo>
                <a:pt x="742005" y="914996"/>
              </a:lnTo>
              <a:lnTo>
                <a:pt x="788380" y="938721"/>
              </a:lnTo>
              <a:lnTo>
                <a:pt x="834755" y="1181244"/>
              </a:lnTo>
              <a:lnTo>
                <a:pt x="881131" y="1049855"/>
              </a:lnTo>
              <a:lnTo>
                <a:pt x="927506" y="987853"/>
              </a:lnTo>
              <a:lnTo>
                <a:pt x="973881" y="1114995"/>
              </a:lnTo>
              <a:lnTo>
                <a:pt x="1020256" y="887518"/>
              </a:lnTo>
              <a:lnTo>
                <a:pt x="1066632" y="869124"/>
              </a:lnTo>
              <a:lnTo>
                <a:pt x="1113007" y="718919"/>
              </a:lnTo>
              <a:lnTo>
                <a:pt x="1159382" y="499445"/>
              </a:lnTo>
              <a:lnTo>
                <a:pt x="1205758" y="391080"/>
              </a:lnTo>
              <a:lnTo>
                <a:pt x="1252133" y="403041"/>
              </a:lnTo>
              <a:lnTo>
                <a:pt x="1298508" y="481620"/>
              </a:lnTo>
              <a:lnTo>
                <a:pt x="1344884" y="459436"/>
              </a:lnTo>
              <a:lnTo>
                <a:pt x="1391259" y="669186"/>
              </a:lnTo>
              <a:lnTo>
                <a:pt x="1437634" y="909239"/>
              </a:lnTo>
              <a:lnTo>
                <a:pt x="1484009" y="920482"/>
              </a:lnTo>
              <a:lnTo>
                <a:pt x="1530385" y="952864"/>
              </a:lnTo>
              <a:lnTo>
                <a:pt x="1576760" y="948828"/>
              </a:lnTo>
              <a:lnTo>
                <a:pt x="1623135" y="693460"/>
              </a:lnTo>
              <a:lnTo>
                <a:pt x="1669510" y="832393"/>
              </a:lnTo>
              <a:lnTo>
                <a:pt x="1715886" y="837473"/>
              </a:lnTo>
              <a:lnTo>
                <a:pt x="1762261" y="976811"/>
              </a:lnTo>
              <a:lnTo>
                <a:pt x="1808636" y="1076650"/>
              </a:lnTo>
              <a:lnTo>
                <a:pt x="1855012" y="740185"/>
              </a:lnTo>
              <a:lnTo>
                <a:pt x="1901387" y="776757"/>
              </a:lnTo>
              <a:lnTo>
                <a:pt x="1947762" y="850331"/>
              </a:lnTo>
              <a:lnTo>
                <a:pt x="1994138" y="1007678"/>
              </a:lnTo>
              <a:lnTo>
                <a:pt x="2040513" y="849450"/>
              </a:lnTo>
              <a:lnTo>
                <a:pt x="2086888" y="965893"/>
              </a:lnTo>
              <a:lnTo>
                <a:pt x="2133264" y="1165924"/>
              </a:lnTo>
              <a:lnTo>
                <a:pt x="2179639" y="1011785"/>
              </a:lnTo>
              <a:lnTo>
                <a:pt x="2226014" y="838187"/>
              </a:lnTo>
              <a:lnTo>
                <a:pt x="2272389" y="844849"/>
              </a:lnTo>
              <a:lnTo>
                <a:pt x="2318765" y="829453"/>
              </a:lnTo>
              <a:lnTo>
                <a:pt x="2365140" y="958838"/>
              </a:lnTo>
              <a:lnTo>
                <a:pt x="2411515" y="722344"/>
              </a:lnTo>
              <a:lnTo>
                <a:pt x="2457890" y="835211"/>
              </a:lnTo>
              <a:lnTo>
                <a:pt x="2504266" y="794790"/>
              </a:lnTo>
              <a:lnTo>
                <a:pt x="2550641" y="712413"/>
              </a:lnTo>
              <a:lnTo>
                <a:pt x="2597016" y="928259"/>
              </a:lnTo>
              <a:lnTo>
                <a:pt x="2643392" y="868854"/>
              </a:lnTo>
              <a:lnTo>
                <a:pt x="2689767" y="544252"/>
              </a:lnTo>
              <a:lnTo>
                <a:pt x="2736142" y="447774"/>
              </a:lnTo>
              <a:lnTo>
                <a:pt x="2782518" y="716326"/>
              </a:lnTo>
              <a:lnTo>
                <a:pt x="2828893" y="806708"/>
              </a:lnTo>
              <a:lnTo>
                <a:pt x="2875268" y="1021861"/>
              </a:lnTo>
              <a:lnTo>
                <a:pt x="2921644" y="898384"/>
              </a:lnTo>
              <a:lnTo>
                <a:pt x="2968019" y="789007"/>
              </a:lnTo>
              <a:lnTo>
                <a:pt x="3014394" y="839246"/>
              </a:lnTo>
              <a:lnTo>
                <a:pt x="3060769" y="830244"/>
              </a:lnTo>
              <a:lnTo>
                <a:pt x="3107145" y="859238"/>
              </a:lnTo>
              <a:lnTo>
                <a:pt x="3153520" y="859319"/>
              </a:lnTo>
              <a:lnTo>
                <a:pt x="3199895" y="868211"/>
              </a:lnTo>
              <a:lnTo>
                <a:pt x="3246271" y="726596"/>
              </a:lnTo>
              <a:lnTo>
                <a:pt x="3292646" y="784486"/>
              </a:lnTo>
              <a:lnTo>
                <a:pt x="3339021" y="825820"/>
              </a:lnTo>
              <a:lnTo>
                <a:pt x="3385396" y="847496"/>
              </a:lnTo>
              <a:lnTo>
                <a:pt x="3431772" y="670880"/>
              </a:lnTo>
              <a:lnTo>
                <a:pt x="3478147" y="591353"/>
              </a:lnTo>
              <a:lnTo>
                <a:pt x="3524522" y="646263"/>
              </a:lnTo>
              <a:lnTo>
                <a:pt x="3570898" y="576852"/>
              </a:lnTo>
              <a:lnTo>
                <a:pt x="3617273" y="823276"/>
              </a:lnTo>
              <a:lnTo>
                <a:pt x="3663648" y="710601"/>
              </a:lnTo>
              <a:lnTo>
                <a:pt x="3710023" y="1082222"/>
              </a:lnTo>
              <a:lnTo>
                <a:pt x="3756399" y="889464"/>
              </a:lnTo>
              <a:lnTo>
                <a:pt x="3802774" y="740407"/>
              </a:lnTo>
              <a:lnTo>
                <a:pt x="3849149" y="812024"/>
              </a:lnTo>
              <a:lnTo>
                <a:pt x="3895525" y="790316"/>
              </a:lnTo>
              <a:lnTo>
                <a:pt x="3941900" y="590134"/>
              </a:lnTo>
              <a:lnTo>
                <a:pt x="3988275" y="720304"/>
              </a:lnTo>
              <a:lnTo>
                <a:pt x="4034650" y="661253"/>
              </a:lnTo>
              <a:lnTo>
                <a:pt x="4081026" y="703075"/>
              </a:lnTo>
              <a:lnTo>
                <a:pt x="4127401" y="956465"/>
              </a:lnTo>
              <a:lnTo>
                <a:pt x="4173776" y="936910"/>
              </a:lnTo>
              <a:lnTo>
                <a:pt x="4220151" y="875547"/>
              </a:lnTo>
              <a:lnTo>
                <a:pt x="4266527" y="905553"/>
              </a:lnTo>
              <a:lnTo>
                <a:pt x="4312902" y="808183"/>
              </a:lnTo>
              <a:lnTo>
                <a:pt x="4359277" y="897767"/>
              </a:lnTo>
              <a:lnTo>
                <a:pt x="4405653" y="732976"/>
              </a:lnTo>
              <a:lnTo>
                <a:pt x="4452028" y="932358"/>
              </a:lnTo>
              <a:lnTo>
                <a:pt x="4498404" y="788135"/>
              </a:lnTo>
              <a:lnTo>
                <a:pt x="4544779" y="776128"/>
              </a:lnTo>
              <a:lnTo>
                <a:pt x="4591154" y="831974"/>
              </a:lnTo>
              <a:lnTo>
                <a:pt x="4637530" y="841986"/>
              </a:lnTo>
              <a:lnTo>
                <a:pt x="4683905" y="743342"/>
              </a:lnTo>
              <a:lnTo>
                <a:pt x="4730280" y="495978"/>
              </a:lnTo>
              <a:lnTo>
                <a:pt x="4776655" y="314729"/>
              </a:lnTo>
              <a:lnTo>
                <a:pt x="4823031" y="189739"/>
              </a:lnTo>
              <a:lnTo>
                <a:pt x="4869406" y="377856"/>
              </a:lnTo>
              <a:lnTo>
                <a:pt x="4915781" y="108025"/>
              </a:lnTo>
              <a:lnTo>
                <a:pt x="4962156" y="57423"/>
              </a:lnTo>
              <a:lnTo>
                <a:pt x="5008532" y="379169"/>
              </a:lnTo>
              <a:lnTo>
                <a:pt x="5054907" y="620266"/>
              </a:lnTo>
              <a:lnTo>
                <a:pt x="5101282" y="911834"/>
              </a:lnTo>
              <a:lnTo>
                <a:pt x="5147658" y="765846"/>
              </a:lnTo>
              <a:lnTo>
                <a:pt x="5194033" y="789683"/>
              </a:lnTo>
              <a:lnTo>
                <a:pt x="5240408" y="921992"/>
              </a:lnTo>
              <a:lnTo>
                <a:pt x="5286783" y="879721"/>
              </a:lnTo>
              <a:lnTo>
                <a:pt x="5333159" y="772736"/>
              </a:lnTo>
              <a:lnTo>
                <a:pt x="5379534" y="737997"/>
              </a:lnTo>
              <a:lnTo>
                <a:pt x="5425909" y="895654"/>
              </a:lnTo>
              <a:lnTo>
                <a:pt x="5472285" y="703332"/>
              </a:lnTo>
              <a:lnTo>
                <a:pt x="5518660" y="974455"/>
              </a:lnTo>
              <a:lnTo>
                <a:pt x="5565035" y="1004838"/>
              </a:lnTo>
              <a:lnTo>
                <a:pt x="5611410" y="1005967"/>
              </a:lnTo>
              <a:lnTo>
                <a:pt x="5657786" y="996198"/>
              </a:lnTo>
              <a:lnTo>
                <a:pt x="5704161" y="982492"/>
              </a:lnTo>
              <a:lnTo>
                <a:pt x="5750536" y="967981"/>
              </a:lnTo>
              <a:lnTo>
                <a:pt x="5796912" y="954127"/>
              </a:lnTo>
              <a:lnTo>
                <a:pt x="5843287" y="941578"/>
              </a:lnTo>
              <a:lnTo>
                <a:pt x="5889662" y="930558"/>
              </a:lnTo>
              <a:lnTo>
                <a:pt x="5936037" y="921076"/>
              </a:lnTo>
              <a:lnTo>
                <a:pt x="5982413" y="913030"/>
              </a:lnTo>
              <a:lnTo>
                <a:pt x="6028788" y="906271"/>
              </a:lnTo>
              <a:lnTo>
                <a:pt x="6075163" y="900637"/>
              </a:lnTo>
              <a:lnTo>
                <a:pt x="6121539" y="895966"/>
              </a:lnTo>
              <a:lnTo>
                <a:pt x="6167914" y="892111"/>
              </a:lnTo>
              <a:lnTo>
                <a:pt x="6167914" y="797469"/>
              </a:lnTo>
              <a:lnTo>
                <a:pt x="6121539" y="801369"/>
              </a:lnTo>
              <a:lnTo>
                <a:pt x="6075163" y="806107"/>
              </a:lnTo>
              <a:lnTo>
                <a:pt x="6028788" y="811845"/>
              </a:lnTo>
              <a:lnTo>
                <a:pt x="5982413" y="818761"/>
              </a:lnTo>
              <a:lnTo>
                <a:pt x="5936037" y="827047"/>
              </a:lnTo>
              <a:lnTo>
                <a:pt x="5889662" y="836894"/>
              </a:lnTo>
              <a:lnTo>
                <a:pt x="5843287" y="848470"/>
              </a:lnTo>
              <a:lnTo>
                <a:pt x="5796912" y="861871"/>
              </a:lnTo>
              <a:lnTo>
                <a:pt x="5750536" y="877034"/>
              </a:lnTo>
              <a:lnTo>
                <a:pt x="5704161" y="893570"/>
              </a:lnTo>
              <a:lnTo>
                <a:pt x="5657786" y="910444"/>
              </a:lnTo>
              <a:lnTo>
                <a:pt x="5611410" y="925263"/>
              </a:lnTo>
              <a:lnTo>
                <a:pt x="5565035" y="932475"/>
              </a:lnTo>
              <a:lnTo>
                <a:pt x="5518660" y="917031"/>
              </a:lnTo>
              <a:lnTo>
                <a:pt x="5472285" y="703332"/>
              </a:lnTo>
              <a:lnTo>
                <a:pt x="5425909" y="838231"/>
              </a:lnTo>
              <a:lnTo>
                <a:pt x="5379534" y="680573"/>
              </a:lnTo>
              <a:lnTo>
                <a:pt x="5333159" y="715312"/>
              </a:lnTo>
              <a:lnTo>
                <a:pt x="5286783" y="822298"/>
              </a:lnTo>
              <a:lnTo>
                <a:pt x="5240408" y="864568"/>
              </a:lnTo>
              <a:lnTo>
                <a:pt x="5194033" y="732259"/>
              </a:lnTo>
              <a:lnTo>
                <a:pt x="5147658" y="708422"/>
              </a:lnTo>
              <a:lnTo>
                <a:pt x="5101282" y="854411"/>
              </a:lnTo>
              <a:lnTo>
                <a:pt x="5054907" y="562842"/>
              </a:lnTo>
              <a:lnTo>
                <a:pt x="5008532" y="321746"/>
              </a:lnTo>
              <a:lnTo>
                <a:pt x="4962156" y="0"/>
              </a:lnTo>
              <a:lnTo>
                <a:pt x="4915781" y="50601"/>
              </a:lnTo>
              <a:lnTo>
                <a:pt x="4869406" y="320432"/>
              </a:lnTo>
              <a:lnTo>
                <a:pt x="4823031" y="132315"/>
              </a:lnTo>
              <a:lnTo>
                <a:pt x="4776655" y="257305"/>
              </a:lnTo>
              <a:lnTo>
                <a:pt x="4730280" y="438554"/>
              </a:lnTo>
              <a:lnTo>
                <a:pt x="4683905" y="685919"/>
              </a:lnTo>
              <a:lnTo>
                <a:pt x="4637530" y="784562"/>
              </a:lnTo>
              <a:lnTo>
                <a:pt x="4591154" y="774551"/>
              </a:lnTo>
              <a:lnTo>
                <a:pt x="4544779" y="718704"/>
              </a:lnTo>
              <a:lnTo>
                <a:pt x="4498404" y="730711"/>
              </a:lnTo>
              <a:lnTo>
                <a:pt x="4452028" y="874934"/>
              </a:lnTo>
              <a:lnTo>
                <a:pt x="4405653" y="675552"/>
              </a:lnTo>
              <a:lnTo>
                <a:pt x="4359277" y="840343"/>
              </a:lnTo>
              <a:lnTo>
                <a:pt x="4312902" y="750759"/>
              </a:lnTo>
              <a:lnTo>
                <a:pt x="4266527" y="848129"/>
              </a:lnTo>
              <a:lnTo>
                <a:pt x="4220151" y="818124"/>
              </a:lnTo>
              <a:lnTo>
                <a:pt x="4173776" y="879486"/>
              </a:lnTo>
              <a:lnTo>
                <a:pt x="4127401" y="899041"/>
              </a:lnTo>
              <a:lnTo>
                <a:pt x="4081026" y="645652"/>
              </a:lnTo>
              <a:lnTo>
                <a:pt x="4034650" y="603829"/>
              </a:lnTo>
              <a:lnTo>
                <a:pt x="3988275" y="662880"/>
              </a:lnTo>
              <a:lnTo>
                <a:pt x="3941900" y="532710"/>
              </a:lnTo>
              <a:lnTo>
                <a:pt x="3895525" y="732892"/>
              </a:lnTo>
              <a:lnTo>
                <a:pt x="3849149" y="754600"/>
              </a:lnTo>
              <a:lnTo>
                <a:pt x="3802774" y="682984"/>
              </a:lnTo>
              <a:lnTo>
                <a:pt x="3756399" y="832040"/>
              </a:lnTo>
              <a:lnTo>
                <a:pt x="3710023" y="1024798"/>
              </a:lnTo>
              <a:lnTo>
                <a:pt x="3663648" y="653177"/>
              </a:lnTo>
              <a:lnTo>
                <a:pt x="3617273" y="765852"/>
              </a:lnTo>
              <a:lnTo>
                <a:pt x="3570898" y="519428"/>
              </a:lnTo>
              <a:lnTo>
                <a:pt x="3524522" y="588839"/>
              </a:lnTo>
              <a:lnTo>
                <a:pt x="3478147" y="533929"/>
              </a:lnTo>
              <a:lnTo>
                <a:pt x="3431772" y="613457"/>
              </a:lnTo>
              <a:lnTo>
                <a:pt x="3385396" y="790072"/>
              </a:lnTo>
              <a:lnTo>
                <a:pt x="3339021" y="768396"/>
              </a:lnTo>
              <a:lnTo>
                <a:pt x="3292646" y="727062"/>
              </a:lnTo>
              <a:lnTo>
                <a:pt x="3246271" y="669172"/>
              </a:lnTo>
              <a:lnTo>
                <a:pt x="3199895" y="810787"/>
              </a:lnTo>
              <a:lnTo>
                <a:pt x="3153520" y="801895"/>
              </a:lnTo>
              <a:lnTo>
                <a:pt x="3107145" y="801815"/>
              </a:lnTo>
              <a:lnTo>
                <a:pt x="3060769" y="772820"/>
              </a:lnTo>
              <a:lnTo>
                <a:pt x="3014394" y="781822"/>
              </a:lnTo>
              <a:lnTo>
                <a:pt x="2968019" y="731583"/>
              </a:lnTo>
              <a:lnTo>
                <a:pt x="2921644" y="840961"/>
              </a:lnTo>
              <a:lnTo>
                <a:pt x="2875268" y="964437"/>
              </a:lnTo>
              <a:lnTo>
                <a:pt x="2828893" y="749284"/>
              </a:lnTo>
              <a:lnTo>
                <a:pt x="2782518" y="658902"/>
              </a:lnTo>
              <a:lnTo>
                <a:pt x="2736142" y="390350"/>
              </a:lnTo>
              <a:lnTo>
                <a:pt x="2689767" y="486828"/>
              </a:lnTo>
              <a:lnTo>
                <a:pt x="2643392" y="811431"/>
              </a:lnTo>
              <a:lnTo>
                <a:pt x="2597016" y="870835"/>
              </a:lnTo>
              <a:lnTo>
                <a:pt x="2550641" y="654989"/>
              </a:lnTo>
              <a:lnTo>
                <a:pt x="2504266" y="737367"/>
              </a:lnTo>
              <a:lnTo>
                <a:pt x="2457890" y="777787"/>
              </a:lnTo>
              <a:lnTo>
                <a:pt x="2411515" y="664920"/>
              </a:lnTo>
              <a:lnTo>
                <a:pt x="2365140" y="901414"/>
              </a:lnTo>
              <a:lnTo>
                <a:pt x="2318765" y="772029"/>
              </a:lnTo>
              <a:lnTo>
                <a:pt x="2272389" y="787425"/>
              </a:lnTo>
              <a:lnTo>
                <a:pt x="2226014" y="780764"/>
              </a:lnTo>
              <a:lnTo>
                <a:pt x="2179639" y="954362"/>
              </a:lnTo>
              <a:lnTo>
                <a:pt x="2133264" y="1108500"/>
              </a:lnTo>
              <a:lnTo>
                <a:pt x="2086888" y="908469"/>
              </a:lnTo>
              <a:lnTo>
                <a:pt x="2040513" y="792027"/>
              </a:lnTo>
              <a:lnTo>
                <a:pt x="1994138" y="950254"/>
              </a:lnTo>
              <a:lnTo>
                <a:pt x="1947762" y="792908"/>
              </a:lnTo>
              <a:lnTo>
                <a:pt x="1901387" y="719333"/>
              </a:lnTo>
              <a:lnTo>
                <a:pt x="1855012" y="682761"/>
              </a:lnTo>
              <a:lnTo>
                <a:pt x="1808636" y="1019226"/>
              </a:lnTo>
              <a:lnTo>
                <a:pt x="1762261" y="919387"/>
              </a:lnTo>
              <a:lnTo>
                <a:pt x="1715886" y="780049"/>
              </a:lnTo>
              <a:lnTo>
                <a:pt x="1669510" y="774969"/>
              </a:lnTo>
              <a:lnTo>
                <a:pt x="1623135" y="636036"/>
              </a:lnTo>
              <a:lnTo>
                <a:pt x="1576760" y="891405"/>
              </a:lnTo>
              <a:lnTo>
                <a:pt x="1530385" y="895441"/>
              </a:lnTo>
              <a:lnTo>
                <a:pt x="1484009" y="863058"/>
              </a:lnTo>
              <a:lnTo>
                <a:pt x="1437634" y="851815"/>
              </a:lnTo>
              <a:lnTo>
                <a:pt x="1391259" y="611763"/>
              </a:lnTo>
              <a:lnTo>
                <a:pt x="1344884" y="402012"/>
              </a:lnTo>
              <a:lnTo>
                <a:pt x="1298508" y="424197"/>
              </a:lnTo>
              <a:lnTo>
                <a:pt x="1252133" y="345618"/>
              </a:lnTo>
              <a:lnTo>
                <a:pt x="1205758" y="333656"/>
              </a:lnTo>
              <a:lnTo>
                <a:pt x="1159382" y="442021"/>
              </a:lnTo>
              <a:lnTo>
                <a:pt x="1113007" y="661496"/>
              </a:lnTo>
              <a:lnTo>
                <a:pt x="1066632" y="811701"/>
              </a:lnTo>
              <a:lnTo>
                <a:pt x="1020256" y="830094"/>
              </a:lnTo>
              <a:lnTo>
                <a:pt x="973881" y="1057571"/>
              </a:lnTo>
              <a:lnTo>
                <a:pt x="927506" y="930430"/>
              </a:lnTo>
              <a:lnTo>
                <a:pt x="881131" y="992431"/>
              </a:lnTo>
              <a:lnTo>
                <a:pt x="834755" y="1123820"/>
              </a:lnTo>
              <a:lnTo>
                <a:pt x="788380" y="881297"/>
              </a:lnTo>
              <a:lnTo>
                <a:pt x="742005" y="857572"/>
              </a:lnTo>
              <a:lnTo>
                <a:pt x="695629" y="726997"/>
              </a:lnTo>
              <a:lnTo>
                <a:pt x="649254" y="702111"/>
              </a:lnTo>
              <a:lnTo>
                <a:pt x="602879" y="762916"/>
              </a:lnTo>
              <a:lnTo>
                <a:pt x="556504" y="627831"/>
              </a:lnTo>
              <a:lnTo>
                <a:pt x="510128" y="714691"/>
              </a:lnTo>
              <a:lnTo>
                <a:pt x="463753" y="732692"/>
              </a:lnTo>
              <a:lnTo>
                <a:pt x="417378" y="651853"/>
              </a:lnTo>
              <a:lnTo>
                <a:pt x="371002" y="493460"/>
              </a:lnTo>
              <a:lnTo>
                <a:pt x="324627" y="712478"/>
              </a:lnTo>
              <a:lnTo>
                <a:pt x="278252" y="772398"/>
              </a:lnTo>
              <a:lnTo>
                <a:pt x="231876" y="480474"/>
              </a:lnTo>
              <a:lnTo>
                <a:pt x="185501" y="514071"/>
              </a:lnTo>
              <a:lnTo>
                <a:pt x="139126" y="612045"/>
              </a:lnTo>
              <a:lnTo>
                <a:pt x="92751" y="672353"/>
              </a:lnTo>
              <a:lnTo>
                <a:pt x="46375" y="766565"/>
              </a:lnTo>
              <a:lnTo>
                <a:pt x="0" y="808671"/>
              </a:lnTo>
              <a:lnTo>
                <a:pt x="0" y="866095"/>
              </a:lnTo>
            </a:path>
          </a:pathLst>
        </a:custGeom>
        <a:solidFill xmlns:a="http://schemas.openxmlformats.org/drawingml/2006/main">
          <a:srgbClr val="2B5662">
            <a:alpha val="32000"/>
          </a:srgbClr>
        </a:solidFill>
        <a:ln xmlns:a="http://schemas.openxmlformats.org/drawingml/2006/main">
          <a:solidFill>
            <a:srgbClr val="FFFFFF"/>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0.06637</cdr:x>
      <cdr:y>0.34712</cdr:y>
    </cdr:from>
    <cdr:to>
      <cdr:x>0.96574</cdr:x>
      <cdr:y>0.81563</cdr:y>
    </cdr:to>
    <cdr:sp macro="" textlink="">
      <cdr:nvSpPr>
        <cdr:cNvPr id="3414" name="$I$4:$T$137|$B$310 3">
          <a:extLst xmlns:a="http://schemas.openxmlformats.org/drawingml/2006/main">
            <a:ext uri="{FF2B5EF4-FFF2-40B4-BE49-F238E27FC236}">
              <a16:creationId xmlns:a16="http://schemas.microsoft.com/office/drawing/2014/main" id="{534A29FB-F404-47A2-9E76-D9888A9E6FF3}"/>
            </a:ext>
          </a:extLst>
        </cdr:cNvPr>
        <cdr:cNvSpPr/>
      </cdr:nvSpPr>
      <cdr:spPr>
        <a:xfrm xmlns:a="http://schemas.openxmlformats.org/drawingml/2006/main">
          <a:off x="455136" y="881678"/>
          <a:ext cx="6167915" cy="1190027"/>
        </a:xfrm>
        <a:custGeom xmlns:a="http://schemas.openxmlformats.org/drawingml/2006/main">
          <a:avLst/>
          <a:gdLst/>
          <a:ahLst/>
          <a:cxnLst/>
          <a:rect l="0" t="0" r="0" b="0"/>
          <a:pathLst>
            <a:path w="6167915" h="1190027">
              <a:moveTo>
                <a:pt x="12700" y="874877"/>
              </a:moveTo>
              <a:lnTo>
                <a:pt x="46375" y="832771"/>
              </a:lnTo>
              <a:lnTo>
                <a:pt x="92751" y="738559"/>
              </a:lnTo>
              <a:lnTo>
                <a:pt x="139126" y="678251"/>
              </a:lnTo>
              <a:lnTo>
                <a:pt x="185501" y="580277"/>
              </a:lnTo>
              <a:lnTo>
                <a:pt x="231876" y="546680"/>
              </a:lnTo>
              <a:lnTo>
                <a:pt x="278252" y="838604"/>
              </a:lnTo>
              <a:lnTo>
                <a:pt x="324627" y="778684"/>
              </a:lnTo>
              <a:lnTo>
                <a:pt x="371002" y="559666"/>
              </a:lnTo>
              <a:lnTo>
                <a:pt x="417378" y="718059"/>
              </a:lnTo>
              <a:lnTo>
                <a:pt x="463753" y="798898"/>
              </a:lnTo>
              <a:lnTo>
                <a:pt x="510128" y="780897"/>
              </a:lnTo>
              <a:lnTo>
                <a:pt x="556504" y="694037"/>
              </a:lnTo>
              <a:lnTo>
                <a:pt x="602879" y="829122"/>
              </a:lnTo>
              <a:lnTo>
                <a:pt x="649254" y="768317"/>
              </a:lnTo>
              <a:lnTo>
                <a:pt x="695629" y="793203"/>
              </a:lnTo>
              <a:lnTo>
                <a:pt x="742005" y="923778"/>
              </a:lnTo>
              <a:lnTo>
                <a:pt x="788380" y="947503"/>
              </a:lnTo>
              <a:lnTo>
                <a:pt x="834755" y="1190026"/>
              </a:lnTo>
              <a:lnTo>
                <a:pt x="881131" y="1058637"/>
              </a:lnTo>
              <a:lnTo>
                <a:pt x="927506" y="996636"/>
              </a:lnTo>
              <a:lnTo>
                <a:pt x="973881" y="1123777"/>
              </a:lnTo>
              <a:lnTo>
                <a:pt x="1020256" y="896300"/>
              </a:lnTo>
              <a:lnTo>
                <a:pt x="1066632" y="877907"/>
              </a:lnTo>
              <a:lnTo>
                <a:pt x="1113007" y="727702"/>
              </a:lnTo>
              <a:lnTo>
                <a:pt x="1159382" y="508227"/>
              </a:lnTo>
              <a:lnTo>
                <a:pt x="1205758" y="399862"/>
              </a:lnTo>
              <a:lnTo>
                <a:pt x="1252133" y="411824"/>
              </a:lnTo>
              <a:lnTo>
                <a:pt x="1298508" y="490403"/>
              </a:lnTo>
              <a:lnTo>
                <a:pt x="1344884" y="468218"/>
              </a:lnTo>
              <a:lnTo>
                <a:pt x="1391259" y="677969"/>
              </a:lnTo>
              <a:lnTo>
                <a:pt x="1437634" y="918021"/>
              </a:lnTo>
              <a:lnTo>
                <a:pt x="1484009" y="929264"/>
              </a:lnTo>
              <a:lnTo>
                <a:pt x="1530385" y="961647"/>
              </a:lnTo>
              <a:lnTo>
                <a:pt x="1576760" y="957611"/>
              </a:lnTo>
              <a:lnTo>
                <a:pt x="1623135" y="702242"/>
              </a:lnTo>
              <a:lnTo>
                <a:pt x="1669510" y="841175"/>
              </a:lnTo>
              <a:lnTo>
                <a:pt x="1715886" y="846255"/>
              </a:lnTo>
              <a:lnTo>
                <a:pt x="1762261" y="985593"/>
              </a:lnTo>
              <a:lnTo>
                <a:pt x="1808636" y="1085432"/>
              </a:lnTo>
              <a:lnTo>
                <a:pt x="1855012" y="748967"/>
              </a:lnTo>
              <a:lnTo>
                <a:pt x="1901387" y="785539"/>
              </a:lnTo>
              <a:lnTo>
                <a:pt x="1947762" y="859114"/>
              </a:lnTo>
              <a:lnTo>
                <a:pt x="1994138" y="1016460"/>
              </a:lnTo>
              <a:lnTo>
                <a:pt x="2040513" y="858233"/>
              </a:lnTo>
              <a:lnTo>
                <a:pt x="2086888" y="974675"/>
              </a:lnTo>
              <a:lnTo>
                <a:pt x="2133264" y="1174706"/>
              </a:lnTo>
              <a:lnTo>
                <a:pt x="2179639" y="1020568"/>
              </a:lnTo>
              <a:lnTo>
                <a:pt x="2226014" y="846970"/>
              </a:lnTo>
              <a:lnTo>
                <a:pt x="2272389" y="853631"/>
              </a:lnTo>
              <a:lnTo>
                <a:pt x="2318765" y="838235"/>
              </a:lnTo>
              <a:lnTo>
                <a:pt x="2365140" y="967620"/>
              </a:lnTo>
              <a:lnTo>
                <a:pt x="2411515" y="731126"/>
              </a:lnTo>
              <a:lnTo>
                <a:pt x="2457890" y="843993"/>
              </a:lnTo>
              <a:lnTo>
                <a:pt x="2504266" y="803573"/>
              </a:lnTo>
              <a:lnTo>
                <a:pt x="2550641" y="721195"/>
              </a:lnTo>
              <a:lnTo>
                <a:pt x="2597016" y="937041"/>
              </a:lnTo>
              <a:lnTo>
                <a:pt x="2643392" y="877637"/>
              </a:lnTo>
              <a:lnTo>
                <a:pt x="2689767" y="553034"/>
              </a:lnTo>
              <a:lnTo>
                <a:pt x="2736142" y="456556"/>
              </a:lnTo>
              <a:lnTo>
                <a:pt x="2782518" y="725108"/>
              </a:lnTo>
              <a:lnTo>
                <a:pt x="2828893" y="815490"/>
              </a:lnTo>
              <a:lnTo>
                <a:pt x="2875268" y="1030643"/>
              </a:lnTo>
              <a:lnTo>
                <a:pt x="2921644" y="907167"/>
              </a:lnTo>
              <a:lnTo>
                <a:pt x="2968019" y="797789"/>
              </a:lnTo>
              <a:lnTo>
                <a:pt x="3014394" y="848028"/>
              </a:lnTo>
              <a:lnTo>
                <a:pt x="3060769" y="839026"/>
              </a:lnTo>
              <a:lnTo>
                <a:pt x="3107145" y="868021"/>
              </a:lnTo>
              <a:lnTo>
                <a:pt x="3153520" y="868101"/>
              </a:lnTo>
              <a:lnTo>
                <a:pt x="3199895" y="876993"/>
              </a:lnTo>
              <a:lnTo>
                <a:pt x="3246271" y="735378"/>
              </a:lnTo>
              <a:lnTo>
                <a:pt x="3292646" y="793268"/>
              </a:lnTo>
              <a:lnTo>
                <a:pt x="3339021" y="834602"/>
              </a:lnTo>
              <a:lnTo>
                <a:pt x="3385396" y="856278"/>
              </a:lnTo>
              <a:lnTo>
                <a:pt x="3431772" y="679663"/>
              </a:lnTo>
              <a:lnTo>
                <a:pt x="3478147" y="600135"/>
              </a:lnTo>
              <a:lnTo>
                <a:pt x="3524522" y="655045"/>
              </a:lnTo>
              <a:lnTo>
                <a:pt x="3570898" y="585634"/>
              </a:lnTo>
              <a:lnTo>
                <a:pt x="3617273" y="832058"/>
              </a:lnTo>
              <a:lnTo>
                <a:pt x="3663648" y="719383"/>
              </a:lnTo>
              <a:lnTo>
                <a:pt x="3710023" y="1091004"/>
              </a:lnTo>
              <a:lnTo>
                <a:pt x="3756399" y="898246"/>
              </a:lnTo>
              <a:lnTo>
                <a:pt x="3802774" y="749190"/>
              </a:lnTo>
              <a:lnTo>
                <a:pt x="3849149" y="820806"/>
              </a:lnTo>
              <a:lnTo>
                <a:pt x="3895525" y="799098"/>
              </a:lnTo>
              <a:lnTo>
                <a:pt x="3941900" y="598916"/>
              </a:lnTo>
              <a:lnTo>
                <a:pt x="3988275" y="729086"/>
              </a:lnTo>
              <a:lnTo>
                <a:pt x="4034650" y="670035"/>
              </a:lnTo>
              <a:lnTo>
                <a:pt x="4081026" y="711858"/>
              </a:lnTo>
              <a:lnTo>
                <a:pt x="4127401" y="965247"/>
              </a:lnTo>
              <a:lnTo>
                <a:pt x="4173776" y="945692"/>
              </a:lnTo>
              <a:lnTo>
                <a:pt x="4220151" y="884330"/>
              </a:lnTo>
              <a:lnTo>
                <a:pt x="4266527" y="914335"/>
              </a:lnTo>
              <a:lnTo>
                <a:pt x="4312902" y="816965"/>
              </a:lnTo>
              <a:lnTo>
                <a:pt x="4359277" y="906549"/>
              </a:lnTo>
              <a:lnTo>
                <a:pt x="4405653" y="741758"/>
              </a:lnTo>
              <a:lnTo>
                <a:pt x="4452028" y="941140"/>
              </a:lnTo>
              <a:lnTo>
                <a:pt x="4498404" y="796917"/>
              </a:lnTo>
              <a:lnTo>
                <a:pt x="4544779" y="784910"/>
              </a:lnTo>
              <a:lnTo>
                <a:pt x="4591154" y="840757"/>
              </a:lnTo>
              <a:lnTo>
                <a:pt x="4637530" y="850768"/>
              </a:lnTo>
              <a:lnTo>
                <a:pt x="4683905" y="752125"/>
              </a:lnTo>
              <a:lnTo>
                <a:pt x="4730280" y="504760"/>
              </a:lnTo>
              <a:lnTo>
                <a:pt x="4776655" y="323511"/>
              </a:lnTo>
              <a:lnTo>
                <a:pt x="4823031" y="198521"/>
              </a:lnTo>
              <a:lnTo>
                <a:pt x="4869406" y="386638"/>
              </a:lnTo>
              <a:lnTo>
                <a:pt x="4915781" y="116807"/>
              </a:lnTo>
              <a:lnTo>
                <a:pt x="4962156" y="66206"/>
              </a:lnTo>
              <a:lnTo>
                <a:pt x="5008532" y="387952"/>
              </a:lnTo>
              <a:lnTo>
                <a:pt x="5054907" y="629048"/>
              </a:lnTo>
              <a:lnTo>
                <a:pt x="5101282" y="920617"/>
              </a:lnTo>
              <a:lnTo>
                <a:pt x="5147658" y="774628"/>
              </a:lnTo>
              <a:lnTo>
                <a:pt x="5194033" y="798465"/>
              </a:lnTo>
              <a:lnTo>
                <a:pt x="5240408" y="930774"/>
              </a:lnTo>
              <a:lnTo>
                <a:pt x="5286783" y="888504"/>
              </a:lnTo>
              <a:lnTo>
                <a:pt x="5333159" y="781518"/>
              </a:lnTo>
              <a:lnTo>
                <a:pt x="5379534" y="746779"/>
              </a:lnTo>
              <a:lnTo>
                <a:pt x="5425909" y="904437"/>
              </a:lnTo>
              <a:lnTo>
                <a:pt x="5472285" y="769538"/>
              </a:lnTo>
              <a:lnTo>
                <a:pt x="5518660" y="983237"/>
              </a:lnTo>
              <a:lnTo>
                <a:pt x="5565035" y="998681"/>
              </a:lnTo>
              <a:lnTo>
                <a:pt x="5611410" y="991469"/>
              </a:lnTo>
              <a:lnTo>
                <a:pt x="5657786" y="976650"/>
              </a:lnTo>
              <a:lnTo>
                <a:pt x="5704161" y="959776"/>
              </a:lnTo>
              <a:lnTo>
                <a:pt x="5750536" y="943240"/>
              </a:lnTo>
              <a:lnTo>
                <a:pt x="5796912" y="928077"/>
              </a:lnTo>
              <a:lnTo>
                <a:pt x="5843287" y="914676"/>
              </a:lnTo>
              <a:lnTo>
                <a:pt x="5889662" y="903100"/>
              </a:lnTo>
              <a:lnTo>
                <a:pt x="5936037" y="893253"/>
              </a:lnTo>
              <a:lnTo>
                <a:pt x="5982413" y="884967"/>
              </a:lnTo>
              <a:lnTo>
                <a:pt x="6028788" y="878051"/>
              </a:lnTo>
              <a:lnTo>
                <a:pt x="6075163" y="872313"/>
              </a:lnTo>
              <a:lnTo>
                <a:pt x="6121539" y="867575"/>
              </a:lnTo>
              <a:lnTo>
                <a:pt x="6167914" y="863675"/>
              </a:lnTo>
              <a:lnTo>
                <a:pt x="6167914" y="754559"/>
              </a:lnTo>
              <a:lnTo>
                <a:pt x="6121539" y="758510"/>
              </a:lnTo>
              <a:lnTo>
                <a:pt x="6075163" y="763327"/>
              </a:lnTo>
              <a:lnTo>
                <a:pt x="6028788" y="769184"/>
              </a:lnTo>
              <a:lnTo>
                <a:pt x="5982413" y="776281"/>
              </a:lnTo>
              <a:lnTo>
                <a:pt x="5936037" y="784843"/>
              </a:lnTo>
              <a:lnTo>
                <a:pt x="5889662" y="795111"/>
              </a:lnTo>
              <a:lnTo>
                <a:pt x="5843287" y="807329"/>
              </a:lnTo>
              <a:lnTo>
                <a:pt x="5796912" y="821712"/>
              </a:lnTo>
              <a:lnTo>
                <a:pt x="5750536" y="838384"/>
              </a:lnTo>
              <a:lnTo>
                <a:pt x="5704161" y="857256"/>
              </a:lnTo>
              <a:lnTo>
                <a:pt x="5657786" y="877782"/>
              </a:lnTo>
              <a:lnTo>
                <a:pt x="5611410" y="898423"/>
              </a:lnTo>
              <a:lnTo>
                <a:pt x="5565035" y="915250"/>
              </a:lnTo>
              <a:lnTo>
                <a:pt x="5518660" y="917031"/>
              </a:lnTo>
              <a:lnTo>
                <a:pt x="5472285" y="769538"/>
              </a:lnTo>
              <a:lnTo>
                <a:pt x="5425909" y="838231"/>
              </a:lnTo>
              <a:lnTo>
                <a:pt x="5379534" y="680573"/>
              </a:lnTo>
              <a:lnTo>
                <a:pt x="5333159" y="715312"/>
              </a:lnTo>
              <a:lnTo>
                <a:pt x="5286783" y="822298"/>
              </a:lnTo>
              <a:lnTo>
                <a:pt x="5240408" y="864569"/>
              </a:lnTo>
              <a:lnTo>
                <a:pt x="5194033" y="732259"/>
              </a:lnTo>
              <a:lnTo>
                <a:pt x="5147658" y="708422"/>
              </a:lnTo>
              <a:lnTo>
                <a:pt x="5101282" y="854411"/>
              </a:lnTo>
              <a:lnTo>
                <a:pt x="5054907" y="562842"/>
              </a:lnTo>
              <a:lnTo>
                <a:pt x="5008532" y="321746"/>
              </a:lnTo>
              <a:lnTo>
                <a:pt x="4962156" y="0"/>
              </a:lnTo>
              <a:lnTo>
                <a:pt x="4915781" y="50601"/>
              </a:lnTo>
              <a:lnTo>
                <a:pt x="4869406" y="320432"/>
              </a:lnTo>
              <a:lnTo>
                <a:pt x="4823031" y="132315"/>
              </a:lnTo>
              <a:lnTo>
                <a:pt x="4776655" y="257305"/>
              </a:lnTo>
              <a:lnTo>
                <a:pt x="4730280" y="438554"/>
              </a:lnTo>
              <a:lnTo>
                <a:pt x="4683905" y="685919"/>
              </a:lnTo>
              <a:lnTo>
                <a:pt x="4637530" y="784562"/>
              </a:lnTo>
              <a:lnTo>
                <a:pt x="4591154" y="774551"/>
              </a:lnTo>
              <a:lnTo>
                <a:pt x="4544779" y="718704"/>
              </a:lnTo>
              <a:lnTo>
                <a:pt x="4498404" y="730711"/>
              </a:lnTo>
              <a:lnTo>
                <a:pt x="4452028" y="874934"/>
              </a:lnTo>
              <a:lnTo>
                <a:pt x="4405653" y="675553"/>
              </a:lnTo>
              <a:lnTo>
                <a:pt x="4359277" y="840343"/>
              </a:lnTo>
              <a:lnTo>
                <a:pt x="4312902" y="750759"/>
              </a:lnTo>
              <a:lnTo>
                <a:pt x="4266527" y="848129"/>
              </a:lnTo>
              <a:lnTo>
                <a:pt x="4220151" y="818123"/>
              </a:lnTo>
              <a:lnTo>
                <a:pt x="4173776" y="879486"/>
              </a:lnTo>
              <a:lnTo>
                <a:pt x="4127401" y="899041"/>
              </a:lnTo>
              <a:lnTo>
                <a:pt x="4081026" y="645652"/>
              </a:lnTo>
              <a:lnTo>
                <a:pt x="4034650" y="603829"/>
              </a:lnTo>
              <a:lnTo>
                <a:pt x="3988275" y="662880"/>
              </a:lnTo>
              <a:lnTo>
                <a:pt x="3941900" y="532710"/>
              </a:lnTo>
              <a:lnTo>
                <a:pt x="3895525" y="732893"/>
              </a:lnTo>
              <a:lnTo>
                <a:pt x="3849149" y="754600"/>
              </a:lnTo>
              <a:lnTo>
                <a:pt x="3802774" y="682984"/>
              </a:lnTo>
              <a:lnTo>
                <a:pt x="3756399" y="832041"/>
              </a:lnTo>
              <a:lnTo>
                <a:pt x="3710023" y="1024798"/>
              </a:lnTo>
              <a:lnTo>
                <a:pt x="3663648" y="653177"/>
              </a:lnTo>
              <a:lnTo>
                <a:pt x="3617273" y="765852"/>
              </a:lnTo>
              <a:lnTo>
                <a:pt x="3570898" y="519428"/>
              </a:lnTo>
              <a:lnTo>
                <a:pt x="3524522" y="588840"/>
              </a:lnTo>
              <a:lnTo>
                <a:pt x="3478147" y="533929"/>
              </a:lnTo>
              <a:lnTo>
                <a:pt x="3431772" y="613457"/>
              </a:lnTo>
              <a:lnTo>
                <a:pt x="3385396" y="790072"/>
              </a:lnTo>
              <a:lnTo>
                <a:pt x="3339021" y="768396"/>
              </a:lnTo>
              <a:lnTo>
                <a:pt x="3292646" y="727063"/>
              </a:lnTo>
              <a:lnTo>
                <a:pt x="3246271" y="669173"/>
              </a:lnTo>
              <a:lnTo>
                <a:pt x="3199895" y="810787"/>
              </a:lnTo>
              <a:lnTo>
                <a:pt x="3153520" y="801895"/>
              </a:lnTo>
              <a:lnTo>
                <a:pt x="3107145" y="801815"/>
              </a:lnTo>
              <a:lnTo>
                <a:pt x="3060769" y="772820"/>
              </a:lnTo>
              <a:lnTo>
                <a:pt x="3014394" y="781822"/>
              </a:lnTo>
              <a:lnTo>
                <a:pt x="2968019" y="731584"/>
              </a:lnTo>
              <a:lnTo>
                <a:pt x="2921644" y="840961"/>
              </a:lnTo>
              <a:lnTo>
                <a:pt x="2875268" y="964438"/>
              </a:lnTo>
              <a:lnTo>
                <a:pt x="2828893" y="749284"/>
              </a:lnTo>
              <a:lnTo>
                <a:pt x="2782518" y="658902"/>
              </a:lnTo>
              <a:lnTo>
                <a:pt x="2736142" y="390350"/>
              </a:lnTo>
              <a:lnTo>
                <a:pt x="2689767" y="486828"/>
              </a:lnTo>
              <a:lnTo>
                <a:pt x="2643392" y="811431"/>
              </a:lnTo>
              <a:lnTo>
                <a:pt x="2597016" y="870835"/>
              </a:lnTo>
              <a:lnTo>
                <a:pt x="2550641" y="654989"/>
              </a:lnTo>
              <a:lnTo>
                <a:pt x="2504266" y="737367"/>
              </a:lnTo>
              <a:lnTo>
                <a:pt x="2457890" y="777787"/>
              </a:lnTo>
              <a:lnTo>
                <a:pt x="2411515" y="664920"/>
              </a:lnTo>
              <a:lnTo>
                <a:pt x="2365140" y="901414"/>
              </a:lnTo>
              <a:lnTo>
                <a:pt x="2318765" y="772029"/>
              </a:lnTo>
              <a:lnTo>
                <a:pt x="2272389" y="787425"/>
              </a:lnTo>
              <a:lnTo>
                <a:pt x="2226014" y="780764"/>
              </a:lnTo>
              <a:lnTo>
                <a:pt x="2179639" y="954362"/>
              </a:lnTo>
              <a:lnTo>
                <a:pt x="2133264" y="1108501"/>
              </a:lnTo>
              <a:lnTo>
                <a:pt x="2086888" y="908470"/>
              </a:lnTo>
              <a:lnTo>
                <a:pt x="2040513" y="792027"/>
              </a:lnTo>
              <a:lnTo>
                <a:pt x="1994138" y="950254"/>
              </a:lnTo>
              <a:lnTo>
                <a:pt x="1947762" y="792908"/>
              </a:lnTo>
              <a:lnTo>
                <a:pt x="1901387" y="719334"/>
              </a:lnTo>
              <a:lnTo>
                <a:pt x="1855012" y="682761"/>
              </a:lnTo>
              <a:lnTo>
                <a:pt x="1808636" y="1019226"/>
              </a:lnTo>
              <a:lnTo>
                <a:pt x="1762261" y="919387"/>
              </a:lnTo>
              <a:lnTo>
                <a:pt x="1715886" y="780049"/>
              </a:lnTo>
              <a:lnTo>
                <a:pt x="1669510" y="774969"/>
              </a:lnTo>
              <a:lnTo>
                <a:pt x="1623135" y="636036"/>
              </a:lnTo>
              <a:lnTo>
                <a:pt x="1576760" y="891405"/>
              </a:lnTo>
              <a:lnTo>
                <a:pt x="1530385" y="895440"/>
              </a:lnTo>
              <a:lnTo>
                <a:pt x="1484009" y="863059"/>
              </a:lnTo>
              <a:lnTo>
                <a:pt x="1437634" y="851815"/>
              </a:lnTo>
              <a:lnTo>
                <a:pt x="1391259" y="611763"/>
              </a:lnTo>
              <a:lnTo>
                <a:pt x="1344884" y="402013"/>
              </a:lnTo>
              <a:lnTo>
                <a:pt x="1298508" y="424197"/>
              </a:lnTo>
              <a:lnTo>
                <a:pt x="1252133" y="345618"/>
              </a:lnTo>
              <a:lnTo>
                <a:pt x="1205758" y="333656"/>
              </a:lnTo>
              <a:lnTo>
                <a:pt x="1159382" y="442021"/>
              </a:lnTo>
              <a:lnTo>
                <a:pt x="1113007" y="661496"/>
              </a:lnTo>
              <a:lnTo>
                <a:pt x="1066632" y="811701"/>
              </a:lnTo>
              <a:lnTo>
                <a:pt x="1020256" y="830094"/>
              </a:lnTo>
              <a:lnTo>
                <a:pt x="973881" y="1057571"/>
              </a:lnTo>
              <a:lnTo>
                <a:pt x="927506" y="930430"/>
              </a:lnTo>
              <a:lnTo>
                <a:pt x="881131" y="992431"/>
              </a:lnTo>
              <a:lnTo>
                <a:pt x="834755" y="1123820"/>
              </a:lnTo>
              <a:lnTo>
                <a:pt x="788380" y="881297"/>
              </a:lnTo>
              <a:lnTo>
                <a:pt x="742005" y="857572"/>
              </a:lnTo>
              <a:lnTo>
                <a:pt x="695629" y="726998"/>
              </a:lnTo>
              <a:lnTo>
                <a:pt x="649254" y="702111"/>
              </a:lnTo>
              <a:lnTo>
                <a:pt x="602879" y="762916"/>
              </a:lnTo>
              <a:lnTo>
                <a:pt x="556504" y="627831"/>
              </a:lnTo>
              <a:lnTo>
                <a:pt x="510128" y="714691"/>
              </a:lnTo>
              <a:lnTo>
                <a:pt x="463753" y="732692"/>
              </a:lnTo>
              <a:lnTo>
                <a:pt x="417378" y="651853"/>
              </a:lnTo>
              <a:lnTo>
                <a:pt x="371002" y="493460"/>
              </a:lnTo>
              <a:lnTo>
                <a:pt x="324627" y="712478"/>
              </a:lnTo>
              <a:lnTo>
                <a:pt x="278252" y="772398"/>
              </a:lnTo>
              <a:lnTo>
                <a:pt x="231876" y="480475"/>
              </a:lnTo>
              <a:lnTo>
                <a:pt x="185501" y="514071"/>
              </a:lnTo>
              <a:lnTo>
                <a:pt x="139126" y="612045"/>
              </a:lnTo>
              <a:lnTo>
                <a:pt x="92751" y="672353"/>
              </a:lnTo>
              <a:lnTo>
                <a:pt x="46375" y="766566"/>
              </a:lnTo>
              <a:lnTo>
                <a:pt x="0" y="808671"/>
              </a:lnTo>
              <a:lnTo>
                <a:pt x="0" y="874877"/>
              </a:lnTo>
            </a:path>
          </a:pathLst>
        </a:custGeom>
        <a:solidFill xmlns:a="http://schemas.openxmlformats.org/drawingml/2006/main">
          <a:srgbClr val="286489">
            <a:alpha val="44000"/>
          </a:srgbClr>
        </a:solidFill>
        <a:ln xmlns:a="http://schemas.openxmlformats.org/drawingml/2006/main">
          <a:solidFill>
            <a:srgbClr val="FFFFFF"/>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0.06637</cdr:x>
      <cdr:y>0.31555</cdr:y>
    </cdr:from>
    <cdr:to>
      <cdr:x>0.96574</cdr:x>
      <cdr:y>0.78957</cdr:y>
    </cdr:to>
    <cdr:sp macro="" textlink="">
      <cdr:nvSpPr>
        <cdr:cNvPr id="3415" name="$I$4:$T$137|$B$310 4">
          <a:extLst xmlns:a="http://schemas.openxmlformats.org/drawingml/2006/main">
            <a:ext uri="{FF2B5EF4-FFF2-40B4-BE49-F238E27FC236}">
              <a16:creationId xmlns:a16="http://schemas.microsoft.com/office/drawing/2014/main" id="{5349BD61-9579-457F-8346-9BDFBB0B6172}"/>
            </a:ext>
          </a:extLst>
        </cdr:cNvPr>
        <cdr:cNvSpPr/>
      </cdr:nvSpPr>
      <cdr:spPr>
        <a:xfrm xmlns:a="http://schemas.openxmlformats.org/drawingml/2006/main">
          <a:off x="455136" y="801508"/>
          <a:ext cx="6167915" cy="1203991"/>
        </a:xfrm>
        <a:custGeom xmlns:a="http://schemas.openxmlformats.org/drawingml/2006/main">
          <a:avLst/>
          <a:gdLst/>
          <a:ahLst/>
          <a:cxnLst/>
          <a:rect l="0" t="0" r="0" b="0"/>
          <a:pathLst>
            <a:path w="6167915" h="1203991">
              <a:moveTo>
                <a:pt x="12700" y="888841"/>
              </a:moveTo>
              <a:lnTo>
                <a:pt x="46375" y="846736"/>
              </a:lnTo>
              <a:lnTo>
                <a:pt x="92751" y="752523"/>
              </a:lnTo>
              <a:lnTo>
                <a:pt x="139126" y="692215"/>
              </a:lnTo>
              <a:lnTo>
                <a:pt x="185501" y="594241"/>
              </a:lnTo>
              <a:lnTo>
                <a:pt x="231876" y="560645"/>
              </a:lnTo>
              <a:lnTo>
                <a:pt x="278252" y="852568"/>
              </a:lnTo>
              <a:lnTo>
                <a:pt x="324627" y="792648"/>
              </a:lnTo>
              <a:lnTo>
                <a:pt x="371002" y="573630"/>
              </a:lnTo>
              <a:lnTo>
                <a:pt x="417378" y="732023"/>
              </a:lnTo>
              <a:lnTo>
                <a:pt x="463753" y="812862"/>
              </a:lnTo>
              <a:lnTo>
                <a:pt x="510128" y="794861"/>
              </a:lnTo>
              <a:lnTo>
                <a:pt x="556504" y="708001"/>
              </a:lnTo>
              <a:lnTo>
                <a:pt x="602879" y="843086"/>
              </a:lnTo>
              <a:lnTo>
                <a:pt x="649254" y="782281"/>
              </a:lnTo>
              <a:lnTo>
                <a:pt x="695629" y="807168"/>
              </a:lnTo>
              <a:lnTo>
                <a:pt x="742005" y="937742"/>
              </a:lnTo>
              <a:lnTo>
                <a:pt x="788380" y="961467"/>
              </a:lnTo>
              <a:lnTo>
                <a:pt x="834755" y="1203990"/>
              </a:lnTo>
              <a:lnTo>
                <a:pt x="881131" y="1072601"/>
              </a:lnTo>
              <a:lnTo>
                <a:pt x="927506" y="1010600"/>
              </a:lnTo>
              <a:lnTo>
                <a:pt x="973881" y="1137741"/>
              </a:lnTo>
              <a:lnTo>
                <a:pt x="1020256" y="910264"/>
              </a:lnTo>
              <a:lnTo>
                <a:pt x="1066632" y="891871"/>
              </a:lnTo>
              <a:lnTo>
                <a:pt x="1113007" y="741666"/>
              </a:lnTo>
              <a:lnTo>
                <a:pt x="1159382" y="522191"/>
              </a:lnTo>
              <a:lnTo>
                <a:pt x="1205758" y="413826"/>
              </a:lnTo>
              <a:lnTo>
                <a:pt x="1252133" y="425788"/>
              </a:lnTo>
              <a:lnTo>
                <a:pt x="1298508" y="504367"/>
              </a:lnTo>
              <a:lnTo>
                <a:pt x="1344884" y="482183"/>
              </a:lnTo>
              <a:lnTo>
                <a:pt x="1391259" y="691933"/>
              </a:lnTo>
              <a:lnTo>
                <a:pt x="1437634" y="931985"/>
              </a:lnTo>
              <a:lnTo>
                <a:pt x="1484009" y="943229"/>
              </a:lnTo>
              <a:lnTo>
                <a:pt x="1530385" y="975610"/>
              </a:lnTo>
              <a:lnTo>
                <a:pt x="1576760" y="971575"/>
              </a:lnTo>
              <a:lnTo>
                <a:pt x="1623135" y="716206"/>
              </a:lnTo>
              <a:lnTo>
                <a:pt x="1669510" y="855139"/>
              </a:lnTo>
              <a:lnTo>
                <a:pt x="1715886" y="860219"/>
              </a:lnTo>
              <a:lnTo>
                <a:pt x="1762261" y="999557"/>
              </a:lnTo>
              <a:lnTo>
                <a:pt x="1808636" y="1099396"/>
              </a:lnTo>
              <a:lnTo>
                <a:pt x="1855012" y="762931"/>
              </a:lnTo>
              <a:lnTo>
                <a:pt x="1901387" y="799504"/>
              </a:lnTo>
              <a:lnTo>
                <a:pt x="1947762" y="873078"/>
              </a:lnTo>
              <a:lnTo>
                <a:pt x="1994138" y="1030424"/>
              </a:lnTo>
              <a:lnTo>
                <a:pt x="2040513" y="872197"/>
              </a:lnTo>
              <a:lnTo>
                <a:pt x="2086888" y="988640"/>
              </a:lnTo>
              <a:lnTo>
                <a:pt x="2133264" y="1188671"/>
              </a:lnTo>
              <a:lnTo>
                <a:pt x="2179639" y="1034532"/>
              </a:lnTo>
              <a:lnTo>
                <a:pt x="2226014" y="860934"/>
              </a:lnTo>
              <a:lnTo>
                <a:pt x="2272389" y="867595"/>
              </a:lnTo>
              <a:lnTo>
                <a:pt x="2318765" y="852199"/>
              </a:lnTo>
              <a:lnTo>
                <a:pt x="2365140" y="981584"/>
              </a:lnTo>
              <a:lnTo>
                <a:pt x="2411515" y="745090"/>
              </a:lnTo>
              <a:lnTo>
                <a:pt x="2457890" y="857957"/>
              </a:lnTo>
              <a:lnTo>
                <a:pt x="2504266" y="817537"/>
              </a:lnTo>
              <a:lnTo>
                <a:pt x="2550641" y="735159"/>
              </a:lnTo>
              <a:lnTo>
                <a:pt x="2597016" y="951005"/>
              </a:lnTo>
              <a:lnTo>
                <a:pt x="2643392" y="891601"/>
              </a:lnTo>
              <a:lnTo>
                <a:pt x="2689767" y="566998"/>
              </a:lnTo>
              <a:lnTo>
                <a:pt x="2736142" y="470520"/>
              </a:lnTo>
              <a:lnTo>
                <a:pt x="2782518" y="739072"/>
              </a:lnTo>
              <a:lnTo>
                <a:pt x="2828893" y="829454"/>
              </a:lnTo>
              <a:lnTo>
                <a:pt x="2875268" y="1044608"/>
              </a:lnTo>
              <a:lnTo>
                <a:pt x="2921644" y="921131"/>
              </a:lnTo>
              <a:lnTo>
                <a:pt x="2968019" y="811754"/>
              </a:lnTo>
              <a:lnTo>
                <a:pt x="3014394" y="861992"/>
              </a:lnTo>
              <a:lnTo>
                <a:pt x="3060769" y="852990"/>
              </a:lnTo>
              <a:lnTo>
                <a:pt x="3107145" y="881985"/>
              </a:lnTo>
              <a:lnTo>
                <a:pt x="3153520" y="882065"/>
              </a:lnTo>
              <a:lnTo>
                <a:pt x="3199895" y="890957"/>
              </a:lnTo>
              <a:lnTo>
                <a:pt x="3246271" y="749343"/>
              </a:lnTo>
              <a:lnTo>
                <a:pt x="3292646" y="807233"/>
              </a:lnTo>
              <a:lnTo>
                <a:pt x="3339021" y="848566"/>
              </a:lnTo>
              <a:lnTo>
                <a:pt x="3385396" y="870242"/>
              </a:lnTo>
              <a:lnTo>
                <a:pt x="3431772" y="693627"/>
              </a:lnTo>
              <a:lnTo>
                <a:pt x="3478147" y="614099"/>
              </a:lnTo>
              <a:lnTo>
                <a:pt x="3524522" y="669010"/>
              </a:lnTo>
              <a:lnTo>
                <a:pt x="3570898" y="599598"/>
              </a:lnTo>
              <a:lnTo>
                <a:pt x="3617273" y="846022"/>
              </a:lnTo>
              <a:lnTo>
                <a:pt x="3663648" y="733347"/>
              </a:lnTo>
              <a:lnTo>
                <a:pt x="3710023" y="1104968"/>
              </a:lnTo>
              <a:lnTo>
                <a:pt x="3756399" y="912211"/>
              </a:lnTo>
              <a:lnTo>
                <a:pt x="3802774" y="763154"/>
              </a:lnTo>
              <a:lnTo>
                <a:pt x="3849149" y="834770"/>
              </a:lnTo>
              <a:lnTo>
                <a:pt x="3895525" y="813063"/>
              </a:lnTo>
              <a:lnTo>
                <a:pt x="3941900" y="612880"/>
              </a:lnTo>
              <a:lnTo>
                <a:pt x="3988275" y="743050"/>
              </a:lnTo>
              <a:lnTo>
                <a:pt x="4034650" y="683999"/>
              </a:lnTo>
              <a:lnTo>
                <a:pt x="4081026" y="725822"/>
              </a:lnTo>
              <a:lnTo>
                <a:pt x="4127401" y="979211"/>
              </a:lnTo>
              <a:lnTo>
                <a:pt x="4173776" y="959656"/>
              </a:lnTo>
              <a:lnTo>
                <a:pt x="4220151" y="898293"/>
              </a:lnTo>
              <a:lnTo>
                <a:pt x="4266527" y="928299"/>
              </a:lnTo>
              <a:lnTo>
                <a:pt x="4312902" y="830929"/>
              </a:lnTo>
              <a:lnTo>
                <a:pt x="4359277" y="920513"/>
              </a:lnTo>
              <a:lnTo>
                <a:pt x="4405653" y="755723"/>
              </a:lnTo>
              <a:lnTo>
                <a:pt x="4452028" y="955104"/>
              </a:lnTo>
              <a:lnTo>
                <a:pt x="4498404" y="810881"/>
              </a:lnTo>
              <a:lnTo>
                <a:pt x="4544779" y="798874"/>
              </a:lnTo>
              <a:lnTo>
                <a:pt x="4591154" y="854721"/>
              </a:lnTo>
              <a:lnTo>
                <a:pt x="4637530" y="864732"/>
              </a:lnTo>
              <a:lnTo>
                <a:pt x="4683905" y="766089"/>
              </a:lnTo>
              <a:lnTo>
                <a:pt x="4730280" y="518724"/>
              </a:lnTo>
              <a:lnTo>
                <a:pt x="4776655" y="337475"/>
              </a:lnTo>
              <a:lnTo>
                <a:pt x="4823031" y="212485"/>
              </a:lnTo>
              <a:lnTo>
                <a:pt x="4869406" y="400602"/>
              </a:lnTo>
              <a:lnTo>
                <a:pt x="4915781" y="130771"/>
              </a:lnTo>
              <a:lnTo>
                <a:pt x="4962156" y="80170"/>
              </a:lnTo>
              <a:lnTo>
                <a:pt x="5008532" y="401916"/>
              </a:lnTo>
              <a:lnTo>
                <a:pt x="5054907" y="643012"/>
              </a:lnTo>
              <a:lnTo>
                <a:pt x="5101282" y="934581"/>
              </a:lnTo>
              <a:lnTo>
                <a:pt x="5147658" y="788592"/>
              </a:lnTo>
              <a:lnTo>
                <a:pt x="5194033" y="812429"/>
              </a:lnTo>
              <a:lnTo>
                <a:pt x="5240408" y="944739"/>
              </a:lnTo>
              <a:lnTo>
                <a:pt x="5286783" y="902468"/>
              </a:lnTo>
              <a:lnTo>
                <a:pt x="5333159" y="795482"/>
              </a:lnTo>
              <a:lnTo>
                <a:pt x="5379534" y="760743"/>
              </a:lnTo>
              <a:lnTo>
                <a:pt x="5425909" y="918401"/>
              </a:lnTo>
              <a:lnTo>
                <a:pt x="5472285" y="849708"/>
              </a:lnTo>
              <a:lnTo>
                <a:pt x="5518660" y="997201"/>
              </a:lnTo>
              <a:lnTo>
                <a:pt x="5565035" y="995420"/>
              </a:lnTo>
              <a:lnTo>
                <a:pt x="5611410" y="978593"/>
              </a:lnTo>
              <a:lnTo>
                <a:pt x="5657786" y="957952"/>
              </a:lnTo>
              <a:lnTo>
                <a:pt x="5704161" y="937426"/>
              </a:lnTo>
              <a:lnTo>
                <a:pt x="5750536" y="918554"/>
              </a:lnTo>
              <a:lnTo>
                <a:pt x="5796912" y="901882"/>
              </a:lnTo>
              <a:lnTo>
                <a:pt x="5843287" y="887499"/>
              </a:lnTo>
              <a:lnTo>
                <a:pt x="5889662" y="875281"/>
              </a:lnTo>
              <a:lnTo>
                <a:pt x="5936037" y="865013"/>
              </a:lnTo>
              <a:lnTo>
                <a:pt x="5982413" y="856451"/>
              </a:lnTo>
              <a:lnTo>
                <a:pt x="6028788" y="849354"/>
              </a:lnTo>
              <a:lnTo>
                <a:pt x="6075163" y="843497"/>
              </a:lnTo>
              <a:lnTo>
                <a:pt x="6121539" y="838680"/>
              </a:lnTo>
              <a:lnTo>
                <a:pt x="6167914" y="834729"/>
              </a:lnTo>
              <a:lnTo>
                <a:pt x="6167914" y="702598"/>
              </a:lnTo>
              <a:lnTo>
                <a:pt x="6121539" y="706612"/>
              </a:lnTo>
              <a:lnTo>
                <a:pt x="6075163" y="711524"/>
              </a:lnTo>
              <a:lnTo>
                <a:pt x="6028788" y="717525"/>
              </a:lnTo>
              <a:lnTo>
                <a:pt x="5982413" y="724842"/>
              </a:lnTo>
              <a:lnTo>
                <a:pt x="5936037" y="733737"/>
              </a:lnTo>
              <a:lnTo>
                <a:pt x="5889662" y="744514"/>
              </a:lnTo>
              <a:lnTo>
                <a:pt x="5843287" y="757510"/>
              </a:lnTo>
              <a:lnTo>
                <a:pt x="5796912" y="773083"/>
              </a:lnTo>
              <a:lnTo>
                <a:pt x="5750536" y="791582"/>
              </a:lnTo>
              <a:lnTo>
                <a:pt x="5704161" y="813282"/>
              </a:lnTo>
              <a:lnTo>
                <a:pt x="5657786" y="838231"/>
              </a:lnTo>
              <a:lnTo>
                <a:pt x="5611410" y="865921"/>
              </a:lnTo>
              <a:lnTo>
                <a:pt x="5565035" y="894392"/>
              </a:lnTo>
              <a:lnTo>
                <a:pt x="5518660" y="917031"/>
              </a:lnTo>
              <a:lnTo>
                <a:pt x="5472285" y="849708"/>
              </a:lnTo>
              <a:lnTo>
                <a:pt x="5425909" y="838231"/>
              </a:lnTo>
              <a:lnTo>
                <a:pt x="5379534" y="680573"/>
              </a:lnTo>
              <a:lnTo>
                <a:pt x="5333159" y="715312"/>
              </a:lnTo>
              <a:lnTo>
                <a:pt x="5286783" y="822298"/>
              </a:lnTo>
              <a:lnTo>
                <a:pt x="5240408" y="864568"/>
              </a:lnTo>
              <a:lnTo>
                <a:pt x="5194033" y="732259"/>
              </a:lnTo>
              <a:lnTo>
                <a:pt x="5147658" y="708422"/>
              </a:lnTo>
              <a:lnTo>
                <a:pt x="5101282" y="854411"/>
              </a:lnTo>
              <a:lnTo>
                <a:pt x="5054907" y="562842"/>
              </a:lnTo>
              <a:lnTo>
                <a:pt x="5008532" y="321746"/>
              </a:lnTo>
              <a:lnTo>
                <a:pt x="4962156" y="0"/>
              </a:lnTo>
              <a:lnTo>
                <a:pt x="4915781" y="50601"/>
              </a:lnTo>
              <a:lnTo>
                <a:pt x="4869406" y="320432"/>
              </a:lnTo>
              <a:lnTo>
                <a:pt x="4823031" y="132315"/>
              </a:lnTo>
              <a:lnTo>
                <a:pt x="4776655" y="257305"/>
              </a:lnTo>
              <a:lnTo>
                <a:pt x="4730280" y="438554"/>
              </a:lnTo>
              <a:lnTo>
                <a:pt x="4683905" y="685919"/>
              </a:lnTo>
              <a:lnTo>
                <a:pt x="4637530" y="784562"/>
              </a:lnTo>
              <a:lnTo>
                <a:pt x="4591154" y="774551"/>
              </a:lnTo>
              <a:lnTo>
                <a:pt x="4544779" y="718704"/>
              </a:lnTo>
              <a:lnTo>
                <a:pt x="4498404" y="730711"/>
              </a:lnTo>
              <a:lnTo>
                <a:pt x="4452028" y="874934"/>
              </a:lnTo>
              <a:lnTo>
                <a:pt x="4405653" y="675552"/>
              </a:lnTo>
              <a:lnTo>
                <a:pt x="4359277" y="840343"/>
              </a:lnTo>
              <a:lnTo>
                <a:pt x="4312902" y="750759"/>
              </a:lnTo>
              <a:lnTo>
                <a:pt x="4266527" y="848129"/>
              </a:lnTo>
              <a:lnTo>
                <a:pt x="4220151" y="818123"/>
              </a:lnTo>
              <a:lnTo>
                <a:pt x="4173776" y="879486"/>
              </a:lnTo>
              <a:lnTo>
                <a:pt x="4127401" y="899041"/>
              </a:lnTo>
              <a:lnTo>
                <a:pt x="4081026" y="645652"/>
              </a:lnTo>
              <a:lnTo>
                <a:pt x="4034650" y="603829"/>
              </a:lnTo>
              <a:lnTo>
                <a:pt x="3988275" y="662880"/>
              </a:lnTo>
              <a:lnTo>
                <a:pt x="3941900" y="532710"/>
              </a:lnTo>
              <a:lnTo>
                <a:pt x="3895525" y="732892"/>
              </a:lnTo>
              <a:lnTo>
                <a:pt x="3849149" y="754600"/>
              </a:lnTo>
              <a:lnTo>
                <a:pt x="3802774" y="682983"/>
              </a:lnTo>
              <a:lnTo>
                <a:pt x="3756399" y="832041"/>
              </a:lnTo>
              <a:lnTo>
                <a:pt x="3710023" y="1024798"/>
              </a:lnTo>
              <a:lnTo>
                <a:pt x="3663648" y="653177"/>
              </a:lnTo>
              <a:lnTo>
                <a:pt x="3617273" y="765852"/>
              </a:lnTo>
              <a:lnTo>
                <a:pt x="3570898" y="519428"/>
              </a:lnTo>
              <a:lnTo>
                <a:pt x="3524522" y="588839"/>
              </a:lnTo>
              <a:lnTo>
                <a:pt x="3478147" y="533929"/>
              </a:lnTo>
              <a:lnTo>
                <a:pt x="3431772" y="613457"/>
              </a:lnTo>
              <a:lnTo>
                <a:pt x="3385396" y="790072"/>
              </a:lnTo>
              <a:lnTo>
                <a:pt x="3339021" y="768396"/>
              </a:lnTo>
              <a:lnTo>
                <a:pt x="3292646" y="727062"/>
              </a:lnTo>
              <a:lnTo>
                <a:pt x="3246271" y="669172"/>
              </a:lnTo>
              <a:lnTo>
                <a:pt x="3199895" y="810787"/>
              </a:lnTo>
              <a:lnTo>
                <a:pt x="3153520" y="801895"/>
              </a:lnTo>
              <a:lnTo>
                <a:pt x="3107145" y="801815"/>
              </a:lnTo>
              <a:lnTo>
                <a:pt x="3060769" y="772820"/>
              </a:lnTo>
              <a:lnTo>
                <a:pt x="3014394" y="781822"/>
              </a:lnTo>
              <a:lnTo>
                <a:pt x="2968019" y="731583"/>
              </a:lnTo>
              <a:lnTo>
                <a:pt x="2921644" y="840961"/>
              </a:lnTo>
              <a:lnTo>
                <a:pt x="2875268" y="964438"/>
              </a:lnTo>
              <a:lnTo>
                <a:pt x="2828893" y="749284"/>
              </a:lnTo>
              <a:lnTo>
                <a:pt x="2782518" y="658902"/>
              </a:lnTo>
              <a:lnTo>
                <a:pt x="2736142" y="390350"/>
              </a:lnTo>
              <a:lnTo>
                <a:pt x="2689767" y="486828"/>
              </a:lnTo>
              <a:lnTo>
                <a:pt x="2643392" y="811430"/>
              </a:lnTo>
              <a:lnTo>
                <a:pt x="2597016" y="870835"/>
              </a:lnTo>
              <a:lnTo>
                <a:pt x="2550641" y="654989"/>
              </a:lnTo>
              <a:lnTo>
                <a:pt x="2504266" y="737367"/>
              </a:lnTo>
              <a:lnTo>
                <a:pt x="2457890" y="777787"/>
              </a:lnTo>
              <a:lnTo>
                <a:pt x="2411515" y="664920"/>
              </a:lnTo>
              <a:lnTo>
                <a:pt x="2365140" y="901414"/>
              </a:lnTo>
              <a:lnTo>
                <a:pt x="2318765" y="772029"/>
              </a:lnTo>
              <a:lnTo>
                <a:pt x="2272389" y="787425"/>
              </a:lnTo>
              <a:lnTo>
                <a:pt x="2226014" y="780764"/>
              </a:lnTo>
              <a:lnTo>
                <a:pt x="2179639" y="954362"/>
              </a:lnTo>
              <a:lnTo>
                <a:pt x="2133264" y="1108500"/>
              </a:lnTo>
              <a:lnTo>
                <a:pt x="2086888" y="908469"/>
              </a:lnTo>
              <a:lnTo>
                <a:pt x="2040513" y="792027"/>
              </a:lnTo>
              <a:lnTo>
                <a:pt x="1994138" y="950254"/>
              </a:lnTo>
              <a:lnTo>
                <a:pt x="1947762" y="792908"/>
              </a:lnTo>
              <a:lnTo>
                <a:pt x="1901387" y="719333"/>
              </a:lnTo>
              <a:lnTo>
                <a:pt x="1855012" y="682761"/>
              </a:lnTo>
              <a:lnTo>
                <a:pt x="1808636" y="1019226"/>
              </a:lnTo>
              <a:lnTo>
                <a:pt x="1762261" y="919387"/>
              </a:lnTo>
              <a:lnTo>
                <a:pt x="1715886" y="780049"/>
              </a:lnTo>
              <a:lnTo>
                <a:pt x="1669510" y="774969"/>
              </a:lnTo>
              <a:lnTo>
                <a:pt x="1623135" y="636036"/>
              </a:lnTo>
              <a:lnTo>
                <a:pt x="1576760" y="891405"/>
              </a:lnTo>
              <a:lnTo>
                <a:pt x="1530385" y="895440"/>
              </a:lnTo>
              <a:lnTo>
                <a:pt x="1484009" y="863058"/>
              </a:lnTo>
              <a:lnTo>
                <a:pt x="1437634" y="851815"/>
              </a:lnTo>
              <a:lnTo>
                <a:pt x="1391259" y="611763"/>
              </a:lnTo>
              <a:lnTo>
                <a:pt x="1344884" y="402012"/>
              </a:lnTo>
              <a:lnTo>
                <a:pt x="1298508" y="424197"/>
              </a:lnTo>
              <a:lnTo>
                <a:pt x="1252133" y="345618"/>
              </a:lnTo>
              <a:lnTo>
                <a:pt x="1205758" y="333656"/>
              </a:lnTo>
              <a:lnTo>
                <a:pt x="1159382" y="442021"/>
              </a:lnTo>
              <a:lnTo>
                <a:pt x="1113007" y="661496"/>
              </a:lnTo>
              <a:lnTo>
                <a:pt x="1066632" y="811701"/>
              </a:lnTo>
              <a:lnTo>
                <a:pt x="1020256" y="830094"/>
              </a:lnTo>
              <a:lnTo>
                <a:pt x="973881" y="1057571"/>
              </a:lnTo>
              <a:lnTo>
                <a:pt x="927506" y="930430"/>
              </a:lnTo>
              <a:lnTo>
                <a:pt x="881131" y="992431"/>
              </a:lnTo>
              <a:lnTo>
                <a:pt x="834755" y="1123820"/>
              </a:lnTo>
              <a:lnTo>
                <a:pt x="788380" y="881297"/>
              </a:lnTo>
              <a:lnTo>
                <a:pt x="742005" y="857572"/>
              </a:lnTo>
              <a:lnTo>
                <a:pt x="695629" y="726997"/>
              </a:lnTo>
              <a:lnTo>
                <a:pt x="649254" y="702111"/>
              </a:lnTo>
              <a:lnTo>
                <a:pt x="602879" y="762916"/>
              </a:lnTo>
              <a:lnTo>
                <a:pt x="556504" y="627831"/>
              </a:lnTo>
              <a:lnTo>
                <a:pt x="510128" y="714691"/>
              </a:lnTo>
              <a:lnTo>
                <a:pt x="463753" y="732692"/>
              </a:lnTo>
              <a:lnTo>
                <a:pt x="417378" y="651853"/>
              </a:lnTo>
              <a:lnTo>
                <a:pt x="371002" y="493460"/>
              </a:lnTo>
              <a:lnTo>
                <a:pt x="324627" y="712478"/>
              </a:lnTo>
              <a:lnTo>
                <a:pt x="278252" y="772398"/>
              </a:lnTo>
              <a:lnTo>
                <a:pt x="231876" y="480474"/>
              </a:lnTo>
              <a:lnTo>
                <a:pt x="185501" y="514071"/>
              </a:lnTo>
              <a:lnTo>
                <a:pt x="139126" y="612045"/>
              </a:lnTo>
              <a:lnTo>
                <a:pt x="92751" y="672353"/>
              </a:lnTo>
              <a:lnTo>
                <a:pt x="46375" y="766565"/>
              </a:lnTo>
              <a:lnTo>
                <a:pt x="0" y="808671"/>
              </a:lnTo>
              <a:lnTo>
                <a:pt x="0" y="888841"/>
              </a:lnTo>
            </a:path>
          </a:pathLst>
        </a:custGeom>
        <a:solidFill xmlns:a="http://schemas.openxmlformats.org/drawingml/2006/main">
          <a:srgbClr val="2473B1">
            <a:alpha val="56000"/>
          </a:srgbClr>
        </a:solidFill>
        <a:ln xmlns:a="http://schemas.openxmlformats.org/drawingml/2006/main">
          <a:solidFill>
            <a:srgbClr val="FFFFFF"/>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0.06637</cdr:x>
      <cdr:y>0.27335</cdr:y>
    </cdr:from>
    <cdr:to>
      <cdr:x>0.96574</cdr:x>
      <cdr:y>0.758</cdr:y>
    </cdr:to>
    <cdr:sp macro="" textlink="">
      <cdr:nvSpPr>
        <cdr:cNvPr id="3416" name="$I$4:$T$137|$B$310 5">
          <a:extLst xmlns:a="http://schemas.openxmlformats.org/drawingml/2006/main">
            <a:ext uri="{FF2B5EF4-FFF2-40B4-BE49-F238E27FC236}">
              <a16:creationId xmlns:a16="http://schemas.microsoft.com/office/drawing/2014/main" id="{A8CA18C3-E424-4346-9935-529589858B74}"/>
            </a:ext>
          </a:extLst>
        </cdr:cNvPr>
        <cdr:cNvSpPr/>
      </cdr:nvSpPr>
      <cdr:spPr>
        <a:xfrm xmlns:a="http://schemas.openxmlformats.org/drawingml/2006/main">
          <a:off x="455136" y="694304"/>
          <a:ext cx="6167915" cy="1231025"/>
        </a:xfrm>
        <a:custGeom xmlns:a="http://schemas.openxmlformats.org/drawingml/2006/main">
          <a:avLst/>
          <a:gdLst/>
          <a:ahLst/>
          <a:cxnLst/>
          <a:rect l="0" t="0" r="0" b="0"/>
          <a:pathLst>
            <a:path w="6167915" h="1231025">
              <a:moveTo>
                <a:pt x="12700" y="915875"/>
              </a:moveTo>
              <a:lnTo>
                <a:pt x="46375" y="873769"/>
              </a:lnTo>
              <a:lnTo>
                <a:pt x="92751" y="779557"/>
              </a:lnTo>
              <a:lnTo>
                <a:pt x="139126" y="719249"/>
              </a:lnTo>
              <a:lnTo>
                <a:pt x="185501" y="621275"/>
              </a:lnTo>
              <a:lnTo>
                <a:pt x="231876" y="587678"/>
              </a:lnTo>
              <a:lnTo>
                <a:pt x="278252" y="879602"/>
              </a:lnTo>
              <a:lnTo>
                <a:pt x="324627" y="819682"/>
              </a:lnTo>
              <a:lnTo>
                <a:pt x="371002" y="600664"/>
              </a:lnTo>
              <a:lnTo>
                <a:pt x="417378" y="759057"/>
              </a:lnTo>
              <a:lnTo>
                <a:pt x="463753" y="839896"/>
              </a:lnTo>
              <a:lnTo>
                <a:pt x="510128" y="821895"/>
              </a:lnTo>
              <a:lnTo>
                <a:pt x="556504" y="735035"/>
              </a:lnTo>
              <a:lnTo>
                <a:pt x="602879" y="870120"/>
              </a:lnTo>
              <a:lnTo>
                <a:pt x="649254" y="809315"/>
              </a:lnTo>
              <a:lnTo>
                <a:pt x="695629" y="834201"/>
              </a:lnTo>
              <a:lnTo>
                <a:pt x="742005" y="964776"/>
              </a:lnTo>
              <a:lnTo>
                <a:pt x="788380" y="988501"/>
              </a:lnTo>
              <a:lnTo>
                <a:pt x="834755" y="1231024"/>
              </a:lnTo>
              <a:lnTo>
                <a:pt x="881131" y="1099635"/>
              </a:lnTo>
              <a:lnTo>
                <a:pt x="927506" y="1037634"/>
              </a:lnTo>
              <a:lnTo>
                <a:pt x="973881" y="1164775"/>
              </a:lnTo>
              <a:lnTo>
                <a:pt x="1020256" y="937298"/>
              </a:lnTo>
              <a:lnTo>
                <a:pt x="1066632" y="918905"/>
              </a:lnTo>
              <a:lnTo>
                <a:pt x="1113007" y="768700"/>
              </a:lnTo>
              <a:lnTo>
                <a:pt x="1159382" y="549225"/>
              </a:lnTo>
              <a:lnTo>
                <a:pt x="1205758" y="440860"/>
              </a:lnTo>
              <a:lnTo>
                <a:pt x="1252133" y="452822"/>
              </a:lnTo>
              <a:lnTo>
                <a:pt x="1298508" y="531401"/>
              </a:lnTo>
              <a:lnTo>
                <a:pt x="1344884" y="509216"/>
              </a:lnTo>
              <a:lnTo>
                <a:pt x="1391259" y="718967"/>
              </a:lnTo>
              <a:lnTo>
                <a:pt x="1437634" y="959019"/>
              </a:lnTo>
              <a:lnTo>
                <a:pt x="1484009" y="970262"/>
              </a:lnTo>
              <a:lnTo>
                <a:pt x="1530385" y="1002644"/>
              </a:lnTo>
              <a:lnTo>
                <a:pt x="1576760" y="998609"/>
              </a:lnTo>
              <a:lnTo>
                <a:pt x="1623135" y="743240"/>
              </a:lnTo>
              <a:lnTo>
                <a:pt x="1669510" y="882173"/>
              </a:lnTo>
              <a:lnTo>
                <a:pt x="1715886" y="887253"/>
              </a:lnTo>
              <a:lnTo>
                <a:pt x="1762261" y="1026591"/>
              </a:lnTo>
              <a:lnTo>
                <a:pt x="1808636" y="1126430"/>
              </a:lnTo>
              <a:lnTo>
                <a:pt x="1855012" y="789965"/>
              </a:lnTo>
              <a:lnTo>
                <a:pt x="1901387" y="826537"/>
              </a:lnTo>
              <a:lnTo>
                <a:pt x="1947762" y="900112"/>
              </a:lnTo>
              <a:lnTo>
                <a:pt x="1994138" y="1057458"/>
              </a:lnTo>
              <a:lnTo>
                <a:pt x="2040513" y="899231"/>
              </a:lnTo>
              <a:lnTo>
                <a:pt x="2086888" y="1015673"/>
              </a:lnTo>
              <a:lnTo>
                <a:pt x="2133264" y="1215704"/>
              </a:lnTo>
              <a:lnTo>
                <a:pt x="2179639" y="1061566"/>
              </a:lnTo>
              <a:lnTo>
                <a:pt x="2226014" y="887968"/>
              </a:lnTo>
              <a:lnTo>
                <a:pt x="2272389" y="894629"/>
              </a:lnTo>
              <a:lnTo>
                <a:pt x="2318765" y="879233"/>
              </a:lnTo>
              <a:lnTo>
                <a:pt x="2365140" y="1008618"/>
              </a:lnTo>
              <a:lnTo>
                <a:pt x="2411515" y="772124"/>
              </a:lnTo>
              <a:lnTo>
                <a:pt x="2457890" y="884991"/>
              </a:lnTo>
              <a:lnTo>
                <a:pt x="2504266" y="844571"/>
              </a:lnTo>
              <a:lnTo>
                <a:pt x="2550641" y="762193"/>
              </a:lnTo>
              <a:lnTo>
                <a:pt x="2597016" y="978039"/>
              </a:lnTo>
              <a:lnTo>
                <a:pt x="2643392" y="918634"/>
              </a:lnTo>
              <a:lnTo>
                <a:pt x="2689767" y="594032"/>
              </a:lnTo>
              <a:lnTo>
                <a:pt x="2736142" y="497554"/>
              </a:lnTo>
              <a:lnTo>
                <a:pt x="2782518" y="766106"/>
              </a:lnTo>
              <a:lnTo>
                <a:pt x="2828893" y="856488"/>
              </a:lnTo>
              <a:lnTo>
                <a:pt x="2875268" y="1071642"/>
              </a:lnTo>
              <a:lnTo>
                <a:pt x="2921644" y="948165"/>
              </a:lnTo>
              <a:lnTo>
                <a:pt x="2968019" y="838787"/>
              </a:lnTo>
              <a:lnTo>
                <a:pt x="3014394" y="889026"/>
              </a:lnTo>
              <a:lnTo>
                <a:pt x="3060769" y="880024"/>
              </a:lnTo>
              <a:lnTo>
                <a:pt x="3107145" y="909019"/>
              </a:lnTo>
              <a:lnTo>
                <a:pt x="3153520" y="909099"/>
              </a:lnTo>
              <a:lnTo>
                <a:pt x="3199895" y="917991"/>
              </a:lnTo>
              <a:lnTo>
                <a:pt x="3246271" y="776376"/>
              </a:lnTo>
              <a:lnTo>
                <a:pt x="3292646" y="834266"/>
              </a:lnTo>
              <a:lnTo>
                <a:pt x="3339021" y="875600"/>
              </a:lnTo>
              <a:lnTo>
                <a:pt x="3385396" y="897276"/>
              </a:lnTo>
              <a:lnTo>
                <a:pt x="3431772" y="720661"/>
              </a:lnTo>
              <a:lnTo>
                <a:pt x="3478147" y="641133"/>
              </a:lnTo>
              <a:lnTo>
                <a:pt x="3524522" y="696043"/>
              </a:lnTo>
              <a:lnTo>
                <a:pt x="3570898" y="626632"/>
              </a:lnTo>
              <a:lnTo>
                <a:pt x="3617273" y="873056"/>
              </a:lnTo>
              <a:lnTo>
                <a:pt x="3663648" y="760381"/>
              </a:lnTo>
              <a:lnTo>
                <a:pt x="3710023" y="1132002"/>
              </a:lnTo>
              <a:lnTo>
                <a:pt x="3756399" y="939245"/>
              </a:lnTo>
              <a:lnTo>
                <a:pt x="3802774" y="790187"/>
              </a:lnTo>
              <a:lnTo>
                <a:pt x="3849149" y="861804"/>
              </a:lnTo>
              <a:lnTo>
                <a:pt x="3895525" y="840096"/>
              </a:lnTo>
              <a:lnTo>
                <a:pt x="3941900" y="639914"/>
              </a:lnTo>
              <a:lnTo>
                <a:pt x="3988275" y="770084"/>
              </a:lnTo>
              <a:lnTo>
                <a:pt x="4034650" y="711033"/>
              </a:lnTo>
              <a:lnTo>
                <a:pt x="4081026" y="752856"/>
              </a:lnTo>
              <a:lnTo>
                <a:pt x="4127401" y="1006245"/>
              </a:lnTo>
              <a:lnTo>
                <a:pt x="4173776" y="986690"/>
              </a:lnTo>
              <a:lnTo>
                <a:pt x="4220151" y="925327"/>
              </a:lnTo>
              <a:lnTo>
                <a:pt x="4266527" y="955333"/>
              </a:lnTo>
              <a:lnTo>
                <a:pt x="4312902" y="857963"/>
              </a:lnTo>
              <a:lnTo>
                <a:pt x="4359277" y="947547"/>
              </a:lnTo>
              <a:lnTo>
                <a:pt x="4405653" y="782756"/>
              </a:lnTo>
              <a:lnTo>
                <a:pt x="4452028" y="982138"/>
              </a:lnTo>
              <a:lnTo>
                <a:pt x="4498404" y="837915"/>
              </a:lnTo>
              <a:lnTo>
                <a:pt x="4544779" y="825908"/>
              </a:lnTo>
              <a:lnTo>
                <a:pt x="4591154" y="881755"/>
              </a:lnTo>
              <a:lnTo>
                <a:pt x="4637530" y="891766"/>
              </a:lnTo>
              <a:lnTo>
                <a:pt x="4683905" y="793123"/>
              </a:lnTo>
              <a:lnTo>
                <a:pt x="4730280" y="545758"/>
              </a:lnTo>
              <a:lnTo>
                <a:pt x="4776655" y="364509"/>
              </a:lnTo>
              <a:lnTo>
                <a:pt x="4823031" y="239519"/>
              </a:lnTo>
              <a:lnTo>
                <a:pt x="4869406" y="427636"/>
              </a:lnTo>
              <a:lnTo>
                <a:pt x="4915781" y="157805"/>
              </a:lnTo>
              <a:lnTo>
                <a:pt x="4962156" y="107204"/>
              </a:lnTo>
              <a:lnTo>
                <a:pt x="5008532" y="428950"/>
              </a:lnTo>
              <a:lnTo>
                <a:pt x="5054907" y="670046"/>
              </a:lnTo>
              <a:lnTo>
                <a:pt x="5101282" y="961615"/>
              </a:lnTo>
              <a:lnTo>
                <a:pt x="5147658" y="815626"/>
              </a:lnTo>
              <a:lnTo>
                <a:pt x="5194033" y="839463"/>
              </a:lnTo>
              <a:lnTo>
                <a:pt x="5240408" y="971772"/>
              </a:lnTo>
              <a:lnTo>
                <a:pt x="5286783" y="929502"/>
              </a:lnTo>
              <a:lnTo>
                <a:pt x="5333159" y="822516"/>
              </a:lnTo>
              <a:lnTo>
                <a:pt x="5379534" y="787777"/>
              </a:lnTo>
              <a:lnTo>
                <a:pt x="5425909" y="945435"/>
              </a:lnTo>
              <a:lnTo>
                <a:pt x="5472285" y="956912"/>
              </a:lnTo>
              <a:lnTo>
                <a:pt x="5518660" y="1024235"/>
              </a:lnTo>
              <a:lnTo>
                <a:pt x="5565035" y="1001596"/>
              </a:lnTo>
              <a:lnTo>
                <a:pt x="5611410" y="973125"/>
              </a:lnTo>
              <a:lnTo>
                <a:pt x="5657786" y="945435"/>
              </a:lnTo>
              <a:lnTo>
                <a:pt x="5704161" y="920486"/>
              </a:lnTo>
              <a:lnTo>
                <a:pt x="5750536" y="898786"/>
              </a:lnTo>
              <a:lnTo>
                <a:pt x="5796912" y="880287"/>
              </a:lnTo>
              <a:lnTo>
                <a:pt x="5843287" y="864714"/>
              </a:lnTo>
              <a:lnTo>
                <a:pt x="5889662" y="851718"/>
              </a:lnTo>
              <a:lnTo>
                <a:pt x="5936037" y="840941"/>
              </a:lnTo>
              <a:lnTo>
                <a:pt x="5982413" y="832046"/>
              </a:lnTo>
              <a:lnTo>
                <a:pt x="6028788" y="824729"/>
              </a:lnTo>
              <a:lnTo>
                <a:pt x="6075163" y="818728"/>
              </a:lnTo>
              <a:lnTo>
                <a:pt x="6121539" y="813816"/>
              </a:lnTo>
              <a:lnTo>
                <a:pt x="6167914" y="809802"/>
              </a:lnTo>
              <a:lnTo>
                <a:pt x="6167914" y="633117"/>
              </a:lnTo>
              <a:lnTo>
                <a:pt x="6121539" y="637214"/>
              </a:lnTo>
              <a:lnTo>
                <a:pt x="6075163" y="642252"/>
              </a:lnTo>
              <a:lnTo>
                <a:pt x="6028788" y="648447"/>
              </a:lnTo>
              <a:lnTo>
                <a:pt x="5982413" y="656057"/>
              </a:lnTo>
              <a:lnTo>
                <a:pt x="5936037" y="665400"/>
              </a:lnTo>
              <a:lnTo>
                <a:pt x="5889662" y="676857"/>
              </a:lnTo>
              <a:lnTo>
                <a:pt x="5843287" y="690892"/>
              </a:lnTo>
              <a:lnTo>
                <a:pt x="5796912" y="708055"/>
              </a:lnTo>
              <a:lnTo>
                <a:pt x="5750536" y="729000"/>
              </a:lnTo>
              <a:lnTo>
                <a:pt x="5704161" y="754481"/>
              </a:lnTo>
              <a:lnTo>
                <a:pt x="5657786" y="785344"/>
              </a:lnTo>
              <a:lnTo>
                <a:pt x="5611410" y="822461"/>
              </a:lnTo>
              <a:lnTo>
                <a:pt x="5565035" y="866502"/>
              </a:lnTo>
              <a:lnTo>
                <a:pt x="5518660" y="917032"/>
              </a:lnTo>
              <a:lnTo>
                <a:pt x="5472285" y="956912"/>
              </a:lnTo>
              <a:lnTo>
                <a:pt x="5425909" y="838231"/>
              </a:lnTo>
              <a:lnTo>
                <a:pt x="5379534" y="680574"/>
              </a:lnTo>
              <a:lnTo>
                <a:pt x="5333159" y="715313"/>
              </a:lnTo>
              <a:lnTo>
                <a:pt x="5286783" y="822298"/>
              </a:lnTo>
              <a:lnTo>
                <a:pt x="5240408" y="864569"/>
              </a:lnTo>
              <a:lnTo>
                <a:pt x="5194033" y="732260"/>
              </a:lnTo>
              <a:lnTo>
                <a:pt x="5147658" y="708422"/>
              </a:lnTo>
              <a:lnTo>
                <a:pt x="5101282" y="854411"/>
              </a:lnTo>
              <a:lnTo>
                <a:pt x="5054907" y="562843"/>
              </a:lnTo>
              <a:lnTo>
                <a:pt x="5008532" y="321746"/>
              </a:lnTo>
              <a:lnTo>
                <a:pt x="4962156" y="0"/>
              </a:lnTo>
              <a:lnTo>
                <a:pt x="4915781" y="50602"/>
              </a:lnTo>
              <a:lnTo>
                <a:pt x="4869406" y="320433"/>
              </a:lnTo>
              <a:lnTo>
                <a:pt x="4823031" y="132316"/>
              </a:lnTo>
              <a:lnTo>
                <a:pt x="4776655" y="257306"/>
              </a:lnTo>
              <a:lnTo>
                <a:pt x="4730280" y="438555"/>
              </a:lnTo>
              <a:lnTo>
                <a:pt x="4683905" y="685919"/>
              </a:lnTo>
              <a:lnTo>
                <a:pt x="4637530" y="784563"/>
              </a:lnTo>
              <a:lnTo>
                <a:pt x="4591154" y="774551"/>
              </a:lnTo>
              <a:lnTo>
                <a:pt x="4544779" y="718705"/>
              </a:lnTo>
              <a:lnTo>
                <a:pt x="4498404" y="730712"/>
              </a:lnTo>
              <a:lnTo>
                <a:pt x="4452028" y="874935"/>
              </a:lnTo>
              <a:lnTo>
                <a:pt x="4405653" y="675553"/>
              </a:lnTo>
              <a:lnTo>
                <a:pt x="4359277" y="840344"/>
              </a:lnTo>
              <a:lnTo>
                <a:pt x="4312902" y="750760"/>
              </a:lnTo>
              <a:lnTo>
                <a:pt x="4266527" y="848130"/>
              </a:lnTo>
              <a:lnTo>
                <a:pt x="4220151" y="818124"/>
              </a:lnTo>
              <a:lnTo>
                <a:pt x="4173776" y="879487"/>
              </a:lnTo>
              <a:lnTo>
                <a:pt x="4127401" y="899042"/>
              </a:lnTo>
              <a:lnTo>
                <a:pt x="4081026" y="645652"/>
              </a:lnTo>
              <a:lnTo>
                <a:pt x="4034650" y="603830"/>
              </a:lnTo>
              <a:lnTo>
                <a:pt x="3988275" y="662881"/>
              </a:lnTo>
              <a:lnTo>
                <a:pt x="3941900" y="532711"/>
              </a:lnTo>
              <a:lnTo>
                <a:pt x="3895525" y="732893"/>
              </a:lnTo>
              <a:lnTo>
                <a:pt x="3849149" y="754601"/>
              </a:lnTo>
              <a:lnTo>
                <a:pt x="3802774" y="682984"/>
              </a:lnTo>
              <a:lnTo>
                <a:pt x="3756399" y="832041"/>
              </a:lnTo>
              <a:lnTo>
                <a:pt x="3710023" y="1024798"/>
              </a:lnTo>
              <a:lnTo>
                <a:pt x="3663648" y="653178"/>
              </a:lnTo>
              <a:lnTo>
                <a:pt x="3617273" y="765853"/>
              </a:lnTo>
              <a:lnTo>
                <a:pt x="3570898" y="519429"/>
              </a:lnTo>
              <a:lnTo>
                <a:pt x="3524522" y="588840"/>
              </a:lnTo>
              <a:lnTo>
                <a:pt x="3478147" y="533930"/>
              </a:lnTo>
              <a:lnTo>
                <a:pt x="3431772" y="613457"/>
              </a:lnTo>
              <a:lnTo>
                <a:pt x="3385396" y="790073"/>
              </a:lnTo>
              <a:lnTo>
                <a:pt x="3339021" y="768396"/>
              </a:lnTo>
              <a:lnTo>
                <a:pt x="3292646" y="727063"/>
              </a:lnTo>
              <a:lnTo>
                <a:pt x="3246271" y="669173"/>
              </a:lnTo>
              <a:lnTo>
                <a:pt x="3199895" y="810788"/>
              </a:lnTo>
              <a:lnTo>
                <a:pt x="3153520" y="801896"/>
              </a:lnTo>
              <a:lnTo>
                <a:pt x="3107145" y="801815"/>
              </a:lnTo>
              <a:lnTo>
                <a:pt x="3060769" y="772821"/>
              </a:lnTo>
              <a:lnTo>
                <a:pt x="3014394" y="781823"/>
              </a:lnTo>
              <a:lnTo>
                <a:pt x="2968019" y="731584"/>
              </a:lnTo>
              <a:lnTo>
                <a:pt x="2921644" y="840961"/>
              </a:lnTo>
              <a:lnTo>
                <a:pt x="2875268" y="964438"/>
              </a:lnTo>
              <a:lnTo>
                <a:pt x="2828893" y="749285"/>
              </a:lnTo>
              <a:lnTo>
                <a:pt x="2782518" y="658903"/>
              </a:lnTo>
              <a:lnTo>
                <a:pt x="2736142" y="390351"/>
              </a:lnTo>
              <a:lnTo>
                <a:pt x="2689767" y="486829"/>
              </a:lnTo>
              <a:lnTo>
                <a:pt x="2643392" y="811431"/>
              </a:lnTo>
              <a:lnTo>
                <a:pt x="2597016" y="870836"/>
              </a:lnTo>
              <a:lnTo>
                <a:pt x="2550641" y="654990"/>
              </a:lnTo>
              <a:lnTo>
                <a:pt x="2504266" y="737367"/>
              </a:lnTo>
              <a:lnTo>
                <a:pt x="2457890" y="777788"/>
              </a:lnTo>
              <a:lnTo>
                <a:pt x="2411515" y="664920"/>
              </a:lnTo>
              <a:lnTo>
                <a:pt x="2365140" y="901414"/>
              </a:lnTo>
              <a:lnTo>
                <a:pt x="2318765" y="772030"/>
              </a:lnTo>
              <a:lnTo>
                <a:pt x="2272389" y="787426"/>
              </a:lnTo>
              <a:lnTo>
                <a:pt x="2226014" y="780764"/>
              </a:lnTo>
              <a:lnTo>
                <a:pt x="2179639" y="954362"/>
              </a:lnTo>
              <a:lnTo>
                <a:pt x="2133264" y="1108501"/>
              </a:lnTo>
              <a:lnTo>
                <a:pt x="2086888" y="908470"/>
              </a:lnTo>
              <a:lnTo>
                <a:pt x="2040513" y="792027"/>
              </a:lnTo>
              <a:lnTo>
                <a:pt x="1994138" y="950255"/>
              </a:lnTo>
              <a:lnTo>
                <a:pt x="1947762" y="792908"/>
              </a:lnTo>
              <a:lnTo>
                <a:pt x="1901387" y="719334"/>
              </a:lnTo>
              <a:lnTo>
                <a:pt x="1855012" y="682762"/>
              </a:lnTo>
              <a:lnTo>
                <a:pt x="1808636" y="1019227"/>
              </a:lnTo>
              <a:lnTo>
                <a:pt x="1762261" y="919388"/>
              </a:lnTo>
              <a:lnTo>
                <a:pt x="1715886" y="780050"/>
              </a:lnTo>
              <a:lnTo>
                <a:pt x="1669510" y="774970"/>
              </a:lnTo>
              <a:lnTo>
                <a:pt x="1623135" y="636037"/>
              </a:lnTo>
              <a:lnTo>
                <a:pt x="1576760" y="891405"/>
              </a:lnTo>
              <a:lnTo>
                <a:pt x="1530385" y="895441"/>
              </a:lnTo>
              <a:lnTo>
                <a:pt x="1484009" y="863059"/>
              </a:lnTo>
              <a:lnTo>
                <a:pt x="1437634" y="851816"/>
              </a:lnTo>
              <a:lnTo>
                <a:pt x="1391259" y="611763"/>
              </a:lnTo>
              <a:lnTo>
                <a:pt x="1344884" y="402013"/>
              </a:lnTo>
              <a:lnTo>
                <a:pt x="1298508" y="424197"/>
              </a:lnTo>
              <a:lnTo>
                <a:pt x="1252133" y="345618"/>
              </a:lnTo>
              <a:lnTo>
                <a:pt x="1205758" y="333657"/>
              </a:lnTo>
              <a:lnTo>
                <a:pt x="1159382" y="442022"/>
              </a:lnTo>
              <a:lnTo>
                <a:pt x="1113007" y="661496"/>
              </a:lnTo>
              <a:lnTo>
                <a:pt x="1066632" y="811701"/>
              </a:lnTo>
              <a:lnTo>
                <a:pt x="1020256" y="830095"/>
              </a:lnTo>
              <a:lnTo>
                <a:pt x="973881" y="1057572"/>
              </a:lnTo>
              <a:lnTo>
                <a:pt x="927506" y="930430"/>
              </a:lnTo>
              <a:lnTo>
                <a:pt x="881131" y="992432"/>
              </a:lnTo>
              <a:lnTo>
                <a:pt x="834755" y="1123820"/>
              </a:lnTo>
              <a:lnTo>
                <a:pt x="788380" y="881298"/>
              </a:lnTo>
              <a:lnTo>
                <a:pt x="742005" y="857572"/>
              </a:lnTo>
              <a:lnTo>
                <a:pt x="695629" y="726998"/>
              </a:lnTo>
              <a:lnTo>
                <a:pt x="649254" y="702112"/>
              </a:lnTo>
              <a:lnTo>
                <a:pt x="602879" y="762916"/>
              </a:lnTo>
              <a:lnTo>
                <a:pt x="556504" y="627832"/>
              </a:lnTo>
              <a:lnTo>
                <a:pt x="510128" y="714691"/>
              </a:lnTo>
              <a:lnTo>
                <a:pt x="463753" y="732693"/>
              </a:lnTo>
              <a:lnTo>
                <a:pt x="417378" y="651854"/>
              </a:lnTo>
              <a:lnTo>
                <a:pt x="371002" y="493461"/>
              </a:lnTo>
              <a:lnTo>
                <a:pt x="324627" y="712479"/>
              </a:lnTo>
              <a:lnTo>
                <a:pt x="278252" y="772399"/>
              </a:lnTo>
              <a:lnTo>
                <a:pt x="231876" y="480475"/>
              </a:lnTo>
              <a:lnTo>
                <a:pt x="185501" y="514072"/>
              </a:lnTo>
              <a:lnTo>
                <a:pt x="139126" y="612045"/>
              </a:lnTo>
              <a:lnTo>
                <a:pt x="92751" y="672354"/>
              </a:lnTo>
              <a:lnTo>
                <a:pt x="46375" y="766566"/>
              </a:lnTo>
              <a:lnTo>
                <a:pt x="0" y="808672"/>
              </a:lnTo>
              <a:lnTo>
                <a:pt x="0" y="915875"/>
              </a:lnTo>
            </a:path>
          </a:pathLst>
        </a:custGeom>
        <a:solidFill xmlns:a="http://schemas.openxmlformats.org/drawingml/2006/main">
          <a:srgbClr val="2181D8">
            <a:alpha val="68000"/>
          </a:srgbClr>
        </a:solidFill>
        <a:ln xmlns:a="http://schemas.openxmlformats.org/drawingml/2006/main">
          <a:solidFill>
            <a:srgbClr val="FFFFFF"/>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0.06637</cdr:x>
      <cdr:y>0.237</cdr:y>
    </cdr:from>
    <cdr:to>
      <cdr:x>0.96574</cdr:x>
      <cdr:y>0.7158</cdr:y>
    </cdr:to>
    <cdr:sp macro="" textlink="">
      <cdr:nvSpPr>
        <cdr:cNvPr id="3417" name="$I$4:$T$137|$B$310 6">
          <a:extLst xmlns:a="http://schemas.openxmlformats.org/drawingml/2006/main">
            <a:ext uri="{FF2B5EF4-FFF2-40B4-BE49-F238E27FC236}">
              <a16:creationId xmlns:a16="http://schemas.microsoft.com/office/drawing/2014/main" id="{B4E0546F-2C8B-4914-A518-1E6E79EF469B}"/>
            </a:ext>
          </a:extLst>
        </cdr:cNvPr>
        <cdr:cNvSpPr/>
      </cdr:nvSpPr>
      <cdr:spPr>
        <a:xfrm xmlns:a="http://schemas.openxmlformats.org/drawingml/2006/main">
          <a:off x="455136" y="601968"/>
          <a:ext cx="6167915" cy="1216157"/>
        </a:xfrm>
        <a:custGeom xmlns:a="http://schemas.openxmlformats.org/drawingml/2006/main">
          <a:avLst/>
          <a:gdLst/>
          <a:ahLst/>
          <a:cxnLst/>
          <a:rect l="0" t="0" r="0" b="0"/>
          <a:pathLst>
            <a:path w="6167915" h="1216157">
              <a:moveTo>
                <a:pt x="12700" y="901008"/>
              </a:moveTo>
              <a:lnTo>
                <a:pt x="46375" y="858902"/>
              </a:lnTo>
              <a:lnTo>
                <a:pt x="92751" y="764690"/>
              </a:lnTo>
              <a:lnTo>
                <a:pt x="139126" y="704381"/>
              </a:lnTo>
              <a:lnTo>
                <a:pt x="185501" y="606408"/>
              </a:lnTo>
              <a:lnTo>
                <a:pt x="231876" y="572811"/>
              </a:lnTo>
              <a:lnTo>
                <a:pt x="278252" y="864735"/>
              </a:lnTo>
              <a:lnTo>
                <a:pt x="324627" y="804815"/>
              </a:lnTo>
              <a:lnTo>
                <a:pt x="371002" y="585797"/>
              </a:lnTo>
              <a:lnTo>
                <a:pt x="417378" y="744190"/>
              </a:lnTo>
              <a:lnTo>
                <a:pt x="463753" y="825029"/>
              </a:lnTo>
              <a:lnTo>
                <a:pt x="510128" y="807027"/>
              </a:lnTo>
              <a:lnTo>
                <a:pt x="556504" y="720168"/>
              </a:lnTo>
              <a:lnTo>
                <a:pt x="602879" y="855252"/>
              </a:lnTo>
              <a:lnTo>
                <a:pt x="649254" y="794448"/>
              </a:lnTo>
              <a:lnTo>
                <a:pt x="695629" y="819334"/>
              </a:lnTo>
              <a:lnTo>
                <a:pt x="742005" y="949908"/>
              </a:lnTo>
              <a:lnTo>
                <a:pt x="788380" y="973634"/>
              </a:lnTo>
              <a:lnTo>
                <a:pt x="834755" y="1216156"/>
              </a:lnTo>
              <a:lnTo>
                <a:pt x="881131" y="1084768"/>
              </a:lnTo>
              <a:lnTo>
                <a:pt x="927506" y="1022766"/>
              </a:lnTo>
              <a:lnTo>
                <a:pt x="973881" y="1149908"/>
              </a:lnTo>
              <a:lnTo>
                <a:pt x="1020256" y="922431"/>
              </a:lnTo>
              <a:lnTo>
                <a:pt x="1066632" y="904037"/>
              </a:lnTo>
              <a:lnTo>
                <a:pt x="1113007" y="753832"/>
              </a:lnTo>
              <a:lnTo>
                <a:pt x="1159382" y="534358"/>
              </a:lnTo>
              <a:lnTo>
                <a:pt x="1205758" y="425993"/>
              </a:lnTo>
              <a:lnTo>
                <a:pt x="1252133" y="437954"/>
              </a:lnTo>
              <a:lnTo>
                <a:pt x="1298508" y="516533"/>
              </a:lnTo>
              <a:lnTo>
                <a:pt x="1344884" y="494349"/>
              </a:lnTo>
              <a:lnTo>
                <a:pt x="1391259" y="704099"/>
              </a:lnTo>
              <a:lnTo>
                <a:pt x="1437634" y="944152"/>
              </a:lnTo>
              <a:lnTo>
                <a:pt x="1484009" y="955395"/>
              </a:lnTo>
              <a:lnTo>
                <a:pt x="1530385" y="987777"/>
              </a:lnTo>
              <a:lnTo>
                <a:pt x="1576760" y="983741"/>
              </a:lnTo>
              <a:lnTo>
                <a:pt x="1623135" y="728373"/>
              </a:lnTo>
              <a:lnTo>
                <a:pt x="1669510" y="867306"/>
              </a:lnTo>
              <a:lnTo>
                <a:pt x="1715886" y="872386"/>
              </a:lnTo>
              <a:lnTo>
                <a:pt x="1762261" y="1011724"/>
              </a:lnTo>
              <a:lnTo>
                <a:pt x="1808636" y="1111563"/>
              </a:lnTo>
              <a:lnTo>
                <a:pt x="1855012" y="775098"/>
              </a:lnTo>
              <a:lnTo>
                <a:pt x="1901387" y="811670"/>
              </a:lnTo>
              <a:lnTo>
                <a:pt x="1947762" y="885244"/>
              </a:lnTo>
              <a:lnTo>
                <a:pt x="1994138" y="1042591"/>
              </a:lnTo>
              <a:lnTo>
                <a:pt x="2040513" y="884363"/>
              </a:lnTo>
              <a:lnTo>
                <a:pt x="2086888" y="1000806"/>
              </a:lnTo>
              <a:lnTo>
                <a:pt x="2133264" y="1200837"/>
              </a:lnTo>
              <a:lnTo>
                <a:pt x="2179639" y="1046698"/>
              </a:lnTo>
              <a:lnTo>
                <a:pt x="2226014" y="873100"/>
              </a:lnTo>
              <a:lnTo>
                <a:pt x="2272389" y="879762"/>
              </a:lnTo>
              <a:lnTo>
                <a:pt x="2318765" y="864366"/>
              </a:lnTo>
              <a:lnTo>
                <a:pt x="2365140" y="993750"/>
              </a:lnTo>
              <a:lnTo>
                <a:pt x="2411515" y="757256"/>
              </a:lnTo>
              <a:lnTo>
                <a:pt x="2457890" y="870124"/>
              </a:lnTo>
              <a:lnTo>
                <a:pt x="2504266" y="829703"/>
              </a:lnTo>
              <a:lnTo>
                <a:pt x="2550641" y="747326"/>
              </a:lnTo>
              <a:lnTo>
                <a:pt x="2597016" y="963172"/>
              </a:lnTo>
              <a:lnTo>
                <a:pt x="2643392" y="903767"/>
              </a:lnTo>
              <a:lnTo>
                <a:pt x="2689767" y="579165"/>
              </a:lnTo>
              <a:lnTo>
                <a:pt x="2736142" y="482687"/>
              </a:lnTo>
              <a:lnTo>
                <a:pt x="2782518" y="751239"/>
              </a:lnTo>
              <a:lnTo>
                <a:pt x="2828893" y="841621"/>
              </a:lnTo>
              <a:lnTo>
                <a:pt x="2875268" y="1056774"/>
              </a:lnTo>
              <a:lnTo>
                <a:pt x="2921644" y="933297"/>
              </a:lnTo>
              <a:lnTo>
                <a:pt x="2968019" y="823920"/>
              </a:lnTo>
              <a:lnTo>
                <a:pt x="3014394" y="874159"/>
              </a:lnTo>
              <a:lnTo>
                <a:pt x="3060769" y="865157"/>
              </a:lnTo>
              <a:lnTo>
                <a:pt x="3107145" y="894151"/>
              </a:lnTo>
              <a:lnTo>
                <a:pt x="3153520" y="894232"/>
              </a:lnTo>
              <a:lnTo>
                <a:pt x="3199895" y="903124"/>
              </a:lnTo>
              <a:lnTo>
                <a:pt x="3246271" y="761509"/>
              </a:lnTo>
              <a:lnTo>
                <a:pt x="3292646" y="819399"/>
              </a:lnTo>
              <a:lnTo>
                <a:pt x="3339021" y="860732"/>
              </a:lnTo>
              <a:lnTo>
                <a:pt x="3385396" y="882409"/>
              </a:lnTo>
              <a:lnTo>
                <a:pt x="3431772" y="705793"/>
              </a:lnTo>
              <a:lnTo>
                <a:pt x="3478147" y="626266"/>
              </a:lnTo>
              <a:lnTo>
                <a:pt x="3524522" y="681176"/>
              </a:lnTo>
              <a:lnTo>
                <a:pt x="3570898" y="611765"/>
              </a:lnTo>
              <a:lnTo>
                <a:pt x="3617273" y="858189"/>
              </a:lnTo>
              <a:lnTo>
                <a:pt x="3663648" y="745514"/>
              </a:lnTo>
              <a:lnTo>
                <a:pt x="3710023" y="1117134"/>
              </a:lnTo>
              <a:lnTo>
                <a:pt x="3756399" y="924377"/>
              </a:lnTo>
              <a:lnTo>
                <a:pt x="3802774" y="775320"/>
              </a:lnTo>
              <a:lnTo>
                <a:pt x="3849149" y="846937"/>
              </a:lnTo>
              <a:lnTo>
                <a:pt x="3895525" y="825229"/>
              </a:lnTo>
              <a:lnTo>
                <a:pt x="3941900" y="625047"/>
              </a:lnTo>
              <a:lnTo>
                <a:pt x="3988275" y="755217"/>
              </a:lnTo>
              <a:lnTo>
                <a:pt x="4034650" y="696166"/>
              </a:lnTo>
              <a:lnTo>
                <a:pt x="4081026" y="737988"/>
              </a:lnTo>
              <a:lnTo>
                <a:pt x="4127401" y="991378"/>
              </a:lnTo>
              <a:lnTo>
                <a:pt x="4173776" y="971823"/>
              </a:lnTo>
              <a:lnTo>
                <a:pt x="4220151" y="910460"/>
              </a:lnTo>
              <a:lnTo>
                <a:pt x="4266527" y="940466"/>
              </a:lnTo>
              <a:lnTo>
                <a:pt x="4312902" y="843096"/>
              </a:lnTo>
              <a:lnTo>
                <a:pt x="4359277" y="932680"/>
              </a:lnTo>
              <a:lnTo>
                <a:pt x="4405653" y="767889"/>
              </a:lnTo>
              <a:lnTo>
                <a:pt x="4452028" y="967271"/>
              </a:lnTo>
              <a:lnTo>
                <a:pt x="4498404" y="823048"/>
              </a:lnTo>
              <a:lnTo>
                <a:pt x="4544779" y="811041"/>
              </a:lnTo>
              <a:lnTo>
                <a:pt x="4591154" y="866887"/>
              </a:lnTo>
              <a:lnTo>
                <a:pt x="4637530" y="876899"/>
              </a:lnTo>
              <a:lnTo>
                <a:pt x="4683905" y="778255"/>
              </a:lnTo>
              <a:lnTo>
                <a:pt x="4730280" y="530891"/>
              </a:lnTo>
              <a:lnTo>
                <a:pt x="4776655" y="349642"/>
              </a:lnTo>
              <a:lnTo>
                <a:pt x="4823031" y="224652"/>
              </a:lnTo>
              <a:lnTo>
                <a:pt x="4869406" y="412769"/>
              </a:lnTo>
              <a:lnTo>
                <a:pt x="4915781" y="142938"/>
              </a:lnTo>
              <a:lnTo>
                <a:pt x="4962156" y="92336"/>
              </a:lnTo>
              <a:lnTo>
                <a:pt x="5008532" y="414082"/>
              </a:lnTo>
              <a:lnTo>
                <a:pt x="5054907" y="655179"/>
              </a:lnTo>
              <a:lnTo>
                <a:pt x="5101282" y="946747"/>
              </a:lnTo>
              <a:lnTo>
                <a:pt x="5147658" y="800758"/>
              </a:lnTo>
              <a:lnTo>
                <a:pt x="5194033" y="824596"/>
              </a:lnTo>
              <a:lnTo>
                <a:pt x="5240408" y="956905"/>
              </a:lnTo>
              <a:lnTo>
                <a:pt x="5286783" y="914634"/>
              </a:lnTo>
              <a:lnTo>
                <a:pt x="5333159" y="807649"/>
              </a:lnTo>
              <a:lnTo>
                <a:pt x="5379534" y="772910"/>
              </a:lnTo>
              <a:lnTo>
                <a:pt x="5425909" y="930567"/>
              </a:lnTo>
              <a:lnTo>
                <a:pt x="5472285" y="1049248"/>
              </a:lnTo>
              <a:lnTo>
                <a:pt x="5518660" y="1009368"/>
              </a:lnTo>
              <a:lnTo>
                <a:pt x="5565035" y="958838"/>
              </a:lnTo>
              <a:lnTo>
                <a:pt x="5611410" y="914797"/>
              </a:lnTo>
              <a:lnTo>
                <a:pt x="5657786" y="877680"/>
              </a:lnTo>
              <a:lnTo>
                <a:pt x="5704161" y="846817"/>
              </a:lnTo>
              <a:lnTo>
                <a:pt x="5750536" y="821336"/>
              </a:lnTo>
              <a:lnTo>
                <a:pt x="5796912" y="800391"/>
              </a:lnTo>
              <a:lnTo>
                <a:pt x="5843287" y="783228"/>
              </a:lnTo>
              <a:lnTo>
                <a:pt x="5889662" y="769193"/>
              </a:lnTo>
              <a:lnTo>
                <a:pt x="5936037" y="757736"/>
              </a:lnTo>
              <a:lnTo>
                <a:pt x="5982413" y="748393"/>
              </a:lnTo>
              <a:lnTo>
                <a:pt x="6028788" y="740783"/>
              </a:lnTo>
              <a:lnTo>
                <a:pt x="6075163" y="734588"/>
              </a:lnTo>
              <a:lnTo>
                <a:pt x="6121539" y="729550"/>
              </a:lnTo>
              <a:lnTo>
                <a:pt x="6167914" y="725453"/>
              </a:lnTo>
              <a:lnTo>
                <a:pt x="6167914" y="573269"/>
              </a:lnTo>
              <a:lnTo>
                <a:pt x="6121539" y="577438"/>
              </a:lnTo>
              <a:lnTo>
                <a:pt x="6075163" y="582586"/>
              </a:lnTo>
              <a:lnTo>
                <a:pt x="6028788" y="588947"/>
              </a:lnTo>
              <a:lnTo>
                <a:pt x="5982413" y="596810"/>
              </a:lnTo>
              <a:lnTo>
                <a:pt x="5936037" y="606537"/>
              </a:lnTo>
              <a:lnTo>
                <a:pt x="5889662" y="618582"/>
              </a:lnTo>
              <a:lnTo>
                <a:pt x="5843287" y="633512"/>
              </a:lnTo>
              <a:lnTo>
                <a:pt x="5796912" y="652045"/>
              </a:lnTo>
              <a:lnTo>
                <a:pt x="5750536" y="675094"/>
              </a:lnTo>
              <a:lnTo>
                <a:pt x="5704161" y="703832"/>
              </a:lnTo>
              <a:lnTo>
                <a:pt x="5657786" y="739790"/>
              </a:lnTo>
              <a:lnTo>
                <a:pt x="5611410" y="785026"/>
              </a:lnTo>
              <a:lnTo>
                <a:pt x="5565035" y="842478"/>
              </a:lnTo>
              <a:lnTo>
                <a:pt x="5518660" y="917031"/>
              </a:lnTo>
              <a:lnTo>
                <a:pt x="5472285" y="1049248"/>
              </a:lnTo>
              <a:lnTo>
                <a:pt x="5425909" y="838231"/>
              </a:lnTo>
              <a:lnTo>
                <a:pt x="5379534" y="680573"/>
              </a:lnTo>
              <a:lnTo>
                <a:pt x="5333159" y="715312"/>
              </a:lnTo>
              <a:lnTo>
                <a:pt x="5286783" y="822298"/>
              </a:lnTo>
              <a:lnTo>
                <a:pt x="5240408" y="864568"/>
              </a:lnTo>
              <a:lnTo>
                <a:pt x="5194033" y="732259"/>
              </a:lnTo>
              <a:lnTo>
                <a:pt x="5147658" y="708422"/>
              </a:lnTo>
              <a:lnTo>
                <a:pt x="5101282" y="854411"/>
              </a:lnTo>
              <a:lnTo>
                <a:pt x="5054907" y="562842"/>
              </a:lnTo>
              <a:lnTo>
                <a:pt x="5008532" y="321745"/>
              </a:lnTo>
              <a:lnTo>
                <a:pt x="4962156" y="0"/>
              </a:lnTo>
              <a:lnTo>
                <a:pt x="4915781" y="50601"/>
              </a:lnTo>
              <a:lnTo>
                <a:pt x="4869406" y="320432"/>
              </a:lnTo>
              <a:lnTo>
                <a:pt x="4823031" y="132315"/>
              </a:lnTo>
              <a:lnTo>
                <a:pt x="4776655" y="257305"/>
              </a:lnTo>
              <a:lnTo>
                <a:pt x="4730280" y="438554"/>
              </a:lnTo>
              <a:lnTo>
                <a:pt x="4683905" y="685918"/>
              </a:lnTo>
              <a:lnTo>
                <a:pt x="4637530" y="784562"/>
              </a:lnTo>
              <a:lnTo>
                <a:pt x="4591154" y="774550"/>
              </a:lnTo>
              <a:lnTo>
                <a:pt x="4544779" y="718704"/>
              </a:lnTo>
              <a:lnTo>
                <a:pt x="4498404" y="730711"/>
              </a:lnTo>
              <a:lnTo>
                <a:pt x="4452028" y="874934"/>
              </a:lnTo>
              <a:lnTo>
                <a:pt x="4405653" y="675552"/>
              </a:lnTo>
              <a:lnTo>
                <a:pt x="4359277" y="840343"/>
              </a:lnTo>
              <a:lnTo>
                <a:pt x="4312902" y="750759"/>
              </a:lnTo>
              <a:lnTo>
                <a:pt x="4266527" y="848129"/>
              </a:lnTo>
              <a:lnTo>
                <a:pt x="4220151" y="818123"/>
              </a:lnTo>
              <a:lnTo>
                <a:pt x="4173776" y="879486"/>
              </a:lnTo>
              <a:lnTo>
                <a:pt x="4127401" y="899041"/>
              </a:lnTo>
              <a:lnTo>
                <a:pt x="4081026" y="645652"/>
              </a:lnTo>
              <a:lnTo>
                <a:pt x="4034650" y="603829"/>
              </a:lnTo>
              <a:lnTo>
                <a:pt x="3988275" y="662880"/>
              </a:lnTo>
              <a:lnTo>
                <a:pt x="3941900" y="532710"/>
              </a:lnTo>
              <a:lnTo>
                <a:pt x="3895525" y="732892"/>
              </a:lnTo>
              <a:lnTo>
                <a:pt x="3849149" y="754600"/>
              </a:lnTo>
              <a:lnTo>
                <a:pt x="3802774" y="682983"/>
              </a:lnTo>
              <a:lnTo>
                <a:pt x="3756399" y="832040"/>
              </a:lnTo>
              <a:lnTo>
                <a:pt x="3710023" y="1024798"/>
              </a:lnTo>
              <a:lnTo>
                <a:pt x="3663648" y="653177"/>
              </a:lnTo>
              <a:lnTo>
                <a:pt x="3617273" y="765852"/>
              </a:lnTo>
              <a:lnTo>
                <a:pt x="3570898" y="519428"/>
              </a:lnTo>
              <a:lnTo>
                <a:pt x="3524522" y="588839"/>
              </a:lnTo>
              <a:lnTo>
                <a:pt x="3478147" y="533929"/>
              </a:lnTo>
              <a:lnTo>
                <a:pt x="3431772" y="613457"/>
              </a:lnTo>
              <a:lnTo>
                <a:pt x="3385396" y="790072"/>
              </a:lnTo>
              <a:lnTo>
                <a:pt x="3339021" y="768396"/>
              </a:lnTo>
              <a:lnTo>
                <a:pt x="3292646" y="727062"/>
              </a:lnTo>
              <a:lnTo>
                <a:pt x="3246271" y="669172"/>
              </a:lnTo>
              <a:lnTo>
                <a:pt x="3199895" y="810787"/>
              </a:lnTo>
              <a:lnTo>
                <a:pt x="3153520" y="801895"/>
              </a:lnTo>
              <a:lnTo>
                <a:pt x="3107145" y="801814"/>
              </a:lnTo>
              <a:lnTo>
                <a:pt x="3060769" y="772820"/>
              </a:lnTo>
              <a:lnTo>
                <a:pt x="3014394" y="781822"/>
              </a:lnTo>
              <a:lnTo>
                <a:pt x="2968019" y="731583"/>
              </a:lnTo>
              <a:lnTo>
                <a:pt x="2921644" y="840960"/>
              </a:lnTo>
              <a:lnTo>
                <a:pt x="2875268" y="964437"/>
              </a:lnTo>
              <a:lnTo>
                <a:pt x="2828893" y="749284"/>
              </a:lnTo>
              <a:lnTo>
                <a:pt x="2782518" y="658902"/>
              </a:lnTo>
              <a:lnTo>
                <a:pt x="2736142" y="390350"/>
              </a:lnTo>
              <a:lnTo>
                <a:pt x="2689767" y="486828"/>
              </a:lnTo>
              <a:lnTo>
                <a:pt x="2643392" y="811430"/>
              </a:lnTo>
              <a:lnTo>
                <a:pt x="2597016" y="870835"/>
              </a:lnTo>
              <a:lnTo>
                <a:pt x="2550641" y="654989"/>
              </a:lnTo>
              <a:lnTo>
                <a:pt x="2504266" y="737366"/>
              </a:lnTo>
              <a:lnTo>
                <a:pt x="2457890" y="777787"/>
              </a:lnTo>
              <a:lnTo>
                <a:pt x="2411515" y="664920"/>
              </a:lnTo>
              <a:lnTo>
                <a:pt x="2365140" y="901414"/>
              </a:lnTo>
              <a:lnTo>
                <a:pt x="2318765" y="772029"/>
              </a:lnTo>
              <a:lnTo>
                <a:pt x="2272389" y="787425"/>
              </a:lnTo>
              <a:lnTo>
                <a:pt x="2226014" y="780763"/>
              </a:lnTo>
              <a:lnTo>
                <a:pt x="2179639" y="954362"/>
              </a:lnTo>
              <a:lnTo>
                <a:pt x="2133264" y="1108500"/>
              </a:lnTo>
              <a:lnTo>
                <a:pt x="2086888" y="908469"/>
              </a:lnTo>
              <a:lnTo>
                <a:pt x="2040513" y="792027"/>
              </a:lnTo>
              <a:lnTo>
                <a:pt x="1994138" y="950254"/>
              </a:lnTo>
              <a:lnTo>
                <a:pt x="1947762" y="792907"/>
              </a:lnTo>
              <a:lnTo>
                <a:pt x="1901387" y="719333"/>
              </a:lnTo>
              <a:lnTo>
                <a:pt x="1855012" y="682761"/>
              </a:lnTo>
              <a:lnTo>
                <a:pt x="1808636" y="1019226"/>
              </a:lnTo>
              <a:lnTo>
                <a:pt x="1762261" y="919387"/>
              </a:lnTo>
              <a:lnTo>
                <a:pt x="1715886" y="780049"/>
              </a:lnTo>
              <a:lnTo>
                <a:pt x="1669510" y="774969"/>
              </a:lnTo>
              <a:lnTo>
                <a:pt x="1623135" y="636036"/>
              </a:lnTo>
              <a:lnTo>
                <a:pt x="1576760" y="891404"/>
              </a:lnTo>
              <a:lnTo>
                <a:pt x="1530385" y="895440"/>
              </a:lnTo>
              <a:lnTo>
                <a:pt x="1484009" y="863058"/>
              </a:lnTo>
              <a:lnTo>
                <a:pt x="1437634" y="851815"/>
              </a:lnTo>
              <a:lnTo>
                <a:pt x="1391259" y="611762"/>
              </a:lnTo>
              <a:lnTo>
                <a:pt x="1344884" y="402012"/>
              </a:lnTo>
              <a:lnTo>
                <a:pt x="1298508" y="424196"/>
              </a:lnTo>
              <a:lnTo>
                <a:pt x="1252133" y="345617"/>
              </a:lnTo>
              <a:lnTo>
                <a:pt x="1205758" y="333656"/>
              </a:lnTo>
              <a:lnTo>
                <a:pt x="1159382" y="442021"/>
              </a:lnTo>
              <a:lnTo>
                <a:pt x="1113007" y="661496"/>
              </a:lnTo>
              <a:lnTo>
                <a:pt x="1066632" y="811700"/>
              </a:lnTo>
              <a:lnTo>
                <a:pt x="1020256" y="830094"/>
              </a:lnTo>
              <a:lnTo>
                <a:pt x="973881" y="1057571"/>
              </a:lnTo>
              <a:lnTo>
                <a:pt x="927506" y="930430"/>
              </a:lnTo>
              <a:lnTo>
                <a:pt x="881131" y="992431"/>
              </a:lnTo>
              <a:lnTo>
                <a:pt x="834755" y="1123820"/>
              </a:lnTo>
              <a:lnTo>
                <a:pt x="788380" y="881297"/>
              </a:lnTo>
              <a:lnTo>
                <a:pt x="742005" y="857572"/>
              </a:lnTo>
              <a:lnTo>
                <a:pt x="695629" y="726997"/>
              </a:lnTo>
              <a:lnTo>
                <a:pt x="649254" y="702111"/>
              </a:lnTo>
              <a:lnTo>
                <a:pt x="602879" y="762916"/>
              </a:lnTo>
              <a:lnTo>
                <a:pt x="556504" y="627831"/>
              </a:lnTo>
              <a:lnTo>
                <a:pt x="510128" y="714691"/>
              </a:lnTo>
              <a:lnTo>
                <a:pt x="463753" y="732692"/>
              </a:lnTo>
              <a:lnTo>
                <a:pt x="417378" y="651853"/>
              </a:lnTo>
              <a:lnTo>
                <a:pt x="371002" y="493460"/>
              </a:lnTo>
              <a:lnTo>
                <a:pt x="324627" y="712478"/>
              </a:lnTo>
              <a:lnTo>
                <a:pt x="278252" y="772398"/>
              </a:lnTo>
              <a:lnTo>
                <a:pt x="231876" y="480474"/>
              </a:lnTo>
              <a:lnTo>
                <a:pt x="185501" y="514071"/>
              </a:lnTo>
              <a:lnTo>
                <a:pt x="139126" y="612045"/>
              </a:lnTo>
              <a:lnTo>
                <a:pt x="92751" y="672353"/>
              </a:lnTo>
              <a:lnTo>
                <a:pt x="46375" y="766565"/>
              </a:lnTo>
              <a:lnTo>
                <a:pt x="0" y="808671"/>
              </a:lnTo>
              <a:lnTo>
                <a:pt x="0" y="901008"/>
              </a:lnTo>
            </a:path>
          </a:pathLst>
        </a:custGeom>
        <a:solidFill xmlns:a="http://schemas.openxmlformats.org/drawingml/2006/main">
          <a:srgbClr val="1E90FF">
            <a:alpha val="80000"/>
          </a:srgbClr>
        </a:solidFill>
        <a:ln xmlns:a="http://schemas.openxmlformats.org/drawingml/2006/main">
          <a:solidFill>
            <a:srgbClr val="FFFFFF"/>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0.06637</cdr:x>
      <cdr:y>0.19479</cdr:y>
    </cdr:from>
    <cdr:to>
      <cdr:x>0.96574</cdr:x>
      <cdr:y>0.67944</cdr:y>
    </cdr:to>
    <cdr:sp macro="" textlink="">
      <cdr:nvSpPr>
        <cdr:cNvPr id="3418" name="$I$4:$T$137|$B$310 7">
          <a:extLst xmlns:a="http://schemas.openxmlformats.org/drawingml/2006/main">
            <a:ext uri="{FF2B5EF4-FFF2-40B4-BE49-F238E27FC236}">
              <a16:creationId xmlns:a16="http://schemas.microsoft.com/office/drawing/2014/main" id="{E55EED7F-BFB7-4E7D-86B2-DDF93C8AC164}"/>
            </a:ext>
          </a:extLst>
        </cdr:cNvPr>
        <cdr:cNvSpPr/>
      </cdr:nvSpPr>
      <cdr:spPr>
        <a:xfrm xmlns:a="http://schemas.openxmlformats.org/drawingml/2006/main">
          <a:off x="455136" y="494764"/>
          <a:ext cx="6167915" cy="1231025"/>
        </a:xfrm>
        <a:custGeom xmlns:a="http://schemas.openxmlformats.org/drawingml/2006/main">
          <a:avLst/>
          <a:gdLst/>
          <a:ahLst/>
          <a:cxnLst/>
          <a:rect l="0" t="0" r="0" b="0"/>
          <a:pathLst>
            <a:path w="6167915" h="1231025">
              <a:moveTo>
                <a:pt x="12700" y="915875"/>
              </a:moveTo>
              <a:lnTo>
                <a:pt x="46375" y="873769"/>
              </a:lnTo>
              <a:lnTo>
                <a:pt x="92751" y="779557"/>
              </a:lnTo>
              <a:lnTo>
                <a:pt x="139126" y="719249"/>
              </a:lnTo>
              <a:lnTo>
                <a:pt x="185501" y="621275"/>
              </a:lnTo>
              <a:lnTo>
                <a:pt x="231876" y="587678"/>
              </a:lnTo>
              <a:lnTo>
                <a:pt x="278252" y="879602"/>
              </a:lnTo>
              <a:lnTo>
                <a:pt x="324627" y="819682"/>
              </a:lnTo>
              <a:lnTo>
                <a:pt x="371002" y="600664"/>
              </a:lnTo>
              <a:lnTo>
                <a:pt x="417378" y="759057"/>
              </a:lnTo>
              <a:lnTo>
                <a:pt x="463753" y="839896"/>
              </a:lnTo>
              <a:lnTo>
                <a:pt x="510128" y="821895"/>
              </a:lnTo>
              <a:lnTo>
                <a:pt x="556504" y="735035"/>
              </a:lnTo>
              <a:lnTo>
                <a:pt x="602879" y="870120"/>
              </a:lnTo>
              <a:lnTo>
                <a:pt x="649254" y="809315"/>
              </a:lnTo>
              <a:lnTo>
                <a:pt x="695629" y="834201"/>
              </a:lnTo>
              <a:lnTo>
                <a:pt x="742005" y="964776"/>
              </a:lnTo>
              <a:lnTo>
                <a:pt x="788380" y="988501"/>
              </a:lnTo>
              <a:lnTo>
                <a:pt x="834755" y="1231024"/>
              </a:lnTo>
              <a:lnTo>
                <a:pt x="881131" y="1099635"/>
              </a:lnTo>
              <a:lnTo>
                <a:pt x="927506" y="1037634"/>
              </a:lnTo>
              <a:lnTo>
                <a:pt x="973881" y="1164775"/>
              </a:lnTo>
              <a:lnTo>
                <a:pt x="1020256" y="937298"/>
              </a:lnTo>
              <a:lnTo>
                <a:pt x="1066632" y="918904"/>
              </a:lnTo>
              <a:lnTo>
                <a:pt x="1113007" y="768700"/>
              </a:lnTo>
              <a:lnTo>
                <a:pt x="1159382" y="549225"/>
              </a:lnTo>
              <a:lnTo>
                <a:pt x="1205758" y="440860"/>
              </a:lnTo>
              <a:lnTo>
                <a:pt x="1252133" y="452821"/>
              </a:lnTo>
              <a:lnTo>
                <a:pt x="1298508" y="531400"/>
              </a:lnTo>
              <a:lnTo>
                <a:pt x="1344884" y="509216"/>
              </a:lnTo>
              <a:lnTo>
                <a:pt x="1391259" y="718966"/>
              </a:lnTo>
              <a:lnTo>
                <a:pt x="1437634" y="959019"/>
              </a:lnTo>
              <a:lnTo>
                <a:pt x="1484009" y="970262"/>
              </a:lnTo>
              <a:lnTo>
                <a:pt x="1530385" y="1002644"/>
              </a:lnTo>
              <a:lnTo>
                <a:pt x="1576760" y="998608"/>
              </a:lnTo>
              <a:lnTo>
                <a:pt x="1623135" y="743240"/>
              </a:lnTo>
              <a:lnTo>
                <a:pt x="1669510" y="882173"/>
              </a:lnTo>
              <a:lnTo>
                <a:pt x="1715886" y="887253"/>
              </a:lnTo>
              <a:lnTo>
                <a:pt x="1762261" y="1026591"/>
              </a:lnTo>
              <a:lnTo>
                <a:pt x="1808636" y="1126430"/>
              </a:lnTo>
              <a:lnTo>
                <a:pt x="1855012" y="789965"/>
              </a:lnTo>
              <a:lnTo>
                <a:pt x="1901387" y="826537"/>
              </a:lnTo>
              <a:lnTo>
                <a:pt x="1947762" y="900111"/>
              </a:lnTo>
              <a:lnTo>
                <a:pt x="1994138" y="1057458"/>
              </a:lnTo>
              <a:lnTo>
                <a:pt x="2040513" y="899231"/>
              </a:lnTo>
              <a:lnTo>
                <a:pt x="2086888" y="1015673"/>
              </a:lnTo>
              <a:lnTo>
                <a:pt x="2133264" y="1215704"/>
              </a:lnTo>
              <a:lnTo>
                <a:pt x="2179639" y="1061566"/>
              </a:lnTo>
              <a:lnTo>
                <a:pt x="2226014" y="887967"/>
              </a:lnTo>
              <a:lnTo>
                <a:pt x="2272389" y="894629"/>
              </a:lnTo>
              <a:lnTo>
                <a:pt x="2318765" y="879233"/>
              </a:lnTo>
              <a:lnTo>
                <a:pt x="2365140" y="1008618"/>
              </a:lnTo>
              <a:lnTo>
                <a:pt x="2411515" y="772124"/>
              </a:lnTo>
              <a:lnTo>
                <a:pt x="2457890" y="884991"/>
              </a:lnTo>
              <a:lnTo>
                <a:pt x="2504266" y="844570"/>
              </a:lnTo>
              <a:lnTo>
                <a:pt x="2550641" y="762193"/>
              </a:lnTo>
              <a:lnTo>
                <a:pt x="2597016" y="978039"/>
              </a:lnTo>
              <a:lnTo>
                <a:pt x="2643392" y="918634"/>
              </a:lnTo>
              <a:lnTo>
                <a:pt x="2689767" y="594032"/>
              </a:lnTo>
              <a:lnTo>
                <a:pt x="2736142" y="497554"/>
              </a:lnTo>
              <a:lnTo>
                <a:pt x="2782518" y="766106"/>
              </a:lnTo>
              <a:lnTo>
                <a:pt x="2828893" y="856488"/>
              </a:lnTo>
              <a:lnTo>
                <a:pt x="2875268" y="1071641"/>
              </a:lnTo>
              <a:lnTo>
                <a:pt x="2921644" y="948164"/>
              </a:lnTo>
              <a:lnTo>
                <a:pt x="2968019" y="838787"/>
              </a:lnTo>
              <a:lnTo>
                <a:pt x="3014394" y="889026"/>
              </a:lnTo>
              <a:lnTo>
                <a:pt x="3060769" y="880024"/>
              </a:lnTo>
              <a:lnTo>
                <a:pt x="3107145" y="909018"/>
              </a:lnTo>
              <a:lnTo>
                <a:pt x="3153520" y="909099"/>
              </a:lnTo>
              <a:lnTo>
                <a:pt x="3199895" y="917991"/>
              </a:lnTo>
              <a:lnTo>
                <a:pt x="3246271" y="776376"/>
              </a:lnTo>
              <a:lnTo>
                <a:pt x="3292646" y="834266"/>
              </a:lnTo>
              <a:lnTo>
                <a:pt x="3339021" y="875600"/>
              </a:lnTo>
              <a:lnTo>
                <a:pt x="3385396" y="897276"/>
              </a:lnTo>
              <a:lnTo>
                <a:pt x="3431772" y="720661"/>
              </a:lnTo>
              <a:lnTo>
                <a:pt x="3478147" y="641133"/>
              </a:lnTo>
              <a:lnTo>
                <a:pt x="3524522" y="696043"/>
              </a:lnTo>
              <a:lnTo>
                <a:pt x="3570898" y="626632"/>
              </a:lnTo>
              <a:lnTo>
                <a:pt x="3617273" y="873056"/>
              </a:lnTo>
              <a:lnTo>
                <a:pt x="3663648" y="760381"/>
              </a:lnTo>
              <a:lnTo>
                <a:pt x="3710023" y="1132002"/>
              </a:lnTo>
              <a:lnTo>
                <a:pt x="3756399" y="939244"/>
              </a:lnTo>
              <a:lnTo>
                <a:pt x="3802774" y="790187"/>
              </a:lnTo>
              <a:lnTo>
                <a:pt x="3849149" y="861804"/>
              </a:lnTo>
              <a:lnTo>
                <a:pt x="3895525" y="840096"/>
              </a:lnTo>
              <a:lnTo>
                <a:pt x="3941900" y="639914"/>
              </a:lnTo>
              <a:lnTo>
                <a:pt x="3988275" y="770084"/>
              </a:lnTo>
              <a:lnTo>
                <a:pt x="4034650" y="711033"/>
              </a:lnTo>
              <a:lnTo>
                <a:pt x="4081026" y="752856"/>
              </a:lnTo>
              <a:lnTo>
                <a:pt x="4127401" y="1006245"/>
              </a:lnTo>
              <a:lnTo>
                <a:pt x="4173776" y="986690"/>
              </a:lnTo>
              <a:lnTo>
                <a:pt x="4220151" y="925327"/>
              </a:lnTo>
              <a:lnTo>
                <a:pt x="4266527" y="955333"/>
              </a:lnTo>
              <a:lnTo>
                <a:pt x="4312902" y="857963"/>
              </a:lnTo>
              <a:lnTo>
                <a:pt x="4359277" y="947547"/>
              </a:lnTo>
              <a:lnTo>
                <a:pt x="4405653" y="782756"/>
              </a:lnTo>
              <a:lnTo>
                <a:pt x="4452028" y="982138"/>
              </a:lnTo>
              <a:lnTo>
                <a:pt x="4498404" y="837915"/>
              </a:lnTo>
              <a:lnTo>
                <a:pt x="4544779" y="825908"/>
              </a:lnTo>
              <a:lnTo>
                <a:pt x="4591154" y="881754"/>
              </a:lnTo>
              <a:lnTo>
                <a:pt x="4637530" y="891766"/>
              </a:lnTo>
              <a:lnTo>
                <a:pt x="4683905" y="793122"/>
              </a:lnTo>
              <a:lnTo>
                <a:pt x="4730280" y="545758"/>
              </a:lnTo>
              <a:lnTo>
                <a:pt x="4776655" y="364509"/>
              </a:lnTo>
              <a:lnTo>
                <a:pt x="4823031" y="239519"/>
              </a:lnTo>
              <a:lnTo>
                <a:pt x="4869406" y="427636"/>
              </a:lnTo>
              <a:lnTo>
                <a:pt x="4915781" y="157805"/>
              </a:lnTo>
              <a:lnTo>
                <a:pt x="4962156" y="107204"/>
              </a:lnTo>
              <a:lnTo>
                <a:pt x="5008532" y="428949"/>
              </a:lnTo>
              <a:lnTo>
                <a:pt x="5054907" y="670046"/>
              </a:lnTo>
              <a:lnTo>
                <a:pt x="5101282" y="961615"/>
              </a:lnTo>
              <a:lnTo>
                <a:pt x="5147658" y="815626"/>
              </a:lnTo>
              <a:lnTo>
                <a:pt x="5194033" y="839463"/>
              </a:lnTo>
              <a:lnTo>
                <a:pt x="5240408" y="971772"/>
              </a:lnTo>
              <a:lnTo>
                <a:pt x="5286783" y="929502"/>
              </a:lnTo>
              <a:lnTo>
                <a:pt x="5333159" y="822516"/>
              </a:lnTo>
              <a:lnTo>
                <a:pt x="5379534" y="787777"/>
              </a:lnTo>
              <a:lnTo>
                <a:pt x="5425909" y="945435"/>
              </a:lnTo>
              <a:lnTo>
                <a:pt x="5472285" y="1156452"/>
              </a:lnTo>
              <a:lnTo>
                <a:pt x="5518660" y="1024235"/>
              </a:lnTo>
              <a:lnTo>
                <a:pt x="5565035" y="949682"/>
              </a:lnTo>
              <a:lnTo>
                <a:pt x="5611410" y="892230"/>
              </a:lnTo>
              <a:lnTo>
                <a:pt x="5657786" y="846994"/>
              </a:lnTo>
              <a:lnTo>
                <a:pt x="5704161" y="811036"/>
              </a:lnTo>
              <a:lnTo>
                <a:pt x="5750536" y="782298"/>
              </a:lnTo>
              <a:lnTo>
                <a:pt x="5796912" y="759249"/>
              </a:lnTo>
              <a:lnTo>
                <a:pt x="5843287" y="740716"/>
              </a:lnTo>
              <a:lnTo>
                <a:pt x="5889662" y="725786"/>
              </a:lnTo>
              <a:lnTo>
                <a:pt x="5936037" y="713741"/>
              </a:lnTo>
              <a:lnTo>
                <a:pt x="5982413" y="704014"/>
              </a:lnTo>
              <a:lnTo>
                <a:pt x="6028788" y="696151"/>
              </a:lnTo>
              <a:lnTo>
                <a:pt x="6075163" y="689790"/>
              </a:lnTo>
              <a:lnTo>
                <a:pt x="6121539" y="684642"/>
              </a:lnTo>
              <a:lnTo>
                <a:pt x="6167914" y="680473"/>
              </a:lnTo>
              <a:lnTo>
                <a:pt x="6167914" y="503788"/>
              </a:lnTo>
              <a:lnTo>
                <a:pt x="6121539" y="508040"/>
              </a:lnTo>
              <a:lnTo>
                <a:pt x="6075163" y="513315"/>
              </a:lnTo>
              <a:lnTo>
                <a:pt x="6028788" y="519869"/>
              </a:lnTo>
              <a:lnTo>
                <a:pt x="5982413" y="528026"/>
              </a:lnTo>
              <a:lnTo>
                <a:pt x="5936037" y="538200"/>
              </a:lnTo>
              <a:lnTo>
                <a:pt x="5889662" y="550925"/>
              </a:lnTo>
              <a:lnTo>
                <a:pt x="5843287" y="566894"/>
              </a:lnTo>
              <a:lnTo>
                <a:pt x="5796912" y="587018"/>
              </a:lnTo>
              <a:lnTo>
                <a:pt x="5750536" y="612512"/>
              </a:lnTo>
              <a:lnTo>
                <a:pt x="5704161" y="645031"/>
              </a:lnTo>
              <a:lnTo>
                <a:pt x="5657786" y="686903"/>
              </a:lnTo>
              <a:lnTo>
                <a:pt x="5611410" y="741565"/>
              </a:lnTo>
              <a:lnTo>
                <a:pt x="5565035" y="814587"/>
              </a:lnTo>
              <a:lnTo>
                <a:pt x="5518660" y="917031"/>
              </a:lnTo>
              <a:lnTo>
                <a:pt x="5472285" y="1156452"/>
              </a:lnTo>
              <a:lnTo>
                <a:pt x="5425909" y="838231"/>
              </a:lnTo>
              <a:lnTo>
                <a:pt x="5379534" y="680573"/>
              </a:lnTo>
              <a:lnTo>
                <a:pt x="5333159" y="715313"/>
              </a:lnTo>
              <a:lnTo>
                <a:pt x="5286783" y="822298"/>
              </a:lnTo>
              <a:lnTo>
                <a:pt x="5240408" y="864569"/>
              </a:lnTo>
              <a:lnTo>
                <a:pt x="5194033" y="732260"/>
              </a:lnTo>
              <a:lnTo>
                <a:pt x="5147658" y="708422"/>
              </a:lnTo>
              <a:lnTo>
                <a:pt x="5101282" y="854411"/>
              </a:lnTo>
              <a:lnTo>
                <a:pt x="5054907" y="562843"/>
              </a:lnTo>
              <a:lnTo>
                <a:pt x="5008532" y="321746"/>
              </a:lnTo>
              <a:lnTo>
                <a:pt x="4962156" y="0"/>
              </a:lnTo>
              <a:lnTo>
                <a:pt x="4915781" y="50602"/>
              </a:lnTo>
              <a:lnTo>
                <a:pt x="4869406" y="320433"/>
              </a:lnTo>
              <a:lnTo>
                <a:pt x="4823031" y="132315"/>
              </a:lnTo>
              <a:lnTo>
                <a:pt x="4776655" y="257306"/>
              </a:lnTo>
              <a:lnTo>
                <a:pt x="4730280" y="438555"/>
              </a:lnTo>
              <a:lnTo>
                <a:pt x="4683905" y="685919"/>
              </a:lnTo>
              <a:lnTo>
                <a:pt x="4637530" y="784562"/>
              </a:lnTo>
              <a:lnTo>
                <a:pt x="4591154" y="774551"/>
              </a:lnTo>
              <a:lnTo>
                <a:pt x="4544779" y="718705"/>
              </a:lnTo>
              <a:lnTo>
                <a:pt x="4498404" y="730712"/>
              </a:lnTo>
              <a:lnTo>
                <a:pt x="4452028" y="874934"/>
              </a:lnTo>
              <a:lnTo>
                <a:pt x="4405653" y="675553"/>
              </a:lnTo>
              <a:lnTo>
                <a:pt x="4359277" y="840344"/>
              </a:lnTo>
              <a:lnTo>
                <a:pt x="4312902" y="750760"/>
              </a:lnTo>
              <a:lnTo>
                <a:pt x="4266527" y="848130"/>
              </a:lnTo>
              <a:lnTo>
                <a:pt x="4220151" y="818124"/>
              </a:lnTo>
              <a:lnTo>
                <a:pt x="4173776" y="879487"/>
              </a:lnTo>
              <a:lnTo>
                <a:pt x="4127401" y="899042"/>
              </a:lnTo>
              <a:lnTo>
                <a:pt x="4081026" y="645652"/>
              </a:lnTo>
              <a:lnTo>
                <a:pt x="4034650" y="603829"/>
              </a:lnTo>
              <a:lnTo>
                <a:pt x="3988275" y="662881"/>
              </a:lnTo>
              <a:lnTo>
                <a:pt x="3941900" y="532710"/>
              </a:lnTo>
              <a:lnTo>
                <a:pt x="3895525" y="732893"/>
              </a:lnTo>
              <a:lnTo>
                <a:pt x="3849149" y="754601"/>
              </a:lnTo>
              <a:lnTo>
                <a:pt x="3802774" y="682984"/>
              </a:lnTo>
              <a:lnTo>
                <a:pt x="3756399" y="832041"/>
              </a:lnTo>
              <a:lnTo>
                <a:pt x="3710023" y="1024798"/>
              </a:lnTo>
              <a:lnTo>
                <a:pt x="3663648" y="653178"/>
              </a:lnTo>
              <a:lnTo>
                <a:pt x="3617273" y="765852"/>
              </a:lnTo>
              <a:lnTo>
                <a:pt x="3570898" y="519429"/>
              </a:lnTo>
              <a:lnTo>
                <a:pt x="3524522" y="588840"/>
              </a:lnTo>
              <a:lnTo>
                <a:pt x="3478147" y="533930"/>
              </a:lnTo>
              <a:lnTo>
                <a:pt x="3431772" y="613457"/>
              </a:lnTo>
              <a:lnTo>
                <a:pt x="3385396" y="790072"/>
              </a:lnTo>
              <a:lnTo>
                <a:pt x="3339021" y="768396"/>
              </a:lnTo>
              <a:lnTo>
                <a:pt x="3292646" y="727063"/>
              </a:lnTo>
              <a:lnTo>
                <a:pt x="3246271" y="669173"/>
              </a:lnTo>
              <a:lnTo>
                <a:pt x="3199895" y="810788"/>
              </a:lnTo>
              <a:lnTo>
                <a:pt x="3153520" y="801896"/>
              </a:lnTo>
              <a:lnTo>
                <a:pt x="3107145" y="801815"/>
              </a:lnTo>
              <a:lnTo>
                <a:pt x="3060769" y="772821"/>
              </a:lnTo>
              <a:lnTo>
                <a:pt x="3014394" y="781823"/>
              </a:lnTo>
              <a:lnTo>
                <a:pt x="2968019" y="731584"/>
              </a:lnTo>
              <a:lnTo>
                <a:pt x="2921644" y="840961"/>
              </a:lnTo>
              <a:lnTo>
                <a:pt x="2875268" y="964438"/>
              </a:lnTo>
              <a:lnTo>
                <a:pt x="2828893" y="749284"/>
              </a:lnTo>
              <a:lnTo>
                <a:pt x="2782518" y="658902"/>
              </a:lnTo>
              <a:lnTo>
                <a:pt x="2736142" y="390351"/>
              </a:lnTo>
              <a:lnTo>
                <a:pt x="2689767" y="486829"/>
              </a:lnTo>
              <a:lnTo>
                <a:pt x="2643392" y="811431"/>
              </a:lnTo>
              <a:lnTo>
                <a:pt x="2597016" y="870835"/>
              </a:lnTo>
              <a:lnTo>
                <a:pt x="2550641" y="654990"/>
              </a:lnTo>
              <a:lnTo>
                <a:pt x="2504266" y="737367"/>
              </a:lnTo>
              <a:lnTo>
                <a:pt x="2457890" y="777788"/>
              </a:lnTo>
              <a:lnTo>
                <a:pt x="2411515" y="664920"/>
              </a:lnTo>
              <a:lnTo>
                <a:pt x="2365140" y="901414"/>
              </a:lnTo>
              <a:lnTo>
                <a:pt x="2318765" y="772030"/>
              </a:lnTo>
              <a:lnTo>
                <a:pt x="2272389" y="787425"/>
              </a:lnTo>
              <a:lnTo>
                <a:pt x="2226014" y="780764"/>
              </a:lnTo>
              <a:lnTo>
                <a:pt x="2179639" y="954362"/>
              </a:lnTo>
              <a:lnTo>
                <a:pt x="2133264" y="1108501"/>
              </a:lnTo>
              <a:lnTo>
                <a:pt x="2086888" y="908470"/>
              </a:lnTo>
              <a:lnTo>
                <a:pt x="2040513" y="792027"/>
              </a:lnTo>
              <a:lnTo>
                <a:pt x="1994138" y="950255"/>
              </a:lnTo>
              <a:lnTo>
                <a:pt x="1947762" y="792908"/>
              </a:lnTo>
              <a:lnTo>
                <a:pt x="1901387" y="719334"/>
              </a:lnTo>
              <a:lnTo>
                <a:pt x="1855012" y="682762"/>
              </a:lnTo>
              <a:lnTo>
                <a:pt x="1808636" y="1019227"/>
              </a:lnTo>
              <a:lnTo>
                <a:pt x="1762261" y="919388"/>
              </a:lnTo>
              <a:lnTo>
                <a:pt x="1715886" y="780050"/>
              </a:lnTo>
              <a:lnTo>
                <a:pt x="1669510" y="774970"/>
              </a:lnTo>
              <a:lnTo>
                <a:pt x="1623135" y="636037"/>
              </a:lnTo>
              <a:lnTo>
                <a:pt x="1576760" y="891405"/>
              </a:lnTo>
              <a:lnTo>
                <a:pt x="1530385" y="895441"/>
              </a:lnTo>
              <a:lnTo>
                <a:pt x="1484009" y="863059"/>
              </a:lnTo>
              <a:lnTo>
                <a:pt x="1437634" y="851816"/>
              </a:lnTo>
              <a:lnTo>
                <a:pt x="1391259" y="611763"/>
              </a:lnTo>
              <a:lnTo>
                <a:pt x="1344884" y="402013"/>
              </a:lnTo>
              <a:lnTo>
                <a:pt x="1298508" y="424197"/>
              </a:lnTo>
              <a:lnTo>
                <a:pt x="1252133" y="345618"/>
              </a:lnTo>
              <a:lnTo>
                <a:pt x="1205758" y="333657"/>
              </a:lnTo>
              <a:lnTo>
                <a:pt x="1159382" y="442022"/>
              </a:lnTo>
              <a:lnTo>
                <a:pt x="1113007" y="661496"/>
              </a:lnTo>
              <a:lnTo>
                <a:pt x="1066632" y="811701"/>
              </a:lnTo>
              <a:lnTo>
                <a:pt x="1020256" y="830095"/>
              </a:lnTo>
              <a:lnTo>
                <a:pt x="973881" y="1057572"/>
              </a:lnTo>
              <a:lnTo>
                <a:pt x="927506" y="930430"/>
              </a:lnTo>
              <a:lnTo>
                <a:pt x="881131" y="992432"/>
              </a:lnTo>
              <a:lnTo>
                <a:pt x="834755" y="1123820"/>
              </a:lnTo>
              <a:lnTo>
                <a:pt x="788380" y="881298"/>
              </a:lnTo>
              <a:lnTo>
                <a:pt x="742005" y="857572"/>
              </a:lnTo>
              <a:lnTo>
                <a:pt x="695629" y="726998"/>
              </a:lnTo>
              <a:lnTo>
                <a:pt x="649254" y="702112"/>
              </a:lnTo>
              <a:lnTo>
                <a:pt x="602879" y="762916"/>
              </a:lnTo>
              <a:lnTo>
                <a:pt x="556504" y="627831"/>
              </a:lnTo>
              <a:lnTo>
                <a:pt x="510128" y="714691"/>
              </a:lnTo>
              <a:lnTo>
                <a:pt x="463753" y="732693"/>
              </a:lnTo>
              <a:lnTo>
                <a:pt x="417378" y="651854"/>
              </a:lnTo>
              <a:lnTo>
                <a:pt x="371002" y="493461"/>
              </a:lnTo>
              <a:lnTo>
                <a:pt x="324627" y="712478"/>
              </a:lnTo>
              <a:lnTo>
                <a:pt x="278252" y="772399"/>
              </a:lnTo>
              <a:lnTo>
                <a:pt x="231876" y="480475"/>
              </a:lnTo>
              <a:lnTo>
                <a:pt x="185501" y="514071"/>
              </a:lnTo>
              <a:lnTo>
                <a:pt x="139126" y="612045"/>
              </a:lnTo>
              <a:lnTo>
                <a:pt x="92751" y="672353"/>
              </a:lnTo>
              <a:lnTo>
                <a:pt x="46375" y="766566"/>
              </a:lnTo>
              <a:lnTo>
                <a:pt x="0" y="808671"/>
              </a:lnTo>
              <a:lnTo>
                <a:pt x="0" y="915875"/>
              </a:lnTo>
            </a:path>
          </a:pathLst>
        </a:custGeom>
        <a:solidFill xmlns:a="http://schemas.openxmlformats.org/drawingml/2006/main">
          <a:srgbClr val="2181D8">
            <a:alpha val="68000"/>
          </a:srgbClr>
        </a:solidFill>
        <a:ln xmlns:a="http://schemas.openxmlformats.org/drawingml/2006/main">
          <a:solidFill>
            <a:srgbClr val="FFFFFF"/>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0.06637</cdr:x>
      <cdr:y>0.16323</cdr:y>
    </cdr:from>
    <cdr:to>
      <cdr:x>0.96574</cdr:x>
      <cdr:y>0.65009</cdr:y>
    </cdr:to>
    <cdr:sp macro="" textlink="">
      <cdr:nvSpPr>
        <cdr:cNvPr id="3419" name="$I$4:$T$137|$B$310 8">
          <a:extLst xmlns:a="http://schemas.openxmlformats.org/drawingml/2006/main">
            <a:ext uri="{FF2B5EF4-FFF2-40B4-BE49-F238E27FC236}">
              <a16:creationId xmlns:a16="http://schemas.microsoft.com/office/drawing/2014/main" id="{011D25EC-A3FA-486B-BC70-C8DC817BC34F}"/>
            </a:ext>
          </a:extLst>
        </cdr:cNvPr>
        <cdr:cNvSpPr/>
      </cdr:nvSpPr>
      <cdr:spPr>
        <a:xfrm xmlns:a="http://schemas.openxmlformats.org/drawingml/2006/main">
          <a:off x="455136" y="414594"/>
          <a:ext cx="6167915" cy="1236623"/>
        </a:xfrm>
        <a:custGeom xmlns:a="http://schemas.openxmlformats.org/drawingml/2006/main">
          <a:avLst/>
          <a:gdLst/>
          <a:ahLst/>
          <a:cxnLst/>
          <a:rect l="0" t="0" r="0" b="0"/>
          <a:pathLst>
            <a:path w="6167915" h="1236623">
              <a:moveTo>
                <a:pt x="12700" y="888841"/>
              </a:moveTo>
              <a:lnTo>
                <a:pt x="46375" y="846736"/>
              </a:lnTo>
              <a:lnTo>
                <a:pt x="92751" y="752523"/>
              </a:lnTo>
              <a:lnTo>
                <a:pt x="139126" y="692215"/>
              </a:lnTo>
              <a:lnTo>
                <a:pt x="185501" y="594241"/>
              </a:lnTo>
              <a:lnTo>
                <a:pt x="231876" y="560645"/>
              </a:lnTo>
              <a:lnTo>
                <a:pt x="278252" y="852569"/>
              </a:lnTo>
              <a:lnTo>
                <a:pt x="324627" y="792648"/>
              </a:lnTo>
              <a:lnTo>
                <a:pt x="371002" y="573631"/>
              </a:lnTo>
              <a:lnTo>
                <a:pt x="417378" y="732024"/>
              </a:lnTo>
              <a:lnTo>
                <a:pt x="463753" y="812863"/>
              </a:lnTo>
              <a:lnTo>
                <a:pt x="510128" y="794861"/>
              </a:lnTo>
              <a:lnTo>
                <a:pt x="556504" y="708001"/>
              </a:lnTo>
              <a:lnTo>
                <a:pt x="602879" y="843086"/>
              </a:lnTo>
              <a:lnTo>
                <a:pt x="649254" y="782282"/>
              </a:lnTo>
              <a:lnTo>
                <a:pt x="695629" y="807168"/>
              </a:lnTo>
              <a:lnTo>
                <a:pt x="742005" y="937742"/>
              </a:lnTo>
              <a:lnTo>
                <a:pt x="788380" y="961468"/>
              </a:lnTo>
              <a:lnTo>
                <a:pt x="834755" y="1203990"/>
              </a:lnTo>
              <a:lnTo>
                <a:pt x="881131" y="1072602"/>
              </a:lnTo>
              <a:lnTo>
                <a:pt x="927506" y="1010600"/>
              </a:lnTo>
              <a:lnTo>
                <a:pt x="973881" y="1137742"/>
              </a:lnTo>
              <a:lnTo>
                <a:pt x="1020256" y="910265"/>
              </a:lnTo>
              <a:lnTo>
                <a:pt x="1066632" y="891871"/>
              </a:lnTo>
              <a:lnTo>
                <a:pt x="1113007" y="741666"/>
              </a:lnTo>
              <a:lnTo>
                <a:pt x="1159382" y="522192"/>
              </a:lnTo>
              <a:lnTo>
                <a:pt x="1205758" y="413827"/>
              </a:lnTo>
              <a:lnTo>
                <a:pt x="1252133" y="425788"/>
              </a:lnTo>
              <a:lnTo>
                <a:pt x="1298508" y="504367"/>
              </a:lnTo>
              <a:lnTo>
                <a:pt x="1344884" y="482183"/>
              </a:lnTo>
              <a:lnTo>
                <a:pt x="1391259" y="691933"/>
              </a:lnTo>
              <a:lnTo>
                <a:pt x="1437634" y="931986"/>
              </a:lnTo>
              <a:lnTo>
                <a:pt x="1484009" y="943229"/>
              </a:lnTo>
              <a:lnTo>
                <a:pt x="1530385" y="975611"/>
              </a:lnTo>
              <a:lnTo>
                <a:pt x="1576760" y="971575"/>
              </a:lnTo>
              <a:lnTo>
                <a:pt x="1623135" y="716207"/>
              </a:lnTo>
              <a:lnTo>
                <a:pt x="1669510" y="855140"/>
              </a:lnTo>
              <a:lnTo>
                <a:pt x="1715886" y="860220"/>
              </a:lnTo>
              <a:lnTo>
                <a:pt x="1762261" y="999558"/>
              </a:lnTo>
              <a:lnTo>
                <a:pt x="1808636" y="1099397"/>
              </a:lnTo>
              <a:lnTo>
                <a:pt x="1855012" y="762932"/>
              </a:lnTo>
              <a:lnTo>
                <a:pt x="1901387" y="799504"/>
              </a:lnTo>
              <a:lnTo>
                <a:pt x="1947762" y="873078"/>
              </a:lnTo>
              <a:lnTo>
                <a:pt x="1994138" y="1030425"/>
              </a:lnTo>
              <a:lnTo>
                <a:pt x="2040513" y="872197"/>
              </a:lnTo>
              <a:lnTo>
                <a:pt x="2086888" y="988640"/>
              </a:lnTo>
              <a:lnTo>
                <a:pt x="2133264" y="1188671"/>
              </a:lnTo>
              <a:lnTo>
                <a:pt x="2179639" y="1034532"/>
              </a:lnTo>
              <a:lnTo>
                <a:pt x="2226014" y="860934"/>
              </a:lnTo>
              <a:lnTo>
                <a:pt x="2272389" y="867595"/>
              </a:lnTo>
              <a:lnTo>
                <a:pt x="2318765" y="852200"/>
              </a:lnTo>
              <a:lnTo>
                <a:pt x="2365140" y="981584"/>
              </a:lnTo>
              <a:lnTo>
                <a:pt x="2411515" y="745090"/>
              </a:lnTo>
              <a:lnTo>
                <a:pt x="2457890" y="857958"/>
              </a:lnTo>
              <a:lnTo>
                <a:pt x="2504266" y="817537"/>
              </a:lnTo>
              <a:lnTo>
                <a:pt x="2550641" y="735160"/>
              </a:lnTo>
              <a:lnTo>
                <a:pt x="2597016" y="951005"/>
              </a:lnTo>
              <a:lnTo>
                <a:pt x="2643392" y="891601"/>
              </a:lnTo>
              <a:lnTo>
                <a:pt x="2689767" y="566999"/>
              </a:lnTo>
              <a:lnTo>
                <a:pt x="2736142" y="470521"/>
              </a:lnTo>
              <a:lnTo>
                <a:pt x="2782518" y="739072"/>
              </a:lnTo>
              <a:lnTo>
                <a:pt x="2828893" y="829454"/>
              </a:lnTo>
              <a:lnTo>
                <a:pt x="2875268" y="1044608"/>
              </a:lnTo>
              <a:lnTo>
                <a:pt x="2921644" y="921131"/>
              </a:lnTo>
              <a:lnTo>
                <a:pt x="2968019" y="811754"/>
              </a:lnTo>
              <a:lnTo>
                <a:pt x="3014394" y="861993"/>
              </a:lnTo>
              <a:lnTo>
                <a:pt x="3060769" y="852991"/>
              </a:lnTo>
              <a:lnTo>
                <a:pt x="3107145" y="881985"/>
              </a:lnTo>
              <a:lnTo>
                <a:pt x="3153520" y="882066"/>
              </a:lnTo>
              <a:lnTo>
                <a:pt x="3199895" y="890958"/>
              </a:lnTo>
              <a:lnTo>
                <a:pt x="3246271" y="749343"/>
              </a:lnTo>
              <a:lnTo>
                <a:pt x="3292646" y="807233"/>
              </a:lnTo>
              <a:lnTo>
                <a:pt x="3339021" y="848566"/>
              </a:lnTo>
              <a:lnTo>
                <a:pt x="3385396" y="870242"/>
              </a:lnTo>
              <a:lnTo>
                <a:pt x="3431772" y="693627"/>
              </a:lnTo>
              <a:lnTo>
                <a:pt x="3478147" y="614100"/>
              </a:lnTo>
              <a:lnTo>
                <a:pt x="3524522" y="669010"/>
              </a:lnTo>
              <a:lnTo>
                <a:pt x="3570898" y="599599"/>
              </a:lnTo>
              <a:lnTo>
                <a:pt x="3617273" y="846022"/>
              </a:lnTo>
              <a:lnTo>
                <a:pt x="3663648" y="733348"/>
              </a:lnTo>
              <a:lnTo>
                <a:pt x="3710023" y="1104968"/>
              </a:lnTo>
              <a:lnTo>
                <a:pt x="3756399" y="912211"/>
              </a:lnTo>
              <a:lnTo>
                <a:pt x="3802774" y="763154"/>
              </a:lnTo>
              <a:lnTo>
                <a:pt x="3849149" y="834771"/>
              </a:lnTo>
              <a:lnTo>
                <a:pt x="3895525" y="813063"/>
              </a:lnTo>
              <a:lnTo>
                <a:pt x="3941900" y="612880"/>
              </a:lnTo>
              <a:lnTo>
                <a:pt x="3988275" y="743051"/>
              </a:lnTo>
              <a:lnTo>
                <a:pt x="4034650" y="683999"/>
              </a:lnTo>
              <a:lnTo>
                <a:pt x="4081026" y="725822"/>
              </a:lnTo>
              <a:lnTo>
                <a:pt x="4127401" y="979212"/>
              </a:lnTo>
              <a:lnTo>
                <a:pt x="4173776" y="959657"/>
              </a:lnTo>
              <a:lnTo>
                <a:pt x="4220151" y="898294"/>
              </a:lnTo>
              <a:lnTo>
                <a:pt x="4266527" y="928300"/>
              </a:lnTo>
              <a:lnTo>
                <a:pt x="4312902" y="830930"/>
              </a:lnTo>
              <a:lnTo>
                <a:pt x="4359277" y="920514"/>
              </a:lnTo>
              <a:lnTo>
                <a:pt x="4405653" y="755723"/>
              </a:lnTo>
              <a:lnTo>
                <a:pt x="4452028" y="955104"/>
              </a:lnTo>
              <a:lnTo>
                <a:pt x="4498404" y="810882"/>
              </a:lnTo>
              <a:lnTo>
                <a:pt x="4544779" y="798875"/>
              </a:lnTo>
              <a:lnTo>
                <a:pt x="4591154" y="854721"/>
              </a:lnTo>
              <a:lnTo>
                <a:pt x="4637530" y="864732"/>
              </a:lnTo>
              <a:lnTo>
                <a:pt x="4683905" y="766089"/>
              </a:lnTo>
              <a:lnTo>
                <a:pt x="4730280" y="518725"/>
              </a:lnTo>
              <a:lnTo>
                <a:pt x="4776655" y="337476"/>
              </a:lnTo>
              <a:lnTo>
                <a:pt x="4823031" y="212485"/>
              </a:lnTo>
              <a:lnTo>
                <a:pt x="4869406" y="400603"/>
              </a:lnTo>
              <a:lnTo>
                <a:pt x="4915781" y="130772"/>
              </a:lnTo>
              <a:lnTo>
                <a:pt x="4962156" y="80170"/>
              </a:lnTo>
              <a:lnTo>
                <a:pt x="5008532" y="401916"/>
              </a:lnTo>
              <a:lnTo>
                <a:pt x="5054907" y="643013"/>
              </a:lnTo>
              <a:lnTo>
                <a:pt x="5101282" y="934581"/>
              </a:lnTo>
              <a:lnTo>
                <a:pt x="5147658" y="788592"/>
              </a:lnTo>
              <a:lnTo>
                <a:pt x="5194033" y="812430"/>
              </a:lnTo>
              <a:lnTo>
                <a:pt x="5240408" y="944739"/>
              </a:lnTo>
              <a:lnTo>
                <a:pt x="5286783" y="902468"/>
              </a:lnTo>
              <a:lnTo>
                <a:pt x="5333159" y="795483"/>
              </a:lnTo>
              <a:lnTo>
                <a:pt x="5379534" y="760743"/>
              </a:lnTo>
              <a:lnTo>
                <a:pt x="5425909" y="918401"/>
              </a:lnTo>
              <a:lnTo>
                <a:pt x="5472285" y="1236622"/>
              </a:lnTo>
              <a:lnTo>
                <a:pt x="5518660" y="997201"/>
              </a:lnTo>
              <a:lnTo>
                <a:pt x="5565035" y="894757"/>
              </a:lnTo>
              <a:lnTo>
                <a:pt x="5611410" y="821735"/>
              </a:lnTo>
              <a:lnTo>
                <a:pt x="5657786" y="767073"/>
              </a:lnTo>
              <a:lnTo>
                <a:pt x="5704161" y="725201"/>
              </a:lnTo>
              <a:lnTo>
                <a:pt x="5750536" y="692682"/>
              </a:lnTo>
              <a:lnTo>
                <a:pt x="5796912" y="667188"/>
              </a:lnTo>
              <a:lnTo>
                <a:pt x="5843287" y="647064"/>
              </a:lnTo>
              <a:lnTo>
                <a:pt x="5889662" y="631095"/>
              </a:lnTo>
              <a:lnTo>
                <a:pt x="5936037" y="618370"/>
              </a:lnTo>
              <a:lnTo>
                <a:pt x="5982413" y="608196"/>
              </a:lnTo>
              <a:lnTo>
                <a:pt x="6028788" y="600039"/>
              </a:lnTo>
              <a:lnTo>
                <a:pt x="6075163" y="593485"/>
              </a:lnTo>
              <a:lnTo>
                <a:pt x="6121539" y="588210"/>
              </a:lnTo>
              <a:lnTo>
                <a:pt x="6167914" y="583958"/>
              </a:lnTo>
              <a:lnTo>
                <a:pt x="6167914" y="451826"/>
              </a:lnTo>
              <a:lnTo>
                <a:pt x="6121539" y="456142"/>
              </a:lnTo>
              <a:lnTo>
                <a:pt x="6075163" y="461512"/>
              </a:lnTo>
              <a:lnTo>
                <a:pt x="6028788" y="468210"/>
              </a:lnTo>
              <a:lnTo>
                <a:pt x="5982413" y="476586"/>
              </a:lnTo>
              <a:lnTo>
                <a:pt x="5936037" y="487094"/>
              </a:lnTo>
              <a:lnTo>
                <a:pt x="5889662" y="500328"/>
              </a:lnTo>
              <a:lnTo>
                <a:pt x="5843287" y="517075"/>
              </a:lnTo>
              <a:lnTo>
                <a:pt x="5796912" y="538388"/>
              </a:lnTo>
              <a:lnTo>
                <a:pt x="5750536" y="565710"/>
              </a:lnTo>
              <a:lnTo>
                <a:pt x="5704161" y="601057"/>
              </a:lnTo>
              <a:lnTo>
                <a:pt x="5657786" y="647352"/>
              </a:lnTo>
              <a:lnTo>
                <a:pt x="5611410" y="709063"/>
              </a:lnTo>
              <a:lnTo>
                <a:pt x="5565035" y="793729"/>
              </a:lnTo>
              <a:lnTo>
                <a:pt x="5518660" y="917031"/>
              </a:lnTo>
              <a:lnTo>
                <a:pt x="5472285" y="1236622"/>
              </a:lnTo>
              <a:lnTo>
                <a:pt x="5425909" y="838231"/>
              </a:lnTo>
              <a:lnTo>
                <a:pt x="5379534" y="680573"/>
              </a:lnTo>
              <a:lnTo>
                <a:pt x="5333159" y="715313"/>
              </a:lnTo>
              <a:lnTo>
                <a:pt x="5286783" y="822298"/>
              </a:lnTo>
              <a:lnTo>
                <a:pt x="5240408" y="864569"/>
              </a:lnTo>
              <a:lnTo>
                <a:pt x="5194033" y="732260"/>
              </a:lnTo>
              <a:lnTo>
                <a:pt x="5147658" y="708422"/>
              </a:lnTo>
              <a:lnTo>
                <a:pt x="5101282" y="854411"/>
              </a:lnTo>
              <a:lnTo>
                <a:pt x="5054907" y="562843"/>
              </a:lnTo>
              <a:lnTo>
                <a:pt x="5008532" y="321746"/>
              </a:lnTo>
              <a:lnTo>
                <a:pt x="4962156" y="0"/>
              </a:lnTo>
              <a:lnTo>
                <a:pt x="4915781" y="50601"/>
              </a:lnTo>
              <a:lnTo>
                <a:pt x="4869406" y="320433"/>
              </a:lnTo>
              <a:lnTo>
                <a:pt x="4823031" y="132315"/>
              </a:lnTo>
              <a:lnTo>
                <a:pt x="4776655" y="257305"/>
              </a:lnTo>
              <a:lnTo>
                <a:pt x="4730280" y="438555"/>
              </a:lnTo>
              <a:lnTo>
                <a:pt x="4683905" y="685919"/>
              </a:lnTo>
              <a:lnTo>
                <a:pt x="4637530" y="784562"/>
              </a:lnTo>
              <a:lnTo>
                <a:pt x="4591154" y="774551"/>
              </a:lnTo>
              <a:lnTo>
                <a:pt x="4544779" y="718705"/>
              </a:lnTo>
              <a:lnTo>
                <a:pt x="4498404" y="730712"/>
              </a:lnTo>
              <a:lnTo>
                <a:pt x="4452028" y="874934"/>
              </a:lnTo>
              <a:lnTo>
                <a:pt x="4405653" y="675553"/>
              </a:lnTo>
              <a:lnTo>
                <a:pt x="4359277" y="840344"/>
              </a:lnTo>
              <a:lnTo>
                <a:pt x="4312902" y="750760"/>
              </a:lnTo>
              <a:lnTo>
                <a:pt x="4266527" y="848130"/>
              </a:lnTo>
              <a:lnTo>
                <a:pt x="4220151" y="818124"/>
              </a:lnTo>
              <a:lnTo>
                <a:pt x="4173776" y="879487"/>
              </a:lnTo>
              <a:lnTo>
                <a:pt x="4127401" y="899041"/>
              </a:lnTo>
              <a:lnTo>
                <a:pt x="4081026" y="645652"/>
              </a:lnTo>
              <a:lnTo>
                <a:pt x="4034650" y="603829"/>
              </a:lnTo>
              <a:lnTo>
                <a:pt x="3988275" y="662881"/>
              </a:lnTo>
              <a:lnTo>
                <a:pt x="3941900" y="532710"/>
              </a:lnTo>
              <a:lnTo>
                <a:pt x="3895525" y="732893"/>
              </a:lnTo>
              <a:lnTo>
                <a:pt x="3849149" y="754601"/>
              </a:lnTo>
              <a:lnTo>
                <a:pt x="3802774" y="682984"/>
              </a:lnTo>
              <a:lnTo>
                <a:pt x="3756399" y="832041"/>
              </a:lnTo>
              <a:lnTo>
                <a:pt x="3710023" y="1024798"/>
              </a:lnTo>
              <a:lnTo>
                <a:pt x="3663648" y="653178"/>
              </a:lnTo>
              <a:lnTo>
                <a:pt x="3617273" y="765852"/>
              </a:lnTo>
              <a:lnTo>
                <a:pt x="3570898" y="519429"/>
              </a:lnTo>
              <a:lnTo>
                <a:pt x="3524522" y="588840"/>
              </a:lnTo>
              <a:lnTo>
                <a:pt x="3478147" y="533929"/>
              </a:lnTo>
              <a:lnTo>
                <a:pt x="3431772" y="613457"/>
              </a:lnTo>
              <a:lnTo>
                <a:pt x="3385396" y="790072"/>
              </a:lnTo>
              <a:lnTo>
                <a:pt x="3339021" y="768396"/>
              </a:lnTo>
              <a:lnTo>
                <a:pt x="3292646" y="727063"/>
              </a:lnTo>
              <a:lnTo>
                <a:pt x="3246271" y="669173"/>
              </a:lnTo>
              <a:lnTo>
                <a:pt x="3199895" y="810788"/>
              </a:lnTo>
              <a:lnTo>
                <a:pt x="3153520" y="801895"/>
              </a:lnTo>
              <a:lnTo>
                <a:pt x="3107145" y="801815"/>
              </a:lnTo>
              <a:lnTo>
                <a:pt x="3060769" y="772821"/>
              </a:lnTo>
              <a:lnTo>
                <a:pt x="3014394" y="781823"/>
              </a:lnTo>
              <a:lnTo>
                <a:pt x="2968019" y="731584"/>
              </a:lnTo>
              <a:lnTo>
                <a:pt x="2921644" y="840961"/>
              </a:lnTo>
              <a:lnTo>
                <a:pt x="2875268" y="964438"/>
              </a:lnTo>
              <a:lnTo>
                <a:pt x="2828893" y="749284"/>
              </a:lnTo>
              <a:lnTo>
                <a:pt x="2782518" y="658902"/>
              </a:lnTo>
              <a:lnTo>
                <a:pt x="2736142" y="390351"/>
              </a:lnTo>
              <a:lnTo>
                <a:pt x="2689767" y="486828"/>
              </a:lnTo>
              <a:lnTo>
                <a:pt x="2643392" y="811431"/>
              </a:lnTo>
              <a:lnTo>
                <a:pt x="2597016" y="870835"/>
              </a:lnTo>
              <a:lnTo>
                <a:pt x="2550641" y="654990"/>
              </a:lnTo>
              <a:lnTo>
                <a:pt x="2504266" y="737367"/>
              </a:lnTo>
              <a:lnTo>
                <a:pt x="2457890" y="777788"/>
              </a:lnTo>
              <a:lnTo>
                <a:pt x="2411515" y="664920"/>
              </a:lnTo>
              <a:lnTo>
                <a:pt x="2365140" y="901414"/>
              </a:lnTo>
              <a:lnTo>
                <a:pt x="2318765" y="772029"/>
              </a:lnTo>
              <a:lnTo>
                <a:pt x="2272389" y="787425"/>
              </a:lnTo>
              <a:lnTo>
                <a:pt x="2226014" y="780764"/>
              </a:lnTo>
              <a:lnTo>
                <a:pt x="2179639" y="954362"/>
              </a:lnTo>
              <a:lnTo>
                <a:pt x="2133264" y="1108501"/>
              </a:lnTo>
              <a:lnTo>
                <a:pt x="2086888" y="908470"/>
              </a:lnTo>
              <a:lnTo>
                <a:pt x="2040513" y="792027"/>
              </a:lnTo>
              <a:lnTo>
                <a:pt x="1994138" y="950255"/>
              </a:lnTo>
              <a:lnTo>
                <a:pt x="1947762" y="792908"/>
              </a:lnTo>
              <a:lnTo>
                <a:pt x="1901387" y="719334"/>
              </a:lnTo>
              <a:lnTo>
                <a:pt x="1855012" y="682761"/>
              </a:lnTo>
              <a:lnTo>
                <a:pt x="1808636" y="1019226"/>
              </a:lnTo>
              <a:lnTo>
                <a:pt x="1762261" y="919388"/>
              </a:lnTo>
              <a:lnTo>
                <a:pt x="1715886" y="780049"/>
              </a:lnTo>
              <a:lnTo>
                <a:pt x="1669510" y="774969"/>
              </a:lnTo>
              <a:lnTo>
                <a:pt x="1623135" y="636037"/>
              </a:lnTo>
              <a:lnTo>
                <a:pt x="1576760" y="891405"/>
              </a:lnTo>
              <a:lnTo>
                <a:pt x="1530385" y="895441"/>
              </a:lnTo>
              <a:lnTo>
                <a:pt x="1484009" y="863059"/>
              </a:lnTo>
              <a:lnTo>
                <a:pt x="1437634" y="851816"/>
              </a:lnTo>
              <a:lnTo>
                <a:pt x="1391259" y="611763"/>
              </a:lnTo>
              <a:lnTo>
                <a:pt x="1344884" y="402013"/>
              </a:lnTo>
              <a:lnTo>
                <a:pt x="1298508" y="424197"/>
              </a:lnTo>
              <a:lnTo>
                <a:pt x="1252133" y="345618"/>
              </a:lnTo>
              <a:lnTo>
                <a:pt x="1205758" y="333657"/>
              </a:lnTo>
              <a:lnTo>
                <a:pt x="1159382" y="442021"/>
              </a:lnTo>
              <a:lnTo>
                <a:pt x="1113007" y="661496"/>
              </a:lnTo>
              <a:lnTo>
                <a:pt x="1066632" y="811701"/>
              </a:lnTo>
              <a:lnTo>
                <a:pt x="1020256" y="830095"/>
              </a:lnTo>
              <a:lnTo>
                <a:pt x="973881" y="1057572"/>
              </a:lnTo>
              <a:lnTo>
                <a:pt x="927506" y="930430"/>
              </a:lnTo>
              <a:lnTo>
                <a:pt x="881131" y="992432"/>
              </a:lnTo>
              <a:lnTo>
                <a:pt x="834755" y="1123820"/>
              </a:lnTo>
              <a:lnTo>
                <a:pt x="788380" y="881298"/>
              </a:lnTo>
              <a:lnTo>
                <a:pt x="742005" y="857572"/>
              </a:lnTo>
              <a:lnTo>
                <a:pt x="695629" y="726998"/>
              </a:lnTo>
              <a:lnTo>
                <a:pt x="649254" y="702111"/>
              </a:lnTo>
              <a:lnTo>
                <a:pt x="602879" y="762916"/>
              </a:lnTo>
              <a:lnTo>
                <a:pt x="556504" y="627831"/>
              </a:lnTo>
              <a:lnTo>
                <a:pt x="510128" y="714691"/>
              </a:lnTo>
              <a:lnTo>
                <a:pt x="463753" y="732692"/>
              </a:lnTo>
              <a:lnTo>
                <a:pt x="417378" y="651854"/>
              </a:lnTo>
              <a:lnTo>
                <a:pt x="371002" y="493461"/>
              </a:lnTo>
              <a:lnTo>
                <a:pt x="324627" y="712478"/>
              </a:lnTo>
              <a:lnTo>
                <a:pt x="278252" y="772399"/>
              </a:lnTo>
              <a:lnTo>
                <a:pt x="231876" y="480475"/>
              </a:lnTo>
              <a:lnTo>
                <a:pt x="185501" y="514071"/>
              </a:lnTo>
              <a:lnTo>
                <a:pt x="139126" y="612045"/>
              </a:lnTo>
              <a:lnTo>
                <a:pt x="92751" y="672353"/>
              </a:lnTo>
              <a:lnTo>
                <a:pt x="46375" y="766566"/>
              </a:lnTo>
              <a:lnTo>
                <a:pt x="0" y="808671"/>
              </a:lnTo>
              <a:lnTo>
                <a:pt x="0" y="888841"/>
              </a:lnTo>
            </a:path>
          </a:pathLst>
        </a:custGeom>
        <a:solidFill xmlns:a="http://schemas.openxmlformats.org/drawingml/2006/main">
          <a:srgbClr val="2473B1">
            <a:alpha val="56000"/>
          </a:srgbClr>
        </a:solidFill>
        <a:ln xmlns:a="http://schemas.openxmlformats.org/drawingml/2006/main">
          <a:solidFill>
            <a:srgbClr val="FFFFFF"/>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0.06637</cdr:x>
      <cdr:y>0.13716</cdr:y>
    </cdr:from>
    <cdr:to>
      <cdr:x>0.96574</cdr:x>
      <cdr:y>0.65009</cdr:y>
    </cdr:to>
    <cdr:sp macro="" textlink="">
      <cdr:nvSpPr>
        <cdr:cNvPr id="3420" name="$I$4:$T$137|$B$310 9">
          <a:extLst xmlns:a="http://schemas.openxmlformats.org/drawingml/2006/main">
            <a:ext uri="{FF2B5EF4-FFF2-40B4-BE49-F238E27FC236}">
              <a16:creationId xmlns:a16="http://schemas.microsoft.com/office/drawing/2014/main" id="{4FD6177A-D4C8-4B5A-9F29-E1A2EBE2AA6E}"/>
            </a:ext>
          </a:extLst>
        </cdr:cNvPr>
        <cdr:cNvSpPr/>
      </cdr:nvSpPr>
      <cdr:spPr>
        <a:xfrm xmlns:a="http://schemas.openxmlformats.org/drawingml/2006/main">
          <a:off x="455136" y="348388"/>
          <a:ext cx="6167915" cy="1302829"/>
        </a:xfrm>
        <a:custGeom xmlns:a="http://schemas.openxmlformats.org/drawingml/2006/main">
          <a:avLst/>
          <a:gdLst/>
          <a:ahLst/>
          <a:cxnLst/>
          <a:rect l="0" t="0" r="0" b="0"/>
          <a:pathLst>
            <a:path w="6167915" h="1302829">
              <a:moveTo>
                <a:pt x="12700" y="874877"/>
              </a:moveTo>
              <a:lnTo>
                <a:pt x="46375" y="832772"/>
              </a:lnTo>
              <a:lnTo>
                <a:pt x="92751" y="738559"/>
              </a:lnTo>
              <a:lnTo>
                <a:pt x="139126" y="678251"/>
              </a:lnTo>
              <a:lnTo>
                <a:pt x="185501" y="580277"/>
              </a:lnTo>
              <a:lnTo>
                <a:pt x="231876" y="546681"/>
              </a:lnTo>
              <a:lnTo>
                <a:pt x="278252" y="838605"/>
              </a:lnTo>
              <a:lnTo>
                <a:pt x="324627" y="778684"/>
              </a:lnTo>
              <a:lnTo>
                <a:pt x="371002" y="559667"/>
              </a:lnTo>
              <a:lnTo>
                <a:pt x="417378" y="718060"/>
              </a:lnTo>
              <a:lnTo>
                <a:pt x="463753" y="798898"/>
              </a:lnTo>
              <a:lnTo>
                <a:pt x="510128" y="780897"/>
              </a:lnTo>
              <a:lnTo>
                <a:pt x="556504" y="694037"/>
              </a:lnTo>
              <a:lnTo>
                <a:pt x="602879" y="829122"/>
              </a:lnTo>
              <a:lnTo>
                <a:pt x="649254" y="768317"/>
              </a:lnTo>
              <a:lnTo>
                <a:pt x="695629" y="793204"/>
              </a:lnTo>
              <a:lnTo>
                <a:pt x="742005" y="923778"/>
              </a:lnTo>
              <a:lnTo>
                <a:pt x="788380" y="947504"/>
              </a:lnTo>
              <a:lnTo>
                <a:pt x="834755" y="1190026"/>
              </a:lnTo>
              <a:lnTo>
                <a:pt x="881131" y="1058638"/>
              </a:lnTo>
              <a:lnTo>
                <a:pt x="927506" y="996636"/>
              </a:lnTo>
              <a:lnTo>
                <a:pt x="973881" y="1123778"/>
              </a:lnTo>
              <a:lnTo>
                <a:pt x="1020256" y="896301"/>
              </a:lnTo>
              <a:lnTo>
                <a:pt x="1066632" y="877907"/>
              </a:lnTo>
              <a:lnTo>
                <a:pt x="1113007" y="727702"/>
              </a:lnTo>
              <a:lnTo>
                <a:pt x="1159382" y="508227"/>
              </a:lnTo>
              <a:lnTo>
                <a:pt x="1205758" y="399863"/>
              </a:lnTo>
              <a:lnTo>
                <a:pt x="1252133" y="411824"/>
              </a:lnTo>
              <a:lnTo>
                <a:pt x="1298508" y="490403"/>
              </a:lnTo>
              <a:lnTo>
                <a:pt x="1344884" y="468219"/>
              </a:lnTo>
              <a:lnTo>
                <a:pt x="1391259" y="677969"/>
              </a:lnTo>
              <a:lnTo>
                <a:pt x="1437634" y="918022"/>
              </a:lnTo>
              <a:lnTo>
                <a:pt x="1484009" y="929265"/>
              </a:lnTo>
              <a:lnTo>
                <a:pt x="1530385" y="961647"/>
              </a:lnTo>
              <a:lnTo>
                <a:pt x="1576760" y="957611"/>
              </a:lnTo>
              <a:lnTo>
                <a:pt x="1623135" y="702243"/>
              </a:lnTo>
              <a:lnTo>
                <a:pt x="1669510" y="841175"/>
              </a:lnTo>
              <a:lnTo>
                <a:pt x="1715886" y="846255"/>
              </a:lnTo>
              <a:lnTo>
                <a:pt x="1762261" y="985594"/>
              </a:lnTo>
              <a:lnTo>
                <a:pt x="1808636" y="1085432"/>
              </a:lnTo>
              <a:lnTo>
                <a:pt x="1855012" y="748967"/>
              </a:lnTo>
              <a:lnTo>
                <a:pt x="1901387" y="785540"/>
              </a:lnTo>
              <a:lnTo>
                <a:pt x="1947762" y="859114"/>
              </a:lnTo>
              <a:lnTo>
                <a:pt x="1994138" y="1016461"/>
              </a:lnTo>
              <a:lnTo>
                <a:pt x="2040513" y="858233"/>
              </a:lnTo>
              <a:lnTo>
                <a:pt x="2086888" y="974676"/>
              </a:lnTo>
              <a:lnTo>
                <a:pt x="2133264" y="1174707"/>
              </a:lnTo>
              <a:lnTo>
                <a:pt x="2179639" y="1020568"/>
              </a:lnTo>
              <a:lnTo>
                <a:pt x="2226014" y="846970"/>
              </a:lnTo>
              <a:lnTo>
                <a:pt x="2272389" y="853631"/>
              </a:lnTo>
              <a:lnTo>
                <a:pt x="2318765" y="838235"/>
              </a:lnTo>
              <a:lnTo>
                <a:pt x="2365140" y="967620"/>
              </a:lnTo>
              <a:lnTo>
                <a:pt x="2411515" y="731126"/>
              </a:lnTo>
              <a:lnTo>
                <a:pt x="2457890" y="843994"/>
              </a:lnTo>
              <a:lnTo>
                <a:pt x="2504266" y="803573"/>
              </a:lnTo>
              <a:lnTo>
                <a:pt x="2550641" y="721196"/>
              </a:lnTo>
              <a:lnTo>
                <a:pt x="2597016" y="937041"/>
              </a:lnTo>
              <a:lnTo>
                <a:pt x="2643392" y="877637"/>
              </a:lnTo>
              <a:lnTo>
                <a:pt x="2689767" y="553034"/>
              </a:lnTo>
              <a:lnTo>
                <a:pt x="2736142" y="456557"/>
              </a:lnTo>
              <a:lnTo>
                <a:pt x="2782518" y="725108"/>
              </a:lnTo>
              <a:lnTo>
                <a:pt x="2828893" y="815490"/>
              </a:lnTo>
              <a:lnTo>
                <a:pt x="2875268" y="1030644"/>
              </a:lnTo>
              <a:lnTo>
                <a:pt x="2921644" y="907167"/>
              </a:lnTo>
              <a:lnTo>
                <a:pt x="2968019" y="797790"/>
              </a:lnTo>
              <a:lnTo>
                <a:pt x="3014394" y="848029"/>
              </a:lnTo>
              <a:lnTo>
                <a:pt x="3060769" y="839027"/>
              </a:lnTo>
              <a:lnTo>
                <a:pt x="3107145" y="868021"/>
              </a:lnTo>
              <a:lnTo>
                <a:pt x="3153520" y="868101"/>
              </a:lnTo>
              <a:lnTo>
                <a:pt x="3199895" y="876994"/>
              </a:lnTo>
              <a:lnTo>
                <a:pt x="3246271" y="735379"/>
              </a:lnTo>
              <a:lnTo>
                <a:pt x="3292646" y="793269"/>
              </a:lnTo>
              <a:lnTo>
                <a:pt x="3339021" y="834602"/>
              </a:lnTo>
              <a:lnTo>
                <a:pt x="3385396" y="856278"/>
              </a:lnTo>
              <a:lnTo>
                <a:pt x="3431772" y="679663"/>
              </a:lnTo>
              <a:lnTo>
                <a:pt x="3478147" y="600135"/>
              </a:lnTo>
              <a:lnTo>
                <a:pt x="3524522" y="655046"/>
              </a:lnTo>
              <a:lnTo>
                <a:pt x="3570898" y="585635"/>
              </a:lnTo>
              <a:lnTo>
                <a:pt x="3617273" y="832058"/>
              </a:lnTo>
              <a:lnTo>
                <a:pt x="3663648" y="719384"/>
              </a:lnTo>
              <a:lnTo>
                <a:pt x="3710023" y="1091004"/>
              </a:lnTo>
              <a:lnTo>
                <a:pt x="3756399" y="898247"/>
              </a:lnTo>
              <a:lnTo>
                <a:pt x="3802774" y="749190"/>
              </a:lnTo>
              <a:lnTo>
                <a:pt x="3849149" y="820807"/>
              </a:lnTo>
              <a:lnTo>
                <a:pt x="3895525" y="799099"/>
              </a:lnTo>
              <a:lnTo>
                <a:pt x="3941900" y="598916"/>
              </a:lnTo>
              <a:lnTo>
                <a:pt x="3988275" y="729087"/>
              </a:lnTo>
              <a:lnTo>
                <a:pt x="4034650" y="670035"/>
              </a:lnTo>
              <a:lnTo>
                <a:pt x="4081026" y="711858"/>
              </a:lnTo>
              <a:lnTo>
                <a:pt x="4127401" y="965247"/>
              </a:lnTo>
              <a:lnTo>
                <a:pt x="4173776" y="945693"/>
              </a:lnTo>
              <a:lnTo>
                <a:pt x="4220151" y="884330"/>
              </a:lnTo>
              <a:lnTo>
                <a:pt x="4266527" y="914336"/>
              </a:lnTo>
              <a:lnTo>
                <a:pt x="4312902" y="816966"/>
              </a:lnTo>
              <a:lnTo>
                <a:pt x="4359277" y="906550"/>
              </a:lnTo>
              <a:lnTo>
                <a:pt x="4405653" y="741759"/>
              </a:lnTo>
              <a:lnTo>
                <a:pt x="4452028" y="941140"/>
              </a:lnTo>
              <a:lnTo>
                <a:pt x="4498404" y="796918"/>
              </a:lnTo>
              <a:lnTo>
                <a:pt x="4544779" y="784911"/>
              </a:lnTo>
              <a:lnTo>
                <a:pt x="4591154" y="840757"/>
              </a:lnTo>
              <a:lnTo>
                <a:pt x="4637530" y="850768"/>
              </a:lnTo>
              <a:lnTo>
                <a:pt x="4683905" y="752125"/>
              </a:lnTo>
              <a:lnTo>
                <a:pt x="4730280" y="504761"/>
              </a:lnTo>
              <a:lnTo>
                <a:pt x="4776655" y="323511"/>
              </a:lnTo>
              <a:lnTo>
                <a:pt x="4823031" y="198521"/>
              </a:lnTo>
              <a:lnTo>
                <a:pt x="4869406" y="386639"/>
              </a:lnTo>
              <a:lnTo>
                <a:pt x="4915781" y="116807"/>
              </a:lnTo>
              <a:lnTo>
                <a:pt x="4962156" y="66206"/>
              </a:lnTo>
              <a:lnTo>
                <a:pt x="5008532" y="387952"/>
              </a:lnTo>
              <a:lnTo>
                <a:pt x="5054907" y="629049"/>
              </a:lnTo>
              <a:lnTo>
                <a:pt x="5101282" y="920617"/>
              </a:lnTo>
              <a:lnTo>
                <a:pt x="5147658" y="774628"/>
              </a:lnTo>
              <a:lnTo>
                <a:pt x="5194033" y="798466"/>
              </a:lnTo>
              <a:lnTo>
                <a:pt x="5240408" y="930775"/>
              </a:lnTo>
              <a:lnTo>
                <a:pt x="5286783" y="888504"/>
              </a:lnTo>
              <a:lnTo>
                <a:pt x="5333159" y="781519"/>
              </a:lnTo>
              <a:lnTo>
                <a:pt x="5379534" y="746779"/>
              </a:lnTo>
              <a:lnTo>
                <a:pt x="5425909" y="904437"/>
              </a:lnTo>
              <a:lnTo>
                <a:pt x="5472285" y="1302828"/>
              </a:lnTo>
              <a:lnTo>
                <a:pt x="5518660" y="983237"/>
              </a:lnTo>
              <a:lnTo>
                <a:pt x="5565035" y="859935"/>
              </a:lnTo>
              <a:lnTo>
                <a:pt x="5611410" y="775269"/>
              </a:lnTo>
              <a:lnTo>
                <a:pt x="5657786" y="713558"/>
              </a:lnTo>
              <a:lnTo>
                <a:pt x="5704161" y="667263"/>
              </a:lnTo>
              <a:lnTo>
                <a:pt x="5750536" y="631916"/>
              </a:lnTo>
              <a:lnTo>
                <a:pt x="5796912" y="604594"/>
              </a:lnTo>
              <a:lnTo>
                <a:pt x="5843287" y="583281"/>
              </a:lnTo>
              <a:lnTo>
                <a:pt x="5889662" y="566534"/>
              </a:lnTo>
              <a:lnTo>
                <a:pt x="5936037" y="553300"/>
              </a:lnTo>
              <a:lnTo>
                <a:pt x="5982413" y="542792"/>
              </a:lnTo>
              <a:lnTo>
                <a:pt x="6028788" y="534416"/>
              </a:lnTo>
              <a:lnTo>
                <a:pt x="6075163" y="527718"/>
              </a:lnTo>
              <a:lnTo>
                <a:pt x="6121539" y="522348"/>
              </a:lnTo>
              <a:lnTo>
                <a:pt x="6167914" y="518032"/>
              </a:lnTo>
              <a:lnTo>
                <a:pt x="6167914" y="408916"/>
              </a:lnTo>
              <a:lnTo>
                <a:pt x="6121539" y="413283"/>
              </a:lnTo>
              <a:lnTo>
                <a:pt x="6075163" y="418732"/>
              </a:lnTo>
              <a:lnTo>
                <a:pt x="6028788" y="425549"/>
              </a:lnTo>
              <a:lnTo>
                <a:pt x="5982413" y="434106"/>
              </a:lnTo>
              <a:lnTo>
                <a:pt x="5936037" y="444891"/>
              </a:lnTo>
              <a:lnTo>
                <a:pt x="5889662" y="458545"/>
              </a:lnTo>
              <a:lnTo>
                <a:pt x="5843287" y="475933"/>
              </a:lnTo>
              <a:lnTo>
                <a:pt x="5796912" y="498229"/>
              </a:lnTo>
              <a:lnTo>
                <a:pt x="5750536" y="527060"/>
              </a:lnTo>
              <a:lnTo>
                <a:pt x="5704161" y="564743"/>
              </a:lnTo>
              <a:lnTo>
                <a:pt x="5657786" y="614690"/>
              </a:lnTo>
              <a:lnTo>
                <a:pt x="5611410" y="682223"/>
              </a:lnTo>
              <a:lnTo>
                <a:pt x="5565035" y="776505"/>
              </a:lnTo>
              <a:lnTo>
                <a:pt x="5518660" y="917031"/>
              </a:lnTo>
              <a:lnTo>
                <a:pt x="5472285" y="1302828"/>
              </a:lnTo>
              <a:lnTo>
                <a:pt x="5425909" y="838231"/>
              </a:lnTo>
              <a:lnTo>
                <a:pt x="5379534" y="680573"/>
              </a:lnTo>
              <a:lnTo>
                <a:pt x="5333159" y="715313"/>
              </a:lnTo>
              <a:lnTo>
                <a:pt x="5286783" y="822298"/>
              </a:lnTo>
              <a:lnTo>
                <a:pt x="5240408" y="864569"/>
              </a:lnTo>
              <a:lnTo>
                <a:pt x="5194033" y="732260"/>
              </a:lnTo>
              <a:lnTo>
                <a:pt x="5147658" y="708422"/>
              </a:lnTo>
              <a:lnTo>
                <a:pt x="5101282" y="854411"/>
              </a:lnTo>
              <a:lnTo>
                <a:pt x="5054907" y="562843"/>
              </a:lnTo>
              <a:lnTo>
                <a:pt x="5008532" y="321746"/>
              </a:lnTo>
              <a:lnTo>
                <a:pt x="4962156" y="0"/>
              </a:lnTo>
              <a:lnTo>
                <a:pt x="4915781" y="50602"/>
              </a:lnTo>
              <a:lnTo>
                <a:pt x="4869406" y="320433"/>
              </a:lnTo>
              <a:lnTo>
                <a:pt x="4823031" y="132315"/>
              </a:lnTo>
              <a:lnTo>
                <a:pt x="4776655" y="257306"/>
              </a:lnTo>
              <a:lnTo>
                <a:pt x="4730280" y="438555"/>
              </a:lnTo>
              <a:lnTo>
                <a:pt x="4683905" y="685919"/>
              </a:lnTo>
              <a:lnTo>
                <a:pt x="4637530" y="784562"/>
              </a:lnTo>
              <a:lnTo>
                <a:pt x="4591154" y="774551"/>
              </a:lnTo>
              <a:lnTo>
                <a:pt x="4544779" y="718705"/>
              </a:lnTo>
              <a:lnTo>
                <a:pt x="4498404" y="730712"/>
              </a:lnTo>
              <a:lnTo>
                <a:pt x="4452028" y="874934"/>
              </a:lnTo>
              <a:lnTo>
                <a:pt x="4405653" y="675553"/>
              </a:lnTo>
              <a:lnTo>
                <a:pt x="4359277" y="840344"/>
              </a:lnTo>
              <a:lnTo>
                <a:pt x="4312902" y="750760"/>
              </a:lnTo>
              <a:lnTo>
                <a:pt x="4266527" y="848130"/>
              </a:lnTo>
              <a:lnTo>
                <a:pt x="4220151" y="818124"/>
              </a:lnTo>
              <a:lnTo>
                <a:pt x="4173776" y="879487"/>
              </a:lnTo>
              <a:lnTo>
                <a:pt x="4127401" y="899041"/>
              </a:lnTo>
              <a:lnTo>
                <a:pt x="4081026" y="645652"/>
              </a:lnTo>
              <a:lnTo>
                <a:pt x="4034650" y="603829"/>
              </a:lnTo>
              <a:lnTo>
                <a:pt x="3988275" y="662881"/>
              </a:lnTo>
              <a:lnTo>
                <a:pt x="3941900" y="532710"/>
              </a:lnTo>
              <a:lnTo>
                <a:pt x="3895525" y="732893"/>
              </a:lnTo>
              <a:lnTo>
                <a:pt x="3849149" y="754601"/>
              </a:lnTo>
              <a:lnTo>
                <a:pt x="3802774" y="682984"/>
              </a:lnTo>
              <a:lnTo>
                <a:pt x="3756399" y="832041"/>
              </a:lnTo>
              <a:lnTo>
                <a:pt x="3710023" y="1024798"/>
              </a:lnTo>
              <a:lnTo>
                <a:pt x="3663648" y="653178"/>
              </a:lnTo>
              <a:lnTo>
                <a:pt x="3617273" y="765852"/>
              </a:lnTo>
              <a:lnTo>
                <a:pt x="3570898" y="519429"/>
              </a:lnTo>
              <a:lnTo>
                <a:pt x="3524522" y="588840"/>
              </a:lnTo>
              <a:lnTo>
                <a:pt x="3478147" y="533930"/>
              </a:lnTo>
              <a:lnTo>
                <a:pt x="3431772" y="613457"/>
              </a:lnTo>
              <a:lnTo>
                <a:pt x="3385396" y="790072"/>
              </a:lnTo>
              <a:lnTo>
                <a:pt x="3339021" y="768396"/>
              </a:lnTo>
              <a:lnTo>
                <a:pt x="3292646" y="727063"/>
              </a:lnTo>
              <a:lnTo>
                <a:pt x="3246271" y="669173"/>
              </a:lnTo>
              <a:lnTo>
                <a:pt x="3199895" y="810788"/>
              </a:lnTo>
              <a:lnTo>
                <a:pt x="3153520" y="801896"/>
              </a:lnTo>
              <a:lnTo>
                <a:pt x="3107145" y="801815"/>
              </a:lnTo>
              <a:lnTo>
                <a:pt x="3060769" y="772821"/>
              </a:lnTo>
              <a:lnTo>
                <a:pt x="3014394" y="781823"/>
              </a:lnTo>
              <a:lnTo>
                <a:pt x="2968019" y="731584"/>
              </a:lnTo>
              <a:lnTo>
                <a:pt x="2921644" y="840961"/>
              </a:lnTo>
              <a:lnTo>
                <a:pt x="2875268" y="964438"/>
              </a:lnTo>
              <a:lnTo>
                <a:pt x="2828893" y="749284"/>
              </a:lnTo>
              <a:lnTo>
                <a:pt x="2782518" y="658902"/>
              </a:lnTo>
              <a:lnTo>
                <a:pt x="2736142" y="390351"/>
              </a:lnTo>
              <a:lnTo>
                <a:pt x="2689767" y="486829"/>
              </a:lnTo>
              <a:lnTo>
                <a:pt x="2643392" y="811431"/>
              </a:lnTo>
              <a:lnTo>
                <a:pt x="2597016" y="870835"/>
              </a:lnTo>
              <a:lnTo>
                <a:pt x="2550641" y="654990"/>
              </a:lnTo>
              <a:lnTo>
                <a:pt x="2504266" y="737367"/>
              </a:lnTo>
              <a:lnTo>
                <a:pt x="2457890" y="777788"/>
              </a:lnTo>
              <a:lnTo>
                <a:pt x="2411515" y="664920"/>
              </a:lnTo>
              <a:lnTo>
                <a:pt x="2365140" y="901414"/>
              </a:lnTo>
              <a:lnTo>
                <a:pt x="2318765" y="772030"/>
              </a:lnTo>
              <a:lnTo>
                <a:pt x="2272389" y="787425"/>
              </a:lnTo>
              <a:lnTo>
                <a:pt x="2226014" y="780764"/>
              </a:lnTo>
              <a:lnTo>
                <a:pt x="2179639" y="954362"/>
              </a:lnTo>
              <a:lnTo>
                <a:pt x="2133264" y="1108501"/>
              </a:lnTo>
              <a:lnTo>
                <a:pt x="2086888" y="908470"/>
              </a:lnTo>
              <a:lnTo>
                <a:pt x="2040513" y="792027"/>
              </a:lnTo>
              <a:lnTo>
                <a:pt x="1994138" y="950255"/>
              </a:lnTo>
              <a:lnTo>
                <a:pt x="1947762" y="792908"/>
              </a:lnTo>
              <a:lnTo>
                <a:pt x="1901387" y="719334"/>
              </a:lnTo>
              <a:lnTo>
                <a:pt x="1855012" y="682762"/>
              </a:lnTo>
              <a:lnTo>
                <a:pt x="1808636" y="1019226"/>
              </a:lnTo>
              <a:lnTo>
                <a:pt x="1762261" y="919388"/>
              </a:lnTo>
              <a:lnTo>
                <a:pt x="1715886" y="780050"/>
              </a:lnTo>
              <a:lnTo>
                <a:pt x="1669510" y="774969"/>
              </a:lnTo>
              <a:lnTo>
                <a:pt x="1623135" y="636037"/>
              </a:lnTo>
              <a:lnTo>
                <a:pt x="1576760" y="891405"/>
              </a:lnTo>
              <a:lnTo>
                <a:pt x="1530385" y="895441"/>
              </a:lnTo>
              <a:lnTo>
                <a:pt x="1484009" y="863059"/>
              </a:lnTo>
              <a:lnTo>
                <a:pt x="1437634" y="851816"/>
              </a:lnTo>
              <a:lnTo>
                <a:pt x="1391259" y="611763"/>
              </a:lnTo>
              <a:lnTo>
                <a:pt x="1344884" y="402013"/>
              </a:lnTo>
              <a:lnTo>
                <a:pt x="1298508" y="424197"/>
              </a:lnTo>
              <a:lnTo>
                <a:pt x="1252133" y="345618"/>
              </a:lnTo>
              <a:lnTo>
                <a:pt x="1205758" y="333657"/>
              </a:lnTo>
              <a:lnTo>
                <a:pt x="1159382" y="442022"/>
              </a:lnTo>
              <a:lnTo>
                <a:pt x="1113007" y="661496"/>
              </a:lnTo>
              <a:lnTo>
                <a:pt x="1066632" y="811701"/>
              </a:lnTo>
              <a:lnTo>
                <a:pt x="1020256" y="830095"/>
              </a:lnTo>
              <a:lnTo>
                <a:pt x="973881" y="1057572"/>
              </a:lnTo>
              <a:lnTo>
                <a:pt x="927506" y="930430"/>
              </a:lnTo>
              <a:lnTo>
                <a:pt x="881131" y="992432"/>
              </a:lnTo>
              <a:lnTo>
                <a:pt x="834755" y="1123820"/>
              </a:lnTo>
              <a:lnTo>
                <a:pt x="788380" y="881298"/>
              </a:lnTo>
              <a:lnTo>
                <a:pt x="742005" y="857572"/>
              </a:lnTo>
              <a:lnTo>
                <a:pt x="695629" y="726998"/>
              </a:lnTo>
              <a:lnTo>
                <a:pt x="649254" y="702112"/>
              </a:lnTo>
              <a:lnTo>
                <a:pt x="602879" y="762916"/>
              </a:lnTo>
              <a:lnTo>
                <a:pt x="556504" y="627831"/>
              </a:lnTo>
              <a:lnTo>
                <a:pt x="510128" y="714691"/>
              </a:lnTo>
              <a:lnTo>
                <a:pt x="463753" y="732693"/>
              </a:lnTo>
              <a:lnTo>
                <a:pt x="417378" y="651854"/>
              </a:lnTo>
              <a:lnTo>
                <a:pt x="371002" y="493461"/>
              </a:lnTo>
              <a:lnTo>
                <a:pt x="324627" y="712479"/>
              </a:lnTo>
              <a:lnTo>
                <a:pt x="278252" y="772399"/>
              </a:lnTo>
              <a:lnTo>
                <a:pt x="231876" y="480475"/>
              </a:lnTo>
              <a:lnTo>
                <a:pt x="185501" y="514071"/>
              </a:lnTo>
              <a:lnTo>
                <a:pt x="139126" y="612045"/>
              </a:lnTo>
              <a:lnTo>
                <a:pt x="92751" y="672353"/>
              </a:lnTo>
              <a:lnTo>
                <a:pt x="46375" y="766566"/>
              </a:lnTo>
              <a:lnTo>
                <a:pt x="0" y="808671"/>
              </a:lnTo>
              <a:lnTo>
                <a:pt x="0" y="874877"/>
              </a:lnTo>
            </a:path>
          </a:pathLst>
        </a:custGeom>
        <a:solidFill xmlns:a="http://schemas.openxmlformats.org/drawingml/2006/main">
          <a:srgbClr val="286489">
            <a:alpha val="44000"/>
          </a:srgbClr>
        </a:solidFill>
        <a:ln xmlns:a="http://schemas.openxmlformats.org/drawingml/2006/main">
          <a:solidFill>
            <a:srgbClr val="FFFFFF"/>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0.06637</cdr:x>
      <cdr:y>0.11455</cdr:y>
    </cdr:from>
    <cdr:to>
      <cdr:x>0.96574</cdr:x>
      <cdr:y>0.65009</cdr:y>
    </cdr:to>
    <cdr:sp macro="" textlink="">
      <cdr:nvSpPr>
        <cdr:cNvPr id="3421" name="$I$4:$T$137|$B$310 10">
          <a:extLst xmlns:a="http://schemas.openxmlformats.org/drawingml/2006/main">
            <a:ext uri="{FF2B5EF4-FFF2-40B4-BE49-F238E27FC236}">
              <a16:creationId xmlns:a16="http://schemas.microsoft.com/office/drawing/2014/main" id="{E93C5F8C-658D-4476-8BAD-E9B1CB4827D5}"/>
            </a:ext>
          </a:extLst>
        </cdr:cNvPr>
        <cdr:cNvSpPr/>
      </cdr:nvSpPr>
      <cdr:spPr>
        <a:xfrm xmlns:a="http://schemas.openxmlformats.org/drawingml/2006/main">
          <a:off x="455136" y="290964"/>
          <a:ext cx="6167915" cy="1360253"/>
        </a:xfrm>
        <a:custGeom xmlns:a="http://schemas.openxmlformats.org/drawingml/2006/main">
          <a:avLst/>
          <a:gdLst/>
          <a:ahLst/>
          <a:cxnLst/>
          <a:rect l="0" t="0" r="0" b="0"/>
          <a:pathLst>
            <a:path w="6167915" h="1360253">
              <a:moveTo>
                <a:pt x="12700" y="866095"/>
              </a:moveTo>
              <a:lnTo>
                <a:pt x="46375" y="823990"/>
              </a:lnTo>
              <a:lnTo>
                <a:pt x="92751" y="729777"/>
              </a:lnTo>
              <a:lnTo>
                <a:pt x="139126" y="669469"/>
              </a:lnTo>
              <a:lnTo>
                <a:pt x="185501" y="571495"/>
              </a:lnTo>
              <a:lnTo>
                <a:pt x="231876" y="537899"/>
              </a:lnTo>
              <a:lnTo>
                <a:pt x="278252" y="829823"/>
              </a:lnTo>
              <a:lnTo>
                <a:pt x="324627" y="769903"/>
              </a:lnTo>
              <a:lnTo>
                <a:pt x="371002" y="550885"/>
              </a:lnTo>
              <a:lnTo>
                <a:pt x="417378" y="709278"/>
              </a:lnTo>
              <a:lnTo>
                <a:pt x="463753" y="790117"/>
              </a:lnTo>
              <a:lnTo>
                <a:pt x="510128" y="772115"/>
              </a:lnTo>
              <a:lnTo>
                <a:pt x="556504" y="685255"/>
              </a:lnTo>
              <a:lnTo>
                <a:pt x="602879" y="820340"/>
              </a:lnTo>
              <a:lnTo>
                <a:pt x="649254" y="759536"/>
              </a:lnTo>
              <a:lnTo>
                <a:pt x="695629" y="784422"/>
              </a:lnTo>
              <a:lnTo>
                <a:pt x="742005" y="914996"/>
              </a:lnTo>
              <a:lnTo>
                <a:pt x="788380" y="938722"/>
              </a:lnTo>
              <a:lnTo>
                <a:pt x="834755" y="1181244"/>
              </a:lnTo>
              <a:lnTo>
                <a:pt x="881131" y="1049856"/>
              </a:lnTo>
              <a:lnTo>
                <a:pt x="927506" y="987854"/>
              </a:lnTo>
              <a:lnTo>
                <a:pt x="973881" y="1114996"/>
              </a:lnTo>
              <a:lnTo>
                <a:pt x="1020256" y="887519"/>
              </a:lnTo>
              <a:lnTo>
                <a:pt x="1066632" y="869125"/>
              </a:lnTo>
              <a:lnTo>
                <a:pt x="1113007" y="718920"/>
              </a:lnTo>
              <a:lnTo>
                <a:pt x="1159382" y="499446"/>
              </a:lnTo>
              <a:lnTo>
                <a:pt x="1205758" y="391081"/>
              </a:lnTo>
              <a:lnTo>
                <a:pt x="1252133" y="403042"/>
              </a:lnTo>
              <a:lnTo>
                <a:pt x="1298508" y="481621"/>
              </a:lnTo>
              <a:lnTo>
                <a:pt x="1344884" y="459437"/>
              </a:lnTo>
              <a:lnTo>
                <a:pt x="1391259" y="669187"/>
              </a:lnTo>
              <a:lnTo>
                <a:pt x="1437634" y="909240"/>
              </a:lnTo>
              <a:lnTo>
                <a:pt x="1484009" y="920483"/>
              </a:lnTo>
              <a:lnTo>
                <a:pt x="1530385" y="952865"/>
              </a:lnTo>
              <a:lnTo>
                <a:pt x="1576760" y="948829"/>
              </a:lnTo>
              <a:lnTo>
                <a:pt x="1623135" y="693461"/>
              </a:lnTo>
              <a:lnTo>
                <a:pt x="1669510" y="832393"/>
              </a:lnTo>
              <a:lnTo>
                <a:pt x="1715886" y="837474"/>
              </a:lnTo>
              <a:lnTo>
                <a:pt x="1762261" y="976812"/>
              </a:lnTo>
              <a:lnTo>
                <a:pt x="1808636" y="1076650"/>
              </a:lnTo>
              <a:lnTo>
                <a:pt x="1855012" y="740186"/>
              </a:lnTo>
              <a:lnTo>
                <a:pt x="1901387" y="776758"/>
              </a:lnTo>
              <a:lnTo>
                <a:pt x="1947762" y="850332"/>
              </a:lnTo>
              <a:lnTo>
                <a:pt x="1994138" y="1007679"/>
              </a:lnTo>
              <a:lnTo>
                <a:pt x="2040513" y="849451"/>
              </a:lnTo>
              <a:lnTo>
                <a:pt x="2086888" y="965894"/>
              </a:lnTo>
              <a:lnTo>
                <a:pt x="2133264" y="1165925"/>
              </a:lnTo>
              <a:lnTo>
                <a:pt x="2179639" y="1011786"/>
              </a:lnTo>
              <a:lnTo>
                <a:pt x="2226014" y="838188"/>
              </a:lnTo>
              <a:lnTo>
                <a:pt x="2272389" y="844849"/>
              </a:lnTo>
              <a:lnTo>
                <a:pt x="2318765" y="829454"/>
              </a:lnTo>
              <a:lnTo>
                <a:pt x="2365140" y="958838"/>
              </a:lnTo>
              <a:lnTo>
                <a:pt x="2411515" y="722344"/>
              </a:lnTo>
              <a:lnTo>
                <a:pt x="2457890" y="835212"/>
              </a:lnTo>
              <a:lnTo>
                <a:pt x="2504266" y="794791"/>
              </a:lnTo>
              <a:lnTo>
                <a:pt x="2550641" y="712414"/>
              </a:lnTo>
              <a:lnTo>
                <a:pt x="2597016" y="928259"/>
              </a:lnTo>
              <a:lnTo>
                <a:pt x="2643392" y="868855"/>
              </a:lnTo>
              <a:lnTo>
                <a:pt x="2689767" y="544253"/>
              </a:lnTo>
              <a:lnTo>
                <a:pt x="2736142" y="447775"/>
              </a:lnTo>
              <a:lnTo>
                <a:pt x="2782518" y="716326"/>
              </a:lnTo>
              <a:lnTo>
                <a:pt x="2828893" y="806708"/>
              </a:lnTo>
              <a:lnTo>
                <a:pt x="2875268" y="1021862"/>
              </a:lnTo>
              <a:lnTo>
                <a:pt x="2921644" y="898385"/>
              </a:lnTo>
              <a:lnTo>
                <a:pt x="2968019" y="789008"/>
              </a:lnTo>
              <a:lnTo>
                <a:pt x="3014394" y="839247"/>
              </a:lnTo>
              <a:lnTo>
                <a:pt x="3060769" y="830245"/>
              </a:lnTo>
              <a:lnTo>
                <a:pt x="3107145" y="859239"/>
              </a:lnTo>
              <a:lnTo>
                <a:pt x="3153520" y="859320"/>
              </a:lnTo>
              <a:lnTo>
                <a:pt x="3199895" y="868212"/>
              </a:lnTo>
              <a:lnTo>
                <a:pt x="3246271" y="726597"/>
              </a:lnTo>
              <a:lnTo>
                <a:pt x="3292646" y="784487"/>
              </a:lnTo>
              <a:lnTo>
                <a:pt x="3339021" y="825820"/>
              </a:lnTo>
              <a:lnTo>
                <a:pt x="3385396" y="847496"/>
              </a:lnTo>
              <a:lnTo>
                <a:pt x="3431772" y="670881"/>
              </a:lnTo>
              <a:lnTo>
                <a:pt x="3478147" y="591354"/>
              </a:lnTo>
              <a:lnTo>
                <a:pt x="3524522" y="646264"/>
              </a:lnTo>
              <a:lnTo>
                <a:pt x="3570898" y="576853"/>
              </a:lnTo>
              <a:lnTo>
                <a:pt x="3617273" y="823276"/>
              </a:lnTo>
              <a:lnTo>
                <a:pt x="3663648" y="710602"/>
              </a:lnTo>
              <a:lnTo>
                <a:pt x="3710023" y="1082222"/>
              </a:lnTo>
              <a:lnTo>
                <a:pt x="3756399" y="889465"/>
              </a:lnTo>
              <a:lnTo>
                <a:pt x="3802774" y="740408"/>
              </a:lnTo>
              <a:lnTo>
                <a:pt x="3849149" y="812025"/>
              </a:lnTo>
              <a:lnTo>
                <a:pt x="3895525" y="790317"/>
              </a:lnTo>
              <a:lnTo>
                <a:pt x="3941900" y="590134"/>
              </a:lnTo>
              <a:lnTo>
                <a:pt x="3988275" y="720305"/>
              </a:lnTo>
              <a:lnTo>
                <a:pt x="4034650" y="661253"/>
              </a:lnTo>
              <a:lnTo>
                <a:pt x="4081026" y="703076"/>
              </a:lnTo>
              <a:lnTo>
                <a:pt x="4127401" y="956465"/>
              </a:lnTo>
              <a:lnTo>
                <a:pt x="4173776" y="936911"/>
              </a:lnTo>
              <a:lnTo>
                <a:pt x="4220151" y="875548"/>
              </a:lnTo>
              <a:lnTo>
                <a:pt x="4266527" y="905554"/>
              </a:lnTo>
              <a:lnTo>
                <a:pt x="4312902" y="808184"/>
              </a:lnTo>
              <a:lnTo>
                <a:pt x="4359277" y="897768"/>
              </a:lnTo>
              <a:lnTo>
                <a:pt x="4405653" y="732977"/>
              </a:lnTo>
              <a:lnTo>
                <a:pt x="4452028" y="932358"/>
              </a:lnTo>
              <a:lnTo>
                <a:pt x="4498404" y="788136"/>
              </a:lnTo>
              <a:lnTo>
                <a:pt x="4544779" y="776129"/>
              </a:lnTo>
              <a:lnTo>
                <a:pt x="4591154" y="831975"/>
              </a:lnTo>
              <a:lnTo>
                <a:pt x="4637530" y="841986"/>
              </a:lnTo>
              <a:lnTo>
                <a:pt x="4683905" y="743343"/>
              </a:lnTo>
              <a:lnTo>
                <a:pt x="4730280" y="495979"/>
              </a:lnTo>
              <a:lnTo>
                <a:pt x="4776655" y="314730"/>
              </a:lnTo>
              <a:lnTo>
                <a:pt x="4823031" y="189739"/>
              </a:lnTo>
              <a:lnTo>
                <a:pt x="4869406" y="377857"/>
              </a:lnTo>
              <a:lnTo>
                <a:pt x="4915781" y="108026"/>
              </a:lnTo>
              <a:lnTo>
                <a:pt x="4962156" y="57424"/>
              </a:lnTo>
              <a:lnTo>
                <a:pt x="5008532" y="379170"/>
              </a:lnTo>
              <a:lnTo>
                <a:pt x="5054907" y="620267"/>
              </a:lnTo>
              <a:lnTo>
                <a:pt x="5101282" y="911835"/>
              </a:lnTo>
              <a:lnTo>
                <a:pt x="5147658" y="765846"/>
              </a:lnTo>
              <a:lnTo>
                <a:pt x="5194033" y="789684"/>
              </a:lnTo>
              <a:lnTo>
                <a:pt x="5240408" y="921993"/>
              </a:lnTo>
              <a:lnTo>
                <a:pt x="5286783" y="879722"/>
              </a:lnTo>
              <a:lnTo>
                <a:pt x="5333159" y="772737"/>
              </a:lnTo>
              <a:lnTo>
                <a:pt x="5379534" y="737997"/>
              </a:lnTo>
              <a:lnTo>
                <a:pt x="5425909" y="895655"/>
              </a:lnTo>
              <a:lnTo>
                <a:pt x="5472285" y="1360252"/>
              </a:lnTo>
              <a:lnTo>
                <a:pt x="5518660" y="974455"/>
              </a:lnTo>
              <a:lnTo>
                <a:pt x="5565035" y="833929"/>
              </a:lnTo>
              <a:lnTo>
                <a:pt x="5611410" y="739647"/>
              </a:lnTo>
              <a:lnTo>
                <a:pt x="5657786" y="672114"/>
              </a:lnTo>
              <a:lnTo>
                <a:pt x="5704161" y="622167"/>
              </a:lnTo>
              <a:lnTo>
                <a:pt x="5750536" y="584484"/>
              </a:lnTo>
              <a:lnTo>
                <a:pt x="5796912" y="555653"/>
              </a:lnTo>
              <a:lnTo>
                <a:pt x="5843287" y="533357"/>
              </a:lnTo>
              <a:lnTo>
                <a:pt x="5889662" y="515969"/>
              </a:lnTo>
              <a:lnTo>
                <a:pt x="5936037" y="502315"/>
              </a:lnTo>
              <a:lnTo>
                <a:pt x="5982413" y="491530"/>
              </a:lnTo>
              <a:lnTo>
                <a:pt x="6028788" y="482973"/>
              </a:lnTo>
              <a:lnTo>
                <a:pt x="6075163" y="476156"/>
              </a:lnTo>
              <a:lnTo>
                <a:pt x="6121539" y="470707"/>
              </a:lnTo>
              <a:lnTo>
                <a:pt x="6167914" y="466340"/>
              </a:lnTo>
              <a:lnTo>
                <a:pt x="6167914" y="371698"/>
              </a:lnTo>
              <a:lnTo>
                <a:pt x="6121539" y="376110"/>
              </a:lnTo>
              <a:lnTo>
                <a:pt x="6075163" y="381626"/>
              </a:lnTo>
              <a:lnTo>
                <a:pt x="6028788" y="388547"/>
              </a:lnTo>
              <a:lnTo>
                <a:pt x="5982413" y="397262"/>
              </a:lnTo>
              <a:lnTo>
                <a:pt x="5936037" y="408285"/>
              </a:lnTo>
              <a:lnTo>
                <a:pt x="5889662" y="422305"/>
              </a:lnTo>
              <a:lnTo>
                <a:pt x="5843287" y="440250"/>
              </a:lnTo>
              <a:lnTo>
                <a:pt x="5796912" y="463397"/>
              </a:lnTo>
              <a:lnTo>
                <a:pt x="5750536" y="493537"/>
              </a:lnTo>
              <a:lnTo>
                <a:pt x="5704161" y="533246"/>
              </a:lnTo>
              <a:lnTo>
                <a:pt x="5657786" y="586361"/>
              </a:lnTo>
              <a:lnTo>
                <a:pt x="5611410" y="658943"/>
              </a:lnTo>
              <a:lnTo>
                <a:pt x="5565035" y="761565"/>
              </a:lnTo>
              <a:lnTo>
                <a:pt x="5518660" y="917032"/>
              </a:lnTo>
              <a:lnTo>
                <a:pt x="5472285" y="1360252"/>
              </a:lnTo>
              <a:lnTo>
                <a:pt x="5425909" y="838231"/>
              </a:lnTo>
              <a:lnTo>
                <a:pt x="5379534" y="680574"/>
              </a:lnTo>
              <a:lnTo>
                <a:pt x="5333159" y="715313"/>
              </a:lnTo>
              <a:lnTo>
                <a:pt x="5286783" y="822298"/>
              </a:lnTo>
              <a:lnTo>
                <a:pt x="5240408" y="864569"/>
              </a:lnTo>
              <a:lnTo>
                <a:pt x="5194033" y="732260"/>
              </a:lnTo>
              <a:lnTo>
                <a:pt x="5147658" y="708422"/>
              </a:lnTo>
              <a:lnTo>
                <a:pt x="5101282" y="854411"/>
              </a:lnTo>
              <a:lnTo>
                <a:pt x="5054907" y="562843"/>
              </a:lnTo>
              <a:lnTo>
                <a:pt x="5008532" y="321746"/>
              </a:lnTo>
              <a:lnTo>
                <a:pt x="4962156" y="0"/>
              </a:lnTo>
              <a:lnTo>
                <a:pt x="4915781" y="50602"/>
              </a:lnTo>
              <a:lnTo>
                <a:pt x="4869406" y="320433"/>
              </a:lnTo>
              <a:lnTo>
                <a:pt x="4823031" y="132316"/>
              </a:lnTo>
              <a:lnTo>
                <a:pt x="4776655" y="257306"/>
              </a:lnTo>
              <a:lnTo>
                <a:pt x="4730280" y="438555"/>
              </a:lnTo>
              <a:lnTo>
                <a:pt x="4683905" y="685919"/>
              </a:lnTo>
              <a:lnTo>
                <a:pt x="4637530" y="784563"/>
              </a:lnTo>
              <a:lnTo>
                <a:pt x="4591154" y="774551"/>
              </a:lnTo>
              <a:lnTo>
                <a:pt x="4544779" y="718705"/>
              </a:lnTo>
              <a:lnTo>
                <a:pt x="4498404" y="730712"/>
              </a:lnTo>
              <a:lnTo>
                <a:pt x="4452028" y="874935"/>
              </a:lnTo>
              <a:lnTo>
                <a:pt x="4405653" y="675553"/>
              </a:lnTo>
              <a:lnTo>
                <a:pt x="4359277" y="840344"/>
              </a:lnTo>
              <a:lnTo>
                <a:pt x="4312902" y="750760"/>
              </a:lnTo>
              <a:lnTo>
                <a:pt x="4266527" y="848130"/>
              </a:lnTo>
              <a:lnTo>
                <a:pt x="4220151" y="818124"/>
              </a:lnTo>
              <a:lnTo>
                <a:pt x="4173776" y="879487"/>
              </a:lnTo>
              <a:lnTo>
                <a:pt x="4127401" y="899042"/>
              </a:lnTo>
              <a:lnTo>
                <a:pt x="4081026" y="645652"/>
              </a:lnTo>
              <a:lnTo>
                <a:pt x="4034650" y="603830"/>
              </a:lnTo>
              <a:lnTo>
                <a:pt x="3988275" y="662881"/>
              </a:lnTo>
              <a:lnTo>
                <a:pt x="3941900" y="532711"/>
              </a:lnTo>
              <a:lnTo>
                <a:pt x="3895525" y="732893"/>
              </a:lnTo>
              <a:lnTo>
                <a:pt x="3849149" y="754601"/>
              </a:lnTo>
              <a:lnTo>
                <a:pt x="3802774" y="682984"/>
              </a:lnTo>
              <a:lnTo>
                <a:pt x="3756399" y="832041"/>
              </a:lnTo>
              <a:lnTo>
                <a:pt x="3710023" y="1024798"/>
              </a:lnTo>
              <a:lnTo>
                <a:pt x="3663648" y="653178"/>
              </a:lnTo>
              <a:lnTo>
                <a:pt x="3617273" y="765853"/>
              </a:lnTo>
              <a:lnTo>
                <a:pt x="3570898" y="519429"/>
              </a:lnTo>
              <a:lnTo>
                <a:pt x="3524522" y="588840"/>
              </a:lnTo>
              <a:lnTo>
                <a:pt x="3478147" y="533930"/>
              </a:lnTo>
              <a:lnTo>
                <a:pt x="3431772" y="613457"/>
              </a:lnTo>
              <a:lnTo>
                <a:pt x="3385396" y="790073"/>
              </a:lnTo>
              <a:lnTo>
                <a:pt x="3339021" y="768397"/>
              </a:lnTo>
              <a:lnTo>
                <a:pt x="3292646" y="727063"/>
              </a:lnTo>
              <a:lnTo>
                <a:pt x="3246271" y="669173"/>
              </a:lnTo>
              <a:lnTo>
                <a:pt x="3199895" y="810788"/>
              </a:lnTo>
              <a:lnTo>
                <a:pt x="3153520" y="801896"/>
              </a:lnTo>
              <a:lnTo>
                <a:pt x="3107145" y="801815"/>
              </a:lnTo>
              <a:lnTo>
                <a:pt x="3060769" y="772821"/>
              </a:lnTo>
              <a:lnTo>
                <a:pt x="3014394" y="781823"/>
              </a:lnTo>
              <a:lnTo>
                <a:pt x="2968019" y="731584"/>
              </a:lnTo>
              <a:lnTo>
                <a:pt x="2921644" y="840961"/>
              </a:lnTo>
              <a:lnTo>
                <a:pt x="2875268" y="964438"/>
              </a:lnTo>
              <a:lnTo>
                <a:pt x="2828893" y="749285"/>
              </a:lnTo>
              <a:lnTo>
                <a:pt x="2782518" y="658903"/>
              </a:lnTo>
              <a:lnTo>
                <a:pt x="2736142" y="390351"/>
              </a:lnTo>
              <a:lnTo>
                <a:pt x="2689767" y="486829"/>
              </a:lnTo>
              <a:lnTo>
                <a:pt x="2643392" y="811431"/>
              </a:lnTo>
              <a:lnTo>
                <a:pt x="2597016" y="870836"/>
              </a:lnTo>
              <a:lnTo>
                <a:pt x="2550641" y="654990"/>
              </a:lnTo>
              <a:lnTo>
                <a:pt x="2504266" y="737367"/>
              </a:lnTo>
              <a:lnTo>
                <a:pt x="2457890" y="777788"/>
              </a:lnTo>
              <a:lnTo>
                <a:pt x="2411515" y="664921"/>
              </a:lnTo>
              <a:lnTo>
                <a:pt x="2365140" y="901415"/>
              </a:lnTo>
              <a:lnTo>
                <a:pt x="2318765" y="772030"/>
              </a:lnTo>
              <a:lnTo>
                <a:pt x="2272389" y="787426"/>
              </a:lnTo>
              <a:lnTo>
                <a:pt x="2226014" y="780764"/>
              </a:lnTo>
              <a:lnTo>
                <a:pt x="2179639" y="954362"/>
              </a:lnTo>
              <a:lnTo>
                <a:pt x="2133264" y="1108501"/>
              </a:lnTo>
              <a:lnTo>
                <a:pt x="2086888" y="908470"/>
              </a:lnTo>
              <a:lnTo>
                <a:pt x="2040513" y="792028"/>
              </a:lnTo>
              <a:lnTo>
                <a:pt x="1994138" y="950255"/>
              </a:lnTo>
              <a:lnTo>
                <a:pt x="1947762" y="792908"/>
              </a:lnTo>
              <a:lnTo>
                <a:pt x="1901387" y="719334"/>
              </a:lnTo>
              <a:lnTo>
                <a:pt x="1855012" y="682762"/>
              </a:lnTo>
              <a:lnTo>
                <a:pt x="1808636" y="1019227"/>
              </a:lnTo>
              <a:lnTo>
                <a:pt x="1762261" y="919388"/>
              </a:lnTo>
              <a:lnTo>
                <a:pt x="1715886" y="780050"/>
              </a:lnTo>
              <a:lnTo>
                <a:pt x="1669510" y="774970"/>
              </a:lnTo>
              <a:lnTo>
                <a:pt x="1623135" y="636037"/>
              </a:lnTo>
              <a:lnTo>
                <a:pt x="1576760" y="891405"/>
              </a:lnTo>
              <a:lnTo>
                <a:pt x="1530385" y="895441"/>
              </a:lnTo>
              <a:lnTo>
                <a:pt x="1484009" y="863059"/>
              </a:lnTo>
              <a:lnTo>
                <a:pt x="1437634" y="851816"/>
              </a:lnTo>
              <a:lnTo>
                <a:pt x="1391259" y="611763"/>
              </a:lnTo>
              <a:lnTo>
                <a:pt x="1344884" y="402013"/>
              </a:lnTo>
              <a:lnTo>
                <a:pt x="1298508" y="424197"/>
              </a:lnTo>
              <a:lnTo>
                <a:pt x="1252133" y="345618"/>
              </a:lnTo>
              <a:lnTo>
                <a:pt x="1205758" y="333657"/>
              </a:lnTo>
              <a:lnTo>
                <a:pt x="1159382" y="442022"/>
              </a:lnTo>
              <a:lnTo>
                <a:pt x="1113007" y="661496"/>
              </a:lnTo>
              <a:lnTo>
                <a:pt x="1066632" y="811701"/>
              </a:lnTo>
              <a:lnTo>
                <a:pt x="1020256" y="830095"/>
              </a:lnTo>
              <a:lnTo>
                <a:pt x="973881" y="1057572"/>
              </a:lnTo>
              <a:lnTo>
                <a:pt x="927506" y="930430"/>
              </a:lnTo>
              <a:lnTo>
                <a:pt x="881131" y="992432"/>
              </a:lnTo>
              <a:lnTo>
                <a:pt x="834755" y="1123821"/>
              </a:lnTo>
              <a:lnTo>
                <a:pt x="788380" y="881298"/>
              </a:lnTo>
              <a:lnTo>
                <a:pt x="742005" y="857573"/>
              </a:lnTo>
              <a:lnTo>
                <a:pt x="695629" y="726998"/>
              </a:lnTo>
              <a:lnTo>
                <a:pt x="649254" y="702112"/>
              </a:lnTo>
              <a:lnTo>
                <a:pt x="602879" y="762917"/>
              </a:lnTo>
              <a:lnTo>
                <a:pt x="556504" y="627832"/>
              </a:lnTo>
              <a:lnTo>
                <a:pt x="510128" y="714692"/>
              </a:lnTo>
              <a:lnTo>
                <a:pt x="463753" y="732693"/>
              </a:lnTo>
              <a:lnTo>
                <a:pt x="417378" y="651854"/>
              </a:lnTo>
              <a:lnTo>
                <a:pt x="371002" y="493461"/>
              </a:lnTo>
              <a:lnTo>
                <a:pt x="324627" y="712479"/>
              </a:lnTo>
              <a:lnTo>
                <a:pt x="278252" y="772399"/>
              </a:lnTo>
              <a:lnTo>
                <a:pt x="231876" y="480475"/>
              </a:lnTo>
              <a:lnTo>
                <a:pt x="185501" y="514072"/>
              </a:lnTo>
              <a:lnTo>
                <a:pt x="139126" y="612046"/>
              </a:lnTo>
              <a:lnTo>
                <a:pt x="92751" y="672354"/>
              </a:lnTo>
              <a:lnTo>
                <a:pt x="46375" y="766566"/>
              </a:lnTo>
              <a:lnTo>
                <a:pt x="0" y="808672"/>
              </a:lnTo>
              <a:lnTo>
                <a:pt x="0" y="866095"/>
              </a:lnTo>
            </a:path>
          </a:pathLst>
        </a:custGeom>
        <a:solidFill xmlns:a="http://schemas.openxmlformats.org/drawingml/2006/main">
          <a:srgbClr val="2B5662">
            <a:alpha val="32000"/>
          </a:srgbClr>
        </a:solidFill>
        <a:ln xmlns:a="http://schemas.openxmlformats.org/drawingml/2006/main">
          <a:solidFill>
            <a:srgbClr val="FFFFFF"/>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0.06637</cdr:x>
      <cdr:y>0.07037</cdr:y>
    </cdr:from>
    <cdr:to>
      <cdr:x>0.96574</cdr:x>
      <cdr:y>0.65009</cdr:y>
    </cdr:to>
    <cdr:sp macro="" textlink="">
      <cdr:nvSpPr>
        <cdr:cNvPr id="3422" name="$I$4:$T$137|$B$310 11">
          <a:extLst xmlns:a="http://schemas.openxmlformats.org/drawingml/2006/main">
            <a:ext uri="{FF2B5EF4-FFF2-40B4-BE49-F238E27FC236}">
              <a16:creationId xmlns:a16="http://schemas.microsoft.com/office/drawing/2014/main" id="{7F9A6E12-38B8-4BCF-A15F-03C54B09E2B3}"/>
            </a:ext>
          </a:extLst>
        </cdr:cNvPr>
        <cdr:cNvSpPr/>
      </cdr:nvSpPr>
      <cdr:spPr>
        <a:xfrm xmlns:a="http://schemas.openxmlformats.org/drawingml/2006/main">
          <a:off x="455136" y="178733"/>
          <a:ext cx="6167915" cy="1472484"/>
        </a:xfrm>
        <a:custGeom xmlns:a="http://schemas.openxmlformats.org/drawingml/2006/main">
          <a:avLst/>
          <a:gdLst/>
          <a:ahLst/>
          <a:cxnLst/>
          <a:rect l="0" t="0" r="0" b="0"/>
          <a:pathLst>
            <a:path w="6167915" h="1472484">
              <a:moveTo>
                <a:pt x="12700" y="920903"/>
              </a:moveTo>
              <a:lnTo>
                <a:pt x="46375" y="878797"/>
              </a:lnTo>
              <a:lnTo>
                <a:pt x="92751" y="784585"/>
              </a:lnTo>
              <a:lnTo>
                <a:pt x="139126" y="724277"/>
              </a:lnTo>
              <a:lnTo>
                <a:pt x="185501" y="626303"/>
              </a:lnTo>
              <a:lnTo>
                <a:pt x="231876" y="592706"/>
              </a:lnTo>
              <a:lnTo>
                <a:pt x="278252" y="884630"/>
              </a:lnTo>
              <a:lnTo>
                <a:pt x="324627" y="824710"/>
              </a:lnTo>
              <a:lnTo>
                <a:pt x="371002" y="605692"/>
              </a:lnTo>
              <a:lnTo>
                <a:pt x="417378" y="764085"/>
              </a:lnTo>
              <a:lnTo>
                <a:pt x="463753" y="844924"/>
              </a:lnTo>
              <a:lnTo>
                <a:pt x="510128" y="826923"/>
              </a:lnTo>
              <a:lnTo>
                <a:pt x="556504" y="740063"/>
              </a:lnTo>
              <a:lnTo>
                <a:pt x="602879" y="875148"/>
              </a:lnTo>
              <a:lnTo>
                <a:pt x="649254" y="814343"/>
              </a:lnTo>
              <a:lnTo>
                <a:pt x="695629" y="839229"/>
              </a:lnTo>
              <a:lnTo>
                <a:pt x="742005" y="969804"/>
              </a:lnTo>
              <a:lnTo>
                <a:pt x="788380" y="993529"/>
              </a:lnTo>
              <a:lnTo>
                <a:pt x="834755" y="1236052"/>
              </a:lnTo>
              <a:lnTo>
                <a:pt x="881131" y="1104663"/>
              </a:lnTo>
              <a:lnTo>
                <a:pt x="927506" y="1042661"/>
              </a:lnTo>
              <a:lnTo>
                <a:pt x="973881" y="1169803"/>
              </a:lnTo>
              <a:lnTo>
                <a:pt x="1020256" y="942326"/>
              </a:lnTo>
              <a:lnTo>
                <a:pt x="1066632" y="923932"/>
              </a:lnTo>
              <a:lnTo>
                <a:pt x="1113007" y="773727"/>
              </a:lnTo>
              <a:lnTo>
                <a:pt x="1159382" y="554253"/>
              </a:lnTo>
              <a:lnTo>
                <a:pt x="1205758" y="445888"/>
              </a:lnTo>
              <a:lnTo>
                <a:pt x="1252133" y="457849"/>
              </a:lnTo>
              <a:lnTo>
                <a:pt x="1298508" y="536428"/>
              </a:lnTo>
              <a:lnTo>
                <a:pt x="1344884" y="514244"/>
              </a:lnTo>
              <a:lnTo>
                <a:pt x="1391259" y="723994"/>
              </a:lnTo>
              <a:lnTo>
                <a:pt x="1437634" y="964047"/>
              </a:lnTo>
              <a:lnTo>
                <a:pt x="1484009" y="975290"/>
              </a:lnTo>
              <a:lnTo>
                <a:pt x="1530385" y="1007672"/>
              </a:lnTo>
              <a:lnTo>
                <a:pt x="1576760" y="1003636"/>
              </a:lnTo>
              <a:lnTo>
                <a:pt x="1623135" y="748268"/>
              </a:lnTo>
              <a:lnTo>
                <a:pt x="1669510" y="887201"/>
              </a:lnTo>
              <a:lnTo>
                <a:pt x="1715886" y="892281"/>
              </a:lnTo>
              <a:lnTo>
                <a:pt x="1762261" y="1031619"/>
              </a:lnTo>
              <a:lnTo>
                <a:pt x="1808636" y="1131458"/>
              </a:lnTo>
              <a:lnTo>
                <a:pt x="1855012" y="794993"/>
              </a:lnTo>
              <a:lnTo>
                <a:pt x="1901387" y="831565"/>
              </a:lnTo>
              <a:lnTo>
                <a:pt x="1947762" y="905139"/>
              </a:lnTo>
              <a:lnTo>
                <a:pt x="1994138" y="1062486"/>
              </a:lnTo>
              <a:lnTo>
                <a:pt x="2040513" y="904259"/>
              </a:lnTo>
              <a:lnTo>
                <a:pt x="2086888" y="1020701"/>
              </a:lnTo>
              <a:lnTo>
                <a:pt x="2133264" y="1220732"/>
              </a:lnTo>
              <a:lnTo>
                <a:pt x="2179639" y="1066593"/>
              </a:lnTo>
              <a:lnTo>
                <a:pt x="2226014" y="892995"/>
              </a:lnTo>
              <a:lnTo>
                <a:pt x="2272389" y="899657"/>
              </a:lnTo>
              <a:lnTo>
                <a:pt x="2318765" y="884261"/>
              </a:lnTo>
              <a:lnTo>
                <a:pt x="2365140" y="1013646"/>
              </a:lnTo>
              <a:lnTo>
                <a:pt x="2411515" y="777152"/>
              </a:lnTo>
              <a:lnTo>
                <a:pt x="2457890" y="890019"/>
              </a:lnTo>
              <a:lnTo>
                <a:pt x="2504266" y="849598"/>
              </a:lnTo>
              <a:lnTo>
                <a:pt x="2550641" y="767221"/>
              </a:lnTo>
              <a:lnTo>
                <a:pt x="2597016" y="983067"/>
              </a:lnTo>
              <a:lnTo>
                <a:pt x="2643392" y="923662"/>
              </a:lnTo>
              <a:lnTo>
                <a:pt x="2689767" y="599060"/>
              </a:lnTo>
              <a:lnTo>
                <a:pt x="2736142" y="502582"/>
              </a:lnTo>
              <a:lnTo>
                <a:pt x="2782518" y="771134"/>
              </a:lnTo>
              <a:lnTo>
                <a:pt x="2828893" y="861516"/>
              </a:lnTo>
              <a:lnTo>
                <a:pt x="2875268" y="1076669"/>
              </a:lnTo>
              <a:lnTo>
                <a:pt x="2921644" y="953192"/>
              </a:lnTo>
              <a:lnTo>
                <a:pt x="2968019" y="843815"/>
              </a:lnTo>
              <a:lnTo>
                <a:pt x="3014394" y="894054"/>
              </a:lnTo>
              <a:lnTo>
                <a:pt x="3060769" y="885052"/>
              </a:lnTo>
              <a:lnTo>
                <a:pt x="3107145" y="914046"/>
              </a:lnTo>
              <a:lnTo>
                <a:pt x="3153520" y="914127"/>
              </a:lnTo>
              <a:lnTo>
                <a:pt x="3199895" y="923019"/>
              </a:lnTo>
              <a:lnTo>
                <a:pt x="3246271" y="781404"/>
              </a:lnTo>
              <a:lnTo>
                <a:pt x="3292646" y="839294"/>
              </a:lnTo>
              <a:lnTo>
                <a:pt x="3339021" y="880628"/>
              </a:lnTo>
              <a:lnTo>
                <a:pt x="3385396" y="902304"/>
              </a:lnTo>
              <a:lnTo>
                <a:pt x="3431772" y="725688"/>
              </a:lnTo>
              <a:lnTo>
                <a:pt x="3478147" y="646161"/>
              </a:lnTo>
              <a:lnTo>
                <a:pt x="3524522" y="701071"/>
              </a:lnTo>
              <a:lnTo>
                <a:pt x="3570898" y="631660"/>
              </a:lnTo>
              <a:lnTo>
                <a:pt x="3617273" y="878084"/>
              </a:lnTo>
              <a:lnTo>
                <a:pt x="3663648" y="765409"/>
              </a:lnTo>
              <a:lnTo>
                <a:pt x="3710023" y="1137029"/>
              </a:lnTo>
              <a:lnTo>
                <a:pt x="3756399" y="944272"/>
              </a:lnTo>
              <a:lnTo>
                <a:pt x="3802774" y="795215"/>
              </a:lnTo>
              <a:lnTo>
                <a:pt x="3849149" y="866832"/>
              </a:lnTo>
              <a:lnTo>
                <a:pt x="3895525" y="845124"/>
              </a:lnTo>
              <a:lnTo>
                <a:pt x="3941900" y="644942"/>
              </a:lnTo>
              <a:lnTo>
                <a:pt x="3988275" y="775112"/>
              </a:lnTo>
              <a:lnTo>
                <a:pt x="4034650" y="716061"/>
              </a:lnTo>
              <a:lnTo>
                <a:pt x="4081026" y="757883"/>
              </a:lnTo>
              <a:lnTo>
                <a:pt x="4127401" y="1011273"/>
              </a:lnTo>
              <a:lnTo>
                <a:pt x="4173776" y="991718"/>
              </a:lnTo>
              <a:lnTo>
                <a:pt x="4220151" y="930355"/>
              </a:lnTo>
              <a:lnTo>
                <a:pt x="4266527" y="960361"/>
              </a:lnTo>
              <a:lnTo>
                <a:pt x="4312902" y="862991"/>
              </a:lnTo>
              <a:lnTo>
                <a:pt x="4359277" y="952575"/>
              </a:lnTo>
              <a:lnTo>
                <a:pt x="4405653" y="787784"/>
              </a:lnTo>
              <a:lnTo>
                <a:pt x="4452028" y="987166"/>
              </a:lnTo>
              <a:lnTo>
                <a:pt x="4498404" y="842943"/>
              </a:lnTo>
              <a:lnTo>
                <a:pt x="4544779" y="830936"/>
              </a:lnTo>
              <a:lnTo>
                <a:pt x="4591154" y="886782"/>
              </a:lnTo>
              <a:lnTo>
                <a:pt x="4637530" y="896794"/>
              </a:lnTo>
              <a:lnTo>
                <a:pt x="4683905" y="798150"/>
              </a:lnTo>
              <a:lnTo>
                <a:pt x="4730280" y="550786"/>
              </a:lnTo>
              <a:lnTo>
                <a:pt x="4776655" y="369537"/>
              </a:lnTo>
              <a:lnTo>
                <a:pt x="4823031" y="244547"/>
              </a:lnTo>
              <a:lnTo>
                <a:pt x="4869406" y="432664"/>
              </a:lnTo>
              <a:lnTo>
                <a:pt x="4915781" y="162833"/>
              </a:lnTo>
              <a:lnTo>
                <a:pt x="4962156" y="112231"/>
              </a:lnTo>
              <a:lnTo>
                <a:pt x="5008532" y="433977"/>
              </a:lnTo>
              <a:lnTo>
                <a:pt x="5054907" y="675074"/>
              </a:lnTo>
              <a:lnTo>
                <a:pt x="5101282" y="966642"/>
              </a:lnTo>
              <a:lnTo>
                <a:pt x="5147658" y="820653"/>
              </a:lnTo>
              <a:lnTo>
                <a:pt x="5194033" y="844491"/>
              </a:lnTo>
              <a:lnTo>
                <a:pt x="5240408" y="976800"/>
              </a:lnTo>
              <a:lnTo>
                <a:pt x="5286783" y="934529"/>
              </a:lnTo>
              <a:lnTo>
                <a:pt x="5333159" y="827544"/>
              </a:lnTo>
              <a:lnTo>
                <a:pt x="5379534" y="792805"/>
              </a:lnTo>
              <a:lnTo>
                <a:pt x="5425909" y="950462"/>
              </a:lnTo>
              <a:lnTo>
                <a:pt x="5472285" y="1472483"/>
              </a:lnTo>
              <a:lnTo>
                <a:pt x="5518660" y="1029263"/>
              </a:lnTo>
              <a:lnTo>
                <a:pt x="5565035" y="873796"/>
              </a:lnTo>
              <a:lnTo>
                <a:pt x="5611410" y="771174"/>
              </a:lnTo>
              <a:lnTo>
                <a:pt x="5657786" y="698592"/>
              </a:lnTo>
              <a:lnTo>
                <a:pt x="5704161" y="645477"/>
              </a:lnTo>
              <a:lnTo>
                <a:pt x="5750536" y="605768"/>
              </a:lnTo>
              <a:lnTo>
                <a:pt x="5796912" y="575628"/>
              </a:lnTo>
              <a:lnTo>
                <a:pt x="5843287" y="552481"/>
              </a:lnTo>
              <a:lnTo>
                <a:pt x="5889662" y="534536"/>
              </a:lnTo>
              <a:lnTo>
                <a:pt x="5936037" y="520516"/>
              </a:lnTo>
              <a:lnTo>
                <a:pt x="5982413" y="509493"/>
              </a:lnTo>
              <a:lnTo>
                <a:pt x="6028788" y="500778"/>
              </a:lnTo>
              <a:lnTo>
                <a:pt x="6075163" y="493857"/>
              </a:lnTo>
              <a:lnTo>
                <a:pt x="6121539" y="488341"/>
              </a:lnTo>
              <a:lnTo>
                <a:pt x="6167914" y="483929"/>
              </a:lnTo>
              <a:lnTo>
                <a:pt x="6167914" y="298957"/>
              </a:lnTo>
              <a:lnTo>
                <a:pt x="6121539" y="303456"/>
              </a:lnTo>
              <a:lnTo>
                <a:pt x="6075163" y="309105"/>
              </a:lnTo>
              <a:lnTo>
                <a:pt x="6028788" y="316228"/>
              </a:lnTo>
              <a:lnTo>
                <a:pt x="5982413" y="325250"/>
              </a:lnTo>
              <a:lnTo>
                <a:pt x="5936037" y="336741"/>
              </a:lnTo>
              <a:lnTo>
                <a:pt x="5889662" y="351474"/>
              </a:lnTo>
              <a:lnTo>
                <a:pt x="5843287" y="370506"/>
              </a:lnTo>
              <a:lnTo>
                <a:pt x="5796912" y="395319"/>
              </a:lnTo>
              <a:lnTo>
                <a:pt x="5750536" y="428018"/>
              </a:lnTo>
              <a:lnTo>
                <a:pt x="5704161" y="471685"/>
              </a:lnTo>
              <a:lnTo>
                <a:pt x="5657786" y="530992"/>
              </a:lnTo>
              <a:lnTo>
                <a:pt x="5611410" y="613443"/>
              </a:lnTo>
              <a:lnTo>
                <a:pt x="5565035" y="732365"/>
              </a:lnTo>
              <a:lnTo>
                <a:pt x="5518660" y="917031"/>
              </a:lnTo>
              <a:lnTo>
                <a:pt x="5472285" y="1472483"/>
              </a:lnTo>
              <a:lnTo>
                <a:pt x="5425909" y="838231"/>
              </a:lnTo>
              <a:lnTo>
                <a:pt x="5379534" y="680573"/>
              </a:lnTo>
              <a:lnTo>
                <a:pt x="5333159" y="715313"/>
              </a:lnTo>
              <a:lnTo>
                <a:pt x="5286783" y="822298"/>
              </a:lnTo>
              <a:lnTo>
                <a:pt x="5240408" y="864569"/>
              </a:lnTo>
              <a:lnTo>
                <a:pt x="5194033" y="732260"/>
              </a:lnTo>
              <a:lnTo>
                <a:pt x="5147658" y="708422"/>
              </a:lnTo>
              <a:lnTo>
                <a:pt x="5101282" y="854411"/>
              </a:lnTo>
              <a:lnTo>
                <a:pt x="5054907" y="562843"/>
              </a:lnTo>
              <a:lnTo>
                <a:pt x="5008532" y="321746"/>
              </a:lnTo>
              <a:lnTo>
                <a:pt x="4962156" y="0"/>
              </a:lnTo>
              <a:lnTo>
                <a:pt x="4915781" y="50601"/>
              </a:lnTo>
              <a:lnTo>
                <a:pt x="4869406" y="320433"/>
              </a:lnTo>
              <a:lnTo>
                <a:pt x="4823031" y="132315"/>
              </a:lnTo>
              <a:lnTo>
                <a:pt x="4776655" y="257305"/>
              </a:lnTo>
              <a:lnTo>
                <a:pt x="4730280" y="438555"/>
              </a:lnTo>
              <a:lnTo>
                <a:pt x="4683905" y="685919"/>
              </a:lnTo>
              <a:lnTo>
                <a:pt x="4637530" y="784562"/>
              </a:lnTo>
              <a:lnTo>
                <a:pt x="4591154" y="774551"/>
              </a:lnTo>
              <a:lnTo>
                <a:pt x="4544779" y="718705"/>
              </a:lnTo>
              <a:lnTo>
                <a:pt x="4498404" y="730712"/>
              </a:lnTo>
              <a:lnTo>
                <a:pt x="4452028" y="874934"/>
              </a:lnTo>
              <a:lnTo>
                <a:pt x="4405653" y="675553"/>
              </a:lnTo>
              <a:lnTo>
                <a:pt x="4359277" y="840344"/>
              </a:lnTo>
              <a:lnTo>
                <a:pt x="4312902" y="750760"/>
              </a:lnTo>
              <a:lnTo>
                <a:pt x="4266527" y="848129"/>
              </a:lnTo>
              <a:lnTo>
                <a:pt x="4220151" y="818124"/>
              </a:lnTo>
              <a:lnTo>
                <a:pt x="4173776" y="879487"/>
              </a:lnTo>
              <a:lnTo>
                <a:pt x="4127401" y="899041"/>
              </a:lnTo>
              <a:lnTo>
                <a:pt x="4081026" y="645652"/>
              </a:lnTo>
              <a:lnTo>
                <a:pt x="4034650" y="603829"/>
              </a:lnTo>
              <a:lnTo>
                <a:pt x="3988275" y="662881"/>
              </a:lnTo>
              <a:lnTo>
                <a:pt x="3941900" y="532710"/>
              </a:lnTo>
              <a:lnTo>
                <a:pt x="3895525" y="732893"/>
              </a:lnTo>
              <a:lnTo>
                <a:pt x="3849149" y="754600"/>
              </a:lnTo>
              <a:lnTo>
                <a:pt x="3802774" y="682984"/>
              </a:lnTo>
              <a:lnTo>
                <a:pt x="3756399" y="832041"/>
              </a:lnTo>
              <a:lnTo>
                <a:pt x="3710023" y="1024798"/>
              </a:lnTo>
              <a:lnTo>
                <a:pt x="3663648" y="653178"/>
              </a:lnTo>
              <a:lnTo>
                <a:pt x="3617273" y="765852"/>
              </a:lnTo>
              <a:lnTo>
                <a:pt x="3570898" y="519428"/>
              </a:lnTo>
              <a:lnTo>
                <a:pt x="3524522" y="588840"/>
              </a:lnTo>
              <a:lnTo>
                <a:pt x="3478147" y="533929"/>
              </a:lnTo>
              <a:lnTo>
                <a:pt x="3431772" y="613457"/>
              </a:lnTo>
              <a:lnTo>
                <a:pt x="3385396" y="790072"/>
              </a:lnTo>
              <a:lnTo>
                <a:pt x="3339021" y="768396"/>
              </a:lnTo>
              <a:lnTo>
                <a:pt x="3292646" y="727063"/>
              </a:lnTo>
              <a:lnTo>
                <a:pt x="3246271" y="669173"/>
              </a:lnTo>
              <a:lnTo>
                <a:pt x="3199895" y="810788"/>
              </a:lnTo>
              <a:lnTo>
                <a:pt x="3153520" y="801895"/>
              </a:lnTo>
              <a:lnTo>
                <a:pt x="3107145" y="801815"/>
              </a:lnTo>
              <a:lnTo>
                <a:pt x="3060769" y="772821"/>
              </a:lnTo>
              <a:lnTo>
                <a:pt x="3014394" y="781822"/>
              </a:lnTo>
              <a:lnTo>
                <a:pt x="2968019" y="731584"/>
              </a:lnTo>
              <a:lnTo>
                <a:pt x="2921644" y="840961"/>
              </a:lnTo>
              <a:lnTo>
                <a:pt x="2875268" y="964438"/>
              </a:lnTo>
              <a:lnTo>
                <a:pt x="2828893" y="749284"/>
              </a:lnTo>
              <a:lnTo>
                <a:pt x="2782518" y="658902"/>
              </a:lnTo>
              <a:lnTo>
                <a:pt x="2736142" y="390351"/>
              </a:lnTo>
              <a:lnTo>
                <a:pt x="2689767" y="486828"/>
              </a:lnTo>
              <a:lnTo>
                <a:pt x="2643392" y="811431"/>
              </a:lnTo>
              <a:lnTo>
                <a:pt x="2597016" y="870835"/>
              </a:lnTo>
              <a:lnTo>
                <a:pt x="2550641" y="654990"/>
              </a:lnTo>
              <a:lnTo>
                <a:pt x="2504266" y="737367"/>
              </a:lnTo>
              <a:lnTo>
                <a:pt x="2457890" y="777787"/>
              </a:lnTo>
              <a:lnTo>
                <a:pt x="2411515" y="664920"/>
              </a:lnTo>
              <a:lnTo>
                <a:pt x="2365140" y="901414"/>
              </a:lnTo>
              <a:lnTo>
                <a:pt x="2318765" y="772029"/>
              </a:lnTo>
              <a:lnTo>
                <a:pt x="2272389" y="787425"/>
              </a:lnTo>
              <a:lnTo>
                <a:pt x="2226014" y="780764"/>
              </a:lnTo>
              <a:lnTo>
                <a:pt x="2179639" y="954362"/>
              </a:lnTo>
              <a:lnTo>
                <a:pt x="2133264" y="1108501"/>
              </a:lnTo>
              <a:lnTo>
                <a:pt x="2086888" y="908470"/>
              </a:lnTo>
              <a:lnTo>
                <a:pt x="2040513" y="792027"/>
              </a:lnTo>
              <a:lnTo>
                <a:pt x="1994138" y="950255"/>
              </a:lnTo>
              <a:lnTo>
                <a:pt x="1947762" y="792908"/>
              </a:lnTo>
              <a:lnTo>
                <a:pt x="1901387" y="719334"/>
              </a:lnTo>
              <a:lnTo>
                <a:pt x="1855012" y="682761"/>
              </a:lnTo>
              <a:lnTo>
                <a:pt x="1808636" y="1019226"/>
              </a:lnTo>
              <a:lnTo>
                <a:pt x="1762261" y="919388"/>
              </a:lnTo>
              <a:lnTo>
                <a:pt x="1715886" y="780049"/>
              </a:lnTo>
              <a:lnTo>
                <a:pt x="1669510" y="774969"/>
              </a:lnTo>
              <a:lnTo>
                <a:pt x="1623135" y="636037"/>
              </a:lnTo>
              <a:lnTo>
                <a:pt x="1576760" y="891405"/>
              </a:lnTo>
              <a:lnTo>
                <a:pt x="1530385" y="895441"/>
              </a:lnTo>
              <a:lnTo>
                <a:pt x="1484009" y="863059"/>
              </a:lnTo>
              <a:lnTo>
                <a:pt x="1437634" y="851816"/>
              </a:lnTo>
              <a:lnTo>
                <a:pt x="1391259" y="611763"/>
              </a:lnTo>
              <a:lnTo>
                <a:pt x="1344884" y="402013"/>
              </a:lnTo>
              <a:lnTo>
                <a:pt x="1298508" y="424197"/>
              </a:lnTo>
              <a:lnTo>
                <a:pt x="1252133" y="345618"/>
              </a:lnTo>
              <a:lnTo>
                <a:pt x="1205758" y="333657"/>
              </a:lnTo>
              <a:lnTo>
                <a:pt x="1159382" y="442021"/>
              </a:lnTo>
              <a:lnTo>
                <a:pt x="1113007" y="661496"/>
              </a:lnTo>
              <a:lnTo>
                <a:pt x="1066632" y="811701"/>
              </a:lnTo>
              <a:lnTo>
                <a:pt x="1020256" y="830095"/>
              </a:lnTo>
              <a:lnTo>
                <a:pt x="973881" y="1057572"/>
              </a:lnTo>
              <a:lnTo>
                <a:pt x="927506" y="930430"/>
              </a:lnTo>
              <a:lnTo>
                <a:pt x="881131" y="992432"/>
              </a:lnTo>
              <a:lnTo>
                <a:pt x="834755" y="1123820"/>
              </a:lnTo>
              <a:lnTo>
                <a:pt x="788380" y="881298"/>
              </a:lnTo>
              <a:lnTo>
                <a:pt x="742005" y="857572"/>
              </a:lnTo>
              <a:lnTo>
                <a:pt x="695629" y="726998"/>
              </a:lnTo>
              <a:lnTo>
                <a:pt x="649254" y="702111"/>
              </a:lnTo>
              <a:lnTo>
                <a:pt x="602879" y="762916"/>
              </a:lnTo>
              <a:lnTo>
                <a:pt x="556504" y="627831"/>
              </a:lnTo>
              <a:lnTo>
                <a:pt x="510128" y="714691"/>
              </a:lnTo>
              <a:lnTo>
                <a:pt x="463753" y="732692"/>
              </a:lnTo>
              <a:lnTo>
                <a:pt x="417378" y="651854"/>
              </a:lnTo>
              <a:lnTo>
                <a:pt x="371002" y="493461"/>
              </a:lnTo>
              <a:lnTo>
                <a:pt x="324627" y="712478"/>
              </a:lnTo>
              <a:lnTo>
                <a:pt x="278252" y="772399"/>
              </a:lnTo>
              <a:lnTo>
                <a:pt x="231876" y="480475"/>
              </a:lnTo>
              <a:lnTo>
                <a:pt x="185501" y="514071"/>
              </a:lnTo>
              <a:lnTo>
                <a:pt x="139126" y="612045"/>
              </a:lnTo>
              <a:lnTo>
                <a:pt x="92751" y="672353"/>
              </a:lnTo>
              <a:lnTo>
                <a:pt x="46375" y="766566"/>
              </a:lnTo>
              <a:lnTo>
                <a:pt x="0" y="808671"/>
              </a:lnTo>
              <a:lnTo>
                <a:pt x="0" y="920903"/>
              </a:lnTo>
            </a:path>
          </a:pathLst>
        </a:custGeom>
        <a:solidFill xmlns:a="http://schemas.openxmlformats.org/drawingml/2006/main">
          <a:srgbClr val="2E473B">
            <a:alpha val="20000"/>
          </a:srgbClr>
        </a:solidFill>
        <a:ln xmlns:a="http://schemas.openxmlformats.org/drawingml/2006/main">
          <a:solidFill>
            <a:srgbClr val="FFFFFF"/>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userShapes>
</file>

<file path=xl/drawings/drawing3.xml><?xml version="1.0" encoding="utf-8"?>
<c:userShapes xmlns:c="http://schemas.openxmlformats.org/drawingml/2006/chart">
  <cdr:relSizeAnchor xmlns:cdr="http://schemas.openxmlformats.org/drawingml/2006/chartDrawing">
    <cdr:from>
      <cdr:x>0.51882</cdr:x>
      <cdr:y>0.68095</cdr:y>
    </cdr:from>
    <cdr:to>
      <cdr:x>0.936</cdr:x>
      <cdr:y>0.84323</cdr:y>
    </cdr:to>
    <cdr:sp macro="" textlink="">
      <cdr:nvSpPr>
        <cdr:cNvPr id="2018" name="$C$195:$J$205|$B$268 1">
          <a:extLst xmlns:a="http://schemas.openxmlformats.org/drawingml/2006/main">
            <a:ext uri="{FF2B5EF4-FFF2-40B4-BE49-F238E27FC236}">
              <a16:creationId xmlns:a16="http://schemas.microsoft.com/office/drawing/2014/main" id="{AE672783-543B-4E2E-B260-583E22E7463A}"/>
            </a:ext>
          </a:extLst>
        </cdr:cNvPr>
        <cdr:cNvSpPr/>
      </cdr:nvSpPr>
      <cdr:spPr>
        <a:xfrm xmlns:a="http://schemas.openxmlformats.org/drawingml/2006/main">
          <a:off x="1647240" y="1297205"/>
          <a:ext cx="1324561" cy="309155"/>
        </a:xfrm>
        <a:custGeom xmlns:a="http://schemas.openxmlformats.org/drawingml/2006/main">
          <a:avLst/>
          <a:gdLst/>
          <a:ahLst/>
          <a:cxnLst/>
          <a:rect l="0" t="0" r="0" b="0"/>
          <a:pathLst>
            <a:path w="1324561" h="309155">
              <a:moveTo>
                <a:pt x="12700" y="0"/>
              </a:moveTo>
              <a:lnTo>
                <a:pt x="132456" y="288318"/>
              </a:lnTo>
              <a:lnTo>
                <a:pt x="264912" y="309154"/>
              </a:lnTo>
              <a:lnTo>
                <a:pt x="397368" y="299424"/>
              </a:lnTo>
              <a:lnTo>
                <a:pt x="529824" y="279431"/>
              </a:lnTo>
              <a:lnTo>
                <a:pt x="662280" y="256665"/>
              </a:lnTo>
              <a:lnTo>
                <a:pt x="794736" y="234355"/>
              </a:lnTo>
              <a:lnTo>
                <a:pt x="927192" y="213898"/>
              </a:lnTo>
              <a:lnTo>
                <a:pt x="1059648" y="195817"/>
              </a:lnTo>
              <a:lnTo>
                <a:pt x="1192104" y="180199"/>
              </a:lnTo>
              <a:lnTo>
                <a:pt x="1324560" y="166913"/>
              </a:lnTo>
              <a:lnTo>
                <a:pt x="1324560" y="20650"/>
              </a:lnTo>
              <a:lnTo>
                <a:pt x="1192104" y="34503"/>
              </a:lnTo>
              <a:lnTo>
                <a:pt x="1059648" y="50987"/>
              </a:lnTo>
              <a:lnTo>
                <a:pt x="927192" y="70393"/>
              </a:lnTo>
              <a:lnTo>
                <a:pt x="794736" y="92886"/>
              </a:lnTo>
              <a:lnTo>
                <a:pt x="662280" y="118348"/>
              </a:lnTo>
              <a:lnTo>
                <a:pt x="529824" y="146041"/>
              </a:lnTo>
              <a:lnTo>
                <a:pt x="397368" y="173889"/>
              </a:lnTo>
              <a:lnTo>
                <a:pt x="264912" y="196592"/>
              </a:lnTo>
              <a:lnTo>
                <a:pt x="132456" y="198994"/>
              </a:lnTo>
              <a:lnTo>
                <a:pt x="0" y="0"/>
              </a:lnTo>
              <a:lnTo>
                <a:pt x="0" y="0"/>
              </a:lnTo>
            </a:path>
          </a:pathLst>
        </a:custGeom>
        <a:solidFill xmlns:a="http://schemas.openxmlformats.org/drawingml/2006/main">
          <a:srgbClr val="DB2645">
            <a:alpha val="20000"/>
          </a:srgbClr>
        </a:solidFill>
        <a:ln xmlns:a="http://schemas.openxmlformats.org/drawingml/2006/main" w="635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6350" cap="flat" cmpd="sng" algn="ctr">
              <a:solidFill>
                <a:schemeClr val="accent1"/>
              </a:solidFill>
              <a:prstDash val="solid"/>
              <a:miter lim="800000"/>
            </a14:hiddenLine>
          </a:ext>
        </a:extLst>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0.51882</cdr:x>
      <cdr:y>0.59881</cdr:y>
    </cdr:from>
    <cdr:to>
      <cdr:x>0.936</cdr:x>
      <cdr:y>0.78541</cdr:y>
    </cdr:to>
    <cdr:sp macro="" textlink="">
      <cdr:nvSpPr>
        <cdr:cNvPr id="2019" name="$C$195:$J$205|$B$268 2">
          <a:extLst xmlns:a="http://schemas.openxmlformats.org/drawingml/2006/main">
            <a:ext uri="{FF2B5EF4-FFF2-40B4-BE49-F238E27FC236}">
              <a16:creationId xmlns:a16="http://schemas.microsoft.com/office/drawing/2014/main" id="{2E731FD8-543E-4CC1-ADBE-7369634E2ED6}"/>
            </a:ext>
          </a:extLst>
        </cdr:cNvPr>
        <cdr:cNvSpPr/>
      </cdr:nvSpPr>
      <cdr:spPr>
        <a:xfrm xmlns:a="http://schemas.openxmlformats.org/drawingml/2006/main">
          <a:off x="1647240" y="1140741"/>
          <a:ext cx="1324561" cy="355459"/>
        </a:xfrm>
        <a:custGeom xmlns:a="http://schemas.openxmlformats.org/drawingml/2006/main">
          <a:avLst/>
          <a:gdLst/>
          <a:ahLst/>
          <a:cxnLst/>
          <a:rect l="0" t="0" r="0" b="0"/>
          <a:pathLst>
            <a:path w="1324561" h="355459">
              <a:moveTo>
                <a:pt x="12700" y="156464"/>
              </a:moveTo>
              <a:lnTo>
                <a:pt x="132456" y="355458"/>
              </a:lnTo>
              <a:lnTo>
                <a:pt x="264912" y="353056"/>
              </a:lnTo>
              <a:lnTo>
                <a:pt x="397368" y="330353"/>
              </a:lnTo>
              <a:lnTo>
                <a:pt x="529824" y="302505"/>
              </a:lnTo>
              <a:lnTo>
                <a:pt x="662280" y="274812"/>
              </a:lnTo>
              <a:lnTo>
                <a:pt x="794736" y="249350"/>
              </a:lnTo>
              <a:lnTo>
                <a:pt x="927192" y="226857"/>
              </a:lnTo>
              <a:lnTo>
                <a:pt x="1059648" y="207451"/>
              </a:lnTo>
              <a:lnTo>
                <a:pt x="1192104" y="190967"/>
              </a:lnTo>
              <a:lnTo>
                <a:pt x="1324560" y="177114"/>
              </a:lnTo>
              <a:lnTo>
                <a:pt x="1324560" y="0"/>
              </a:lnTo>
              <a:lnTo>
                <a:pt x="1192104" y="14540"/>
              </a:lnTo>
              <a:lnTo>
                <a:pt x="1059648" y="32073"/>
              </a:lnTo>
              <a:lnTo>
                <a:pt x="927192" y="53084"/>
              </a:lnTo>
              <a:lnTo>
                <a:pt x="794736" y="78043"/>
              </a:lnTo>
              <a:lnTo>
                <a:pt x="662280" y="107320"/>
              </a:lnTo>
              <a:lnTo>
                <a:pt x="529824" y="140981"/>
              </a:lnTo>
              <a:lnTo>
                <a:pt x="397368" y="178339"/>
              </a:lnTo>
              <a:lnTo>
                <a:pt x="264912" y="216751"/>
              </a:lnTo>
              <a:lnTo>
                <a:pt x="132456" y="247295"/>
              </a:lnTo>
              <a:lnTo>
                <a:pt x="0" y="156464"/>
              </a:lnTo>
              <a:lnTo>
                <a:pt x="0" y="156464"/>
              </a:lnTo>
            </a:path>
          </a:pathLst>
        </a:custGeom>
        <a:solidFill xmlns:a="http://schemas.openxmlformats.org/drawingml/2006/main">
          <a:srgbClr val="92192E">
            <a:alpha val="47000"/>
          </a:srgbClr>
        </a:solidFill>
        <a:ln xmlns:a="http://schemas.openxmlformats.org/drawingml/2006/main" w="635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6350" cap="flat" cmpd="sng" algn="ctr">
              <a:solidFill>
                <a:schemeClr val="accent1"/>
              </a:solidFill>
              <a:prstDash val="solid"/>
              <a:miter lim="800000"/>
            </a14:hiddenLine>
          </a:ext>
        </a:extLst>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0.51882</cdr:x>
      <cdr:y>0.47449</cdr:y>
    </cdr:from>
    <cdr:to>
      <cdr:x>0.936</cdr:x>
      <cdr:y>0.72863</cdr:y>
    </cdr:to>
    <cdr:sp macro="" textlink="">
      <cdr:nvSpPr>
        <cdr:cNvPr id="2020" name="$C$195:$J$205|$B$268 3">
          <a:extLst xmlns:a="http://schemas.openxmlformats.org/drawingml/2006/main">
            <a:ext uri="{FF2B5EF4-FFF2-40B4-BE49-F238E27FC236}">
              <a16:creationId xmlns:a16="http://schemas.microsoft.com/office/drawing/2014/main" id="{D31A7BE4-C01A-44C2-8A3A-2BFDD1C3537E}"/>
            </a:ext>
          </a:extLst>
        </cdr:cNvPr>
        <cdr:cNvSpPr/>
      </cdr:nvSpPr>
      <cdr:spPr>
        <a:xfrm xmlns:a="http://schemas.openxmlformats.org/drawingml/2006/main">
          <a:off x="1647240" y="903905"/>
          <a:ext cx="1324561" cy="484132"/>
        </a:xfrm>
        <a:custGeom xmlns:a="http://schemas.openxmlformats.org/drawingml/2006/main">
          <a:avLst/>
          <a:gdLst/>
          <a:ahLst/>
          <a:cxnLst/>
          <a:rect l="0" t="0" r="0" b="0"/>
          <a:pathLst>
            <a:path w="1324561" h="484132">
              <a:moveTo>
                <a:pt x="12700" y="393300"/>
              </a:moveTo>
              <a:lnTo>
                <a:pt x="132456" y="484131"/>
              </a:lnTo>
              <a:lnTo>
                <a:pt x="264912" y="453587"/>
              </a:lnTo>
              <a:lnTo>
                <a:pt x="397368" y="415175"/>
              </a:lnTo>
              <a:lnTo>
                <a:pt x="529824" y="377817"/>
              </a:lnTo>
              <a:lnTo>
                <a:pt x="662280" y="344156"/>
              </a:lnTo>
              <a:lnTo>
                <a:pt x="794736" y="314879"/>
              </a:lnTo>
              <a:lnTo>
                <a:pt x="927192" y="289920"/>
              </a:lnTo>
              <a:lnTo>
                <a:pt x="1059648" y="268909"/>
              </a:lnTo>
              <a:lnTo>
                <a:pt x="1192104" y="251376"/>
              </a:lnTo>
              <a:lnTo>
                <a:pt x="1324560" y="236836"/>
              </a:lnTo>
              <a:lnTo>
                <a:pt x="1324560" y="0"/>
              </a:lnTo>
              <a:lnTo>
                <a:pt x="1192104" y="15459"/>
              </a:lnTo>
              <a:lnTo>
                <a:pt x="1059648" y="34394"/>
              </a:lnTo>
              <a:lnTo>
                <a:pt x="927192" y="57550"/>
              </a:lnTo>
              <a:lnTo>
                <a:pt x="794736" y="85808"/>
              </a:lnTo>
              <a:lnTo>
                <a:pt x="662280" y="120186"/>
              </a:lnTo>
              <a:lnTo>
                <a:pt x="529824" y="161826"/>
              </a:lnTo>
              <a:lnTo>
                <a:pt x="397368" y="211903"/>
              </a:lnTo>
              <a:lnTo>
                <a:pt x="264912" y="271322"/>
              </a:lnTo>
              <a:lnTo>
                <a:pt x="132456" y="339495"/>
              </a:lnTo>
              <a:lnTo>
                <a:pt x="0" y="393300"/>
              </a:lnTo>
              <a:lnTo>
                <a:pt x="0" y="393300"/>
              </a:lnTo>
            </a:path>
          </a:pathLst>
        </a:custGeom>
        <a:solidFill xmlns:a="http://schemas.openxmlformats.org/drawingml/2006/main">
          <a:srgbClr val="490D17">
            <a:alpha val="73000"/>
          </a:srgbClr>
        </a:solidFill>
        <a:ln xmlns:a="http://schemas.openxmlformats.org/drawingml/2006/main" w="635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6350" cap="flat" cmpd="sng" algn="ctr">
              <a:solidFill>
                <a:schemeClr val="accent1"/>
              </a:solidFill>
              <a:prstDash val="solid"/>
              <a:miter lim="800000"/>
            </a14:hiddenLine>
          </a:ext>
        </a:extLst>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0.51882</cdr:x>
      <cdr:y>0.36741</cdr:y>
    </cdr:from>
    <cdr:to>
      <cdr:x>0.936</cdr:x>
      <cdr:y>0.68095</cdr:y>
    </cdr:to>
    <cdr:sp macro="" textlink="">
      <cdr:nvSpPr>
        <cdr:cNvPr id="2021" name="$C$195:$J$205|$B$268 4">
          <a:extLst xmlns:a="http://schemas.openxmlformats.org/drawingml/2006/main">
            <a:ext uri="{FF2B5EF4-FFF2-40B4-BE49-F238E27FC236}">
              <a16:creationId xmlns:a16="http://schemas.microsoft.com/office/drawing/2014/main" id="{8F60D024-8725-4DAD-9166-42E729FA504C}"/>
            </a:ext>
          </a:extLst>
        </cdr:cNvPr>
        <cdr:cNvSpPr/>
      </cdr:nvSpPr>
      <cdr:spPr>
        <a:xfrm xmlns:a="http://schemas.openxmlformats.org/drawingml/2006/main">
          <a:off x="1647240" y="699913"/>
          <a:ext cx="1324561" cy="597293"/>
        </a:xfrm>
        <a:custGeom xmlns:a="http://schemas.openxmlformats.org/drawingml/2006/main">
          <a:avLst/>
          <a:gdLst/>
          <a:ahLst/>
          <a:cxnLst/>
          <a:rect l="0" t="0" r="0" b="0"/>
          <a:pathLst>
            <a:path w="1324561" h="597293">
              <a:moveTo>
                <a:pt x="12700" y="597292"/>
              </a:moveTo>
              <a:lnTo>
                <a:pt x="132456" y="543487"/>
              </a:lnTo>
              <a:lnTo>
                <a:pt x="264912" y="475314"/>
              </a:lnTo>
              <a:lnTo>
                <a:pt x="397368" y="415895"/>
              </a:lnTo>
              <a:lnTo>
                <a:pt x="529824" y="365818"/>
              </a:lnTo>
              <a:lnTo>
                <a:pt x="662280" y="324178"/>
              </a:lnTo>
              <a:lnTo>
                <a:pt x="794736" y="289800"/>
              </a:lnTo>
              <a:lnTo>
                <a:pt x="927192" y="261542"/>
              </a:lnTo>
              <a:lnTo>
                <a:pt x="1059648" y="238386"/>
              </a:lnTo>
              <a:lnTo>
                <a:pt x="1192104" y="219451"/>
              </a:lnTo>
              <a:lnTo>
                <a:pt x="1324560" y="203992"/>
              </a:lnTo>
              <a:lnTo>
                <a:pt x="1324560" y="0"/>
              </a:lnTo>
              <a:lnTo>
                <a:pt x="1192104" y="16250"/>
              </a:lnTo>
              <a:lnTo>
                <a:pt x="1059648" y="36393"/>
              </a:lnTo>
              <a:lnTo>
                <a:pt x="927192" y="61397"/>
              </a:lnTo>
              <a:lnTo>
                <a:pt x="794736" y="92495"/>
              </a:lnTo>
              <a:lnTo>
                <a:pt x="662280" y="131268"/>
              </a:lnTo>
              <a:lnTo>
                <a:pt x="529824" y="179780"/>
              </a:lnTo>
              <a:lnTo>
                <a:pt x="397368" y="240811"/>
              </a:lnTo>
              <a:lnTo>
                <a:pt x="264912" y="318324"/>
              </a:lnTo>
              <a:lnTo>
                <a:pt x="132456" y="418909"/>
              </a:lnTo>
              <a:lnTo>
                <a:pt x="0" y="597292"/>
              </a:lnTo>
              <a:lnTo>
                <a:pt x="0" y="597292"/>
              </a:lnTo>
            </a:path>
          </a:pathLst>
        </a:custGeom>
        <a:solidFill xmlns:a="http://schemas.openxmlformats.org/drawingml/2006/main">
          <a:srgbClr val="000000"/>
        </a:solidFill>
        <a:ln xmlns:a="http://schemas.openxmlformats.org/drawingml/2006/main" w="635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6350" cap="flat" cmpd="sng" algn="ctr">
              <a:solidFill>
                <a:schemeClr val="accent1"/>
              </a:solidFill>
              <a:prstDash val="solid"/>
              <a:miter lim="800000"/>
            </a14:hiddenLine>
          </a:ext>
        </a:extLst>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0.51882</cdr:x>
      <cdr:y>0.24309</cdr:y>
    </cdr:from>
    <cdr:to>
      <cdr:x>0.936</cdr:x>
      <cdr:y>0.68095</cdr:y>
    </cdr:to>
    <cdr:sp macro="" textlink="">
      <cdr:nvSpPr>
        <cdr:cNvPr id="2022" name="$C$195:$J$205|$B$268 5">
          <a:extLst xmlns:a="http://schemas.openxmlformats.org/drawingml/2006/main">
            <a:ext uri="{FF2B5EF4-FFF2-40B4-BE49-F238E27FC236}">
              <a16:creationId xmlns:a16="http://schemas.microsoft.com/office/drawing/2014/main" id="{E93533AC-1F9A-4A2D-9E87-503484885FA6}"/>
            </a:ext>
          </a:extLst>
        </cdr:cNvPr>
        <cdr:cNvSpPr/>
      </cdr:nvSpPr>
      <cdr:spPr>
        <a:xfrm xmlns:a="http://schemas.openxmlformats.org/drawingml/2006/main">
          <a:off x="1647240" y="463077"/>
          <a:ext cx="1324561" cy="834129"/>
        </a:xfrm>
        <a:custGeom xmlns:a="http://schemas.openxmlformats.org/drawingml/2006/main">
          <a:avLst/>
          <a:gdLst/>
          <a:ahLst/>
          <a:cxnLst/>
          <a:rect l="0" t="0" r="0" b="0"/>
          <a:pathLst>
            <a:path w="1324561" h="834129">
              <a:moveTo>
                <a:pt x="12700" y="834128"/>
              </a:moveTo>
              <a:lnTo>
                <a:pt x="132456" y="655745"/>
              </a:lnTo>
              <a:lnTo>
                <a:pt x="264912" y="555160"/>
              </a:lnTo>
              <a:lnTo>
                <a:pt x="397368" y="477647"/>
              </a:lnTo>
              <a:lnTo>
                <a:pt x="529824" y="416616"/>
              </a:lnTo>
              <a:lnTo>
                <a:pt x="662280" y="368104"/>
              </a:lnTo>
              <a:lnTo>
                <a:pt x="794736" y="329331"/>
              </a:lnTo>
              <a:lnTo>
                <a:pt x="927192" y="298233"/>
              </a:lnTo>
              <a:lnTo>
                <a:pt x="1059648" y="273229"/>
              </a:lnTo>
              <a:lnTo>
                <a:pt x="1192104" y="253086"/>
              </a:lnTo>
              <a:lnTo>
                <a:pt x="1324560" y="236836"/>
              </a:lnTo>
              <a:lnTo>
                <a:pt x="1324560" y="0"/>
              </a:lnTo>
              <a:lnTo>
                <a:pt x="1192104" y="17168"/>
              </a:lnTo>
              <a:lnTo>
                <a:pt x="1059648" y="38713"/>
              </a:lnTo>
              <a:lnTo>
                <a:pt x="927192" y="65864"/>
              </a:lnTo>
              <a:lnTo>
                <a:pt x="794736" y="100259"/>
              </a:lnTo>
              <a:lnTo>
                <a:pt x="662280" y="144134"/>
              </a:lnTo>
              <a:lnTo>
                <a:pt x="529824" y="200626"/>
              </a:lnTo>
              <a:lnTo>
                <a:pt x="397368" y="274375"/>
              </a:lnTo>
              <a:lnTo>
                <a:pt x="264912" y="372894"/>
              </a:lnTo>
              <a:lnTo>
                <a:pt x="132456" y="511109"/>
              </a:lnTo>
              <a:lnTo>
                <a:pt x="0" y="834128"/>
              </a:lnTo>
              <a:lnTo>
                <a:pt x="0" y="834128"/>
              </a:lnTo>
            </a:path>
          </a:pathLst>
        </a:custGeom>
        <a:solidFill xmlns:a="http://schemas.openxmlformats.org/drawingml/2006/main">
          <a:srgbClr val="490D17">
            <a:alpha val="73000"/>
          </a:srgbClr>
        </a:solidFill>
        <a:ln xmlns:a="http://schemas.openxmlformats.org/drawingml/2006/main" w="635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6350" cap="flat" cmpd="sng" algn="ctr">
              <a:solidFill>
                <a:schemeClr val="accent1"/>
              </a:solidFill>
              <a:prstDash val="solid"/>
              <a:miter lim="800000"/>
            </a14:hiddenLine>
          </a:ext>
        </a:extLst>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0.51882</cdr:x>
      <cdr:y>0.15011</cdr:y>
    </cdr:from>
    <cdr:to>
      <cdr:x>0.936</cdr:x>
      <cdr:y>0.68095</cdr:y>
    </cdr:to>
    <cdr:sp macro="" textlink="">
      <cdr:nvSpPr>
        <cdr:cNvPr id="2023" name="$C$195:$J$205|$B$268 6">
          <a:extLst xmlns:a="http://schemas.openxmlformats.org/drawingml/2006/main">
            <a:ext uri="{FF2B5EF4-FFF2-40B4-BE49-F238E27FC236}">
              <a16:creationId xmlns:a16="http://schemas.microsoft.com/office/drawing/2014/main" id="{5A0D5265-734D-46EC-8C80-6927D241A9D2}"/>
            </a:ext>
          </a:extLst>
        </cdr:cNvPr>
        <cdr:cNvSpPr/>
      </cdr:nvSpPr>
      <cdr:spPr>
        <a:xfrm xmlns:a="http://schemas.openxmlformats.org/drawingml/2006/main">
          <a:off x="1647240" y="285963"/>
          <a:ext cx="1324561" cy="1011243"/>
        </a:xfrm>
        <a:custGeom xmlns:a="http://schemas.openxmlformats.org/drawingml/2006/main">
          <a:avLst/>
          <a:gdLst/>
          <a:ahLst/>
          <a:cxnLst/>
          <a:rect l="0" t="0" r="0" b="0"/>
          <a:pathLst>
            <a:path w="1324561" h="1011243">
              <a:moveTo>
                <a:pt x="12700" y="1011242"/>
              </a:moveTo>
              <a:lnTo>
                <a:pt x="132456" y="688223"/>
              </a:lnTo>
              <a:lnTo>
                <a:pt x="264912" y="550008"/>
              </a:lnTo>
              <a:lnTo>
                <a:pt x="397368" y="451489"/>
              </a:lnTo>
              <a:lnTo>
                <a:pt x="529824" y="377740"/>
              </a:lnTo>
              <a:lnTo>
                <a:pt x="662280" y="321248"/>
              </a:lnTo>
              <a:lnTo>
                <a:pt x="794736" y="277373"/>
              </a:lnTo>
              <a:lnTo>
                <a:pt x="927192" y="242978"/>
              </a:lnTo>
              <a:lnTo>
                <a:pt x="1059648" y="215827"/>
              </a:lnTo>
              <a:lnTo>
                <a:pt x="1192104" y="194282"/>
              </a:lnTo>
              <a:lnTo>
                <a:pt x="1324560" y="177114"/>
              </a:lnTo>
              <a:lnTo>
                <a:pt x="1324560" y="0"/>
              </a:lnTo>
              <a:lnTo>
                <a:pt x="1192104" y="17856"/>
              </a:lnTo>
              <a:lnTo>
                <a:pt x="1059648" y="40449"/>
              </a:lnTo>
              <a:lnTo>
                <a:pt x="927192" y="69205"/>
              </a:lnTo>
              <a:lnTo>
                <a:pt x="794736" y="106066"/>
              </a:lnTo>
              <a:lnTo>
                <a:pt x="662280" y="153756"/>
              </a:lnTo>
              <a:lnTo>
                <a:pt x="529824" y="216215"/>
              </a:lnTo>
              <a:lnTo>
                <a:pt x="397368" y="299475"/>
              </a:lnTo>
              <a:lnTo>
                <a:pt x="264912" y="413704"/>
              </a:lnTo>
              <a:lnTo>
                <a:pt x="132456" y="580060"/>
              </a:lnTo>
              <a:lnTo>
                <a:pt x="0" y="1011242"/>
              </a:lnTo>
              <a:lnTo>
                <a:pt x="0" y="1011242"/>
              </a:lnTo>
            </a:path>
          </a:pathLst>
        </a:custGeom>
        <a:solidFill xmlns:a="http://schemas.openxmlformats.org/drawingml/2006/main">
          <a:srgbClr val="92192E">
            <a:alpha val="47000"/>
          </a:srgbClr>
        </a:solidFill>
        <a:ln xmlns:a="http://schemas.openxmlformats.org/drawingml/2006/main" w="635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6350" cap="flat" cmpd="sng" algn="ctr">
              <a:solidFill>
                <a:schemeClr val="accent1"/>
              </a:solidFill>
              <a:prstDash val="solid"/>
              <a:miter lim="800000"/>
            </a14:hiddenLine>
          </a:ext>
        </a:extLst>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0.51882</cdr:x>
      <cdr:y>0.07333</cdr:y>
    </cdr:from>
    <cdr:to>
      <cdr:x>0.936</cdr:x>
      <cdr:y>0.68095</cdr:y>
    </cdr:to>
    <cdr:sp macro="" textlink="">
      <cdr:nvSpPr>
        <cdr:cNvPr id="2024" name="$C$195:$J$205|$B$268 7">
          <a:extLst xmlns:a="http://schemas.openxmlformats.org/drawingml/2006/main">
            <a:ext uri="{FF2B5EF4-FFF2-40B4-BE49-F238E27FC236}">
              <a16:creationId xmlns:a16="http://schemas.microsoft.com/office/drawing/2014/main" id="{CED5DAE6-D69F-4BAB-AC86-507BC2D53D36}"/>
            </a:ext>
          </a:extLst>
        </cdr:cNvPr>
        <cdr:cNvSpPr/>
      </cdr:nvSpPr>
      <cdr:spPr>
        <a:xfrm xmlns:a="http://schemas.openxmlformats.org/drawingml/2006/main">
          <a:off x="1647240" y="139700"/>
          <a:ext cx="1324561" cy="1157506"/>
        </a:xfrm>
        <a:custGeom xmlns:a="http://schemas.openxmlformats.org/drawingml/2006/main">
          <a:avLst/>
          <a:gdLst/>
          <a:ahLst/>
          <a:cxnLst/>
          <a:rect l="0" t="0" r="0" b="0"/>
          <a:pathLst>
            <a:path w="1324561" h="1157506">
              <a:moveTo>
                <a:pt x="12700" y="1157505"/>
              </a:moveTo>
              <a:lnTo>
                <a:pt x="132456" y="726323"/>
              </a:lnTo>
              <a:lnTo>
                <a:pt x="264912" y="559967"/>
              </a:lnTo>
              <a:lnTo>
                <a:pt x="397368" y="445738"/>
              </a:lnTo>
              <a:lnTo>
                <a:pt x="529824" y="362478"/>
              </a:lnTo>
              <a:lnTo>
                <a:pt x="662280" y="300019"/>
              </a:lnTo>
              <a:lnTo>
                <a:pt x="794736" y="252329"/>
              </a:lnTo>
              <a:lnTo>
                <a:pt x="927192" y="215468"/>
              </a:lnTo>
              <a:lnTo>
                <a:pt x="1059648" y="186712"/>
              </a:lnTo>
              <a:lnTo>
                <a:pt x="1192104" y="164119"/>
              </a:lnTo>
              <a:lnTo>
                <a:pt x="1324560" y="146263"/>
              </a:lnTo>
              <a:lnTo>
                <a:pt x="1324560" y="0"/>
              </a:lnTo>
              <a:lnTo>
                <a:pt x="1192104" y="18423"/>
              </a:lnTo>
              <a:lnTo>
                <a:pt x="1059648" y="41882"/>
              </a:lnTo>
              <a:lnTo>
                <a:pt x="927192" y="71963"/>
              </a:lnTo>
              <a:lnTo>
                <a:pt x="794736" y="110861"/>
              </a:lnTo>
              <a:lnTo>
                <a:pt x="662280" y="161701"/>
              </a:lnTo>
              <a:lnTo>
                <a:pt x="529824" y="229089"/>
              </a:lnTo>
              <a:lnTo>
                <a:pt x="397368" y="320202"/>
              </a:lnTo>
              <a:lnTo>
                <a:pt x="264912" y="447405"/>
              </a:lnTo>
              <a:lnTo>
                <a:pt x="132456" y="637000"/>
              </a:lnTo>
              <a:lnTo>
                <a:pt x="0" y="1157505"/>
              </a:lnTo>
              <a:lnTo>
                <a:pt x="0" y="1157505"/>
              </a:lnTo>
            </a:path>
          </a:pathLst>
        </a:custGeom>
        <a:solidFill xmlns:a="http://schemas.openxmlformats.org/drawingml/2006/main">
          <a:srgbClr val="DB2645">
            <a:alpha val="20000"/>
          </a:srgbClr>
        </a:solidFill>
        <a:ln xmlns:a="http://schemas.openxmlformats.org/drawingml/2006/main" w="635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6350" cap="flat" cmpd="sng" algn="ctr">
              <a:solidFill>
                <a:schemeClr val="accent1"/>
              </a:solidFill>
              <a:prstDash val="solid"/>
              <a:miter lim="800000"/>
            </a14:hiddenLine>
          </a:ext>
        </a:extLst>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userShapes>
</file>

<file path=xl/drawings/drawing4.xml><?xml version="1.0" encoding="utf-8"?>
<c:userShapes xmlns:c="http://schemas.openxmlformats.org/drawingml/2006/chart">
  <cdr:relSizeAnchor xmlns:cdr="http://schemas.openxmlformats.org/drawingml/2006/chartDrawing">
    <cdr:from>
      <cdr:x>0.4942</cdr:x>
      <cdr:y>0.73508</cdr:y>
    </cdr:from>
    <cdr:to>
      <cdr:x>0.97091</cdr:x>
      <cdr:y>0.92162</cdr:y>
    </cdr:to>
    <cdr:sp macro="" textlink="">
      <cdr:nvSpPr>
        <cdr:cNvPr id="2018" name="$C$195:$J$205|$B$282 1">
          <a:extLst xmlns:a="http://schemas.openxmlformats.org/drawingml/2006/main">
            <a:ext uri="{FF2B5EF4-FFF2-40B4-BE49-F238E27FC236}">
              <a16:creationId xmlns:a16="http://schemas.microsoft.com/office/drawing/2014/main" id="{D45219DA-DCB2-4F9F-A369-E053A641E037}"/>
            </a:ext>
          </a:extLst>
        </cdr:cNvPr>
        <cdr:cNvSpPr/>
      </cdr:nvSpPr>
      <cdr:spPr>
        <a:xfrm xmlns:a="http://schemas.openxmlformats.org/drawingml/2006/main">
          <a:off x="3451977" y="2800655"/>
          <a:ext cx="3329824" cy="710705"/>
        </a:xfrm>
        <a:custGeom xmlns:a="http://schemas.openxmlformats.org/drawingml/2006/main">
          <a:avLst/>
          <a:gdLst/>
          <a:ahLst/>
          <a:cxnLst/>
          <a:rect l="0" t="0" r="0" b="0"/>
          <a:pathLst>
            <a:path w="3329824" h="710705">
              <a:moveTo>
                <a:pt x="12700" y="0"/>
              </a:moveTo>
              <a:lnTo>
                <a:pt x="332982" y="662804"/>
              </a:lnTo>
              <a:lnTo>
                <a:pt x="665964" y="710704"/>
              </a:lnTo>
              <a:lnTo>
                <a:pt x="998947" y="688337"/>
              </a:lnTo>
              <a:lnTo>
                <a:pt x="1331929" y="642375"/>
              </a:lnTo>
              <a:lnTo>
                <a:pt x="1664911" y="590039"/>
              </a:lnTo>
              <a:lnTo>
                <a:pt x="1997894" y="538750"/>
              </a:lnTo>
              <a:lnTo>
                <a:pt x="2330876" y="491723"/>
              </a:lnTo>
              <a:lnTo>
                <a:pt x="2663858" y="450158"/>
              </a:lnTo>
              <a:lnTo>
                <a:pt x="2996841" y="414253"/>
              </a:lnTo>
              <a:lnTo>
                <a:pt x="3329823" y="383711"/>
              </a:lnTo>
              <a:lnTo>
                <a:pt x="3329823" y="47470"/>
              </a:lnTo>
              <a:lnTo>
                <a:pt x="2996841" y="79316"/>
              </a:lnTo>
              <a:lnTo>
                <a:pt x="2663858" y="117212"/>
              </a:lnTo>
              <a:lnTo>
                <a:pt x="2330876" y="161823"/>
              </a:lnTo>
              <a:lnTo>
                <a:pt x="1997894" y="213533"/>
              </a:lnTo>
              <a:lnTo>
                <a:pt x="1664911" y="272065"/>
              </a:lnTo>
              <a:lnTo>
                <a:pt x="1331929" y="335729"/>
              </a:lnTo>
              <a:lnTo>
                <a:pt x="998947" y="399747"/>
              </a:lnTo>
              <a:lnTo>
                <a:pt x="665964" y="451938"/>
              </a:lnTo>
              <a:lnTo>
                <a:pt x="332982" y="457461"/>
              </a:lnTo>
              <a:lnTo>
                <a:pt x="0" y="0"/>
              </a:lnTo>
              <a:lnTo>
                <a:pt x="0" y="0"/>
              </a:lnTo>
            </a:path>
          </a:pathLst>
        </a:custGeom>
        <a:solidFill xmlns:a="http://schemas.openxmlformats.org/drawingml/2006/main">
          <a:srgbClr val="2E473B">
            <a:alpha val="30000"/>
          </a:srgbClr>
        </a:solidFill>
        <a:ln xmlns:a="http://schemas.openxmlformats.org/drawingml/2006/main">
          <a:solidFill>
            <a:srgbClr val="FFFF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0.4942</cdr:x>
      <cdr:y>0.64067</cdr:y>
    </cdr:from>
    <cdr:to>
      <cdr:x>0.97091</cdr:x>
      <cdr:y>0.85515</cdr:y>
    </cdr:to>
    <cdr:sp macro="" textlink="">
      <cdr:nvSpPr>
        <cdr:cNvPr id="2019" name="$C$195:$J$205|$B$282 2">
          <a:extLst xmlns:a="http://schemas.openxmlformats.org/drawingml/2006/main">
            <a:ext uri="{FF2B5EF4-FFF2-40B4-BE49-F238E27FC236}">
              <a16:creationId xmlns:a16="http://schemas.microsoft.com/office/drawing/2014/main" id="{EF661D1B-B368-4FD9-93A1-B6A2BAC14532}"/>
            </a:ext>
          </a:extLst>
        </cdr:cNvPr>
        <cdr:cNvSpPr/>
      </cdr:nvSpPr>
      <cdr:spPr>
        <a:xfrm xmlns:a="http://schemas.openxmlformats.org/drawingml/2006/main">
          <a:off x="3451977" y="2440964"/>
          <a:ext cx="3329824" cy="817153"/>
        </a:xfrm>
        <a:custGeom xmlns:a="http://schemas.openxmlformats.org/drawingml/2006/main">
          <a:avLst/>
          <a:gdLst/>
          <a:ahLst/>
          <a:cxnLst/>
          <a:rect l="0" t="0" r="0" b="0"/>
          <a:pathLst>
            <a:path w="3329824" h="817153">
              <a:moveTo>
                <a:pt x="12700" y="359691"/>
              </a:moveTo>
              <a:lnTo>
                <a:pt x="332982" y="817152"/>
              </a:lnTo>
              <a:lnTo>
                <a:pt x="665964" y="811629"/>
              </a:lnTo>
              <a:lnTo>
                <a:pt x="998947" y="759438"/>
              </a:lnTo>
              <a:lnTo>
                <a:pt x="1331929" y="695420"/>
              </a:lnTo>
              <a:lnTo>
                <a:pt x="1664911" y="631756"/>
              </a:lnTo>
              <a:lnTo>
                <a:pt x="1997894" y="573224"/>
              </a:lnTo>
              <a:lnTo>
                <a:pt x="2330876" y="521514"/>
              </a:lnTo>
              <a:lnTo>
                <a:pt x="2663858" y="476903"/>
              </a:lnTo>
              <a:lnTo>
                <a:pt x="2996841" y="439007"/>
              </a:lnTo>
              <a:lnTo>
                <a:pt x="3329823" y="407161"/>
              </a:lnTo>
              <a:lnTo>
                <a:pt x="3329823" y="0"/>
              </a:lnTo>
              <a:lnTo>
                <a:pt x="2996841" y="33425"/>
              </a:lnTo>
              <a:lnTo>
                <a:pt x="2663858" y="73732"/>
              </a:lnTo>
              <a:lnTo>
                <a:pt x="2330876" y="122032"/>
              </a:lnTo>
              <a:lnTo>
                <a:pt x="1997894" y="179411"/>
              </a:lnTo>
              <a:lnTo>
                <a:pt x="1664911" y="246714"/>
              </a:lnTo>
              <a:lnTo>
                <a:pt x="1331929" y="324096"/>
              </a:lnTo>
              <a:lnTo>
                <a:pt x="998947" y="409978"/>
              </a:lnTo>
              <a:lnTo>
                <a:pt x="665964" y="498283"/>
              </a:lnTo>
              <a:lnTo>
                <a:pt x="332982" y="568499"/>
              </a:lnTo>
              <a:lnTo>
                <a:pt x="0" y="359691"/>
              </a:lnTo>
              <a:lnTo>
                <a:pt x="0" y="359691"/>
              </a:lnTo>
            </a:path>
          </a:pathLst>
        </a:custGeom>
        <a:solidFill xmlns:a="http://schemas.openxmlformats.org/drawingml/2006/main">
          <a:srgbClr val="744627">
            <a:alpha val="53000"/>
          </a:srgbClr>
        </a:solidFill>
        <a:ln xmlns:a="http://schemas.openxmlformats.org/drawingml/2006/main">
          <a:solidFill>
            <a:srgbClr val="FFFF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0.4942</cdr:x>
      <cdr:y>0.49777</cdr:y>
    </cdr:from>
    <cdr:to>
      <cdr:x>0.97091</cdr:x>
      <cdr:y>0.78989</cdr:y>
    </cdr:to>
    <cdr:sp macro="" textlink="">
      <cdr:nvSpPr>
        <cdr:cNvPr id="2020" name="$C$195:$J$205|$B$282 3">
          <a:extLst xmlns:a="http://schemas.openxmlformats.org/drawingml/2006/main">
            <a:ext uri="{FF2B5EF4-FFF2-40B4-BE49-F238E27FC236}">
              <a16:creationId xmlns:a16="http://schemas.microsoft.com/office/drawing/2014/main" id="{819A8374-F72F-4DBC-93C9-FF56C3597B99}"/>
            </a:ext>
          </a:extLst>
        </cdr:cNvPr>
        <cdr:cNvSpPr/>
      </cdr:nvSpPr>
      <cdr:spPr>
        <a:xfrm xmlns:a="http://schemas.openxmlformats.org/drawingml/2006/main">
          <a:off x="3451977" y="1896509"/>
          <a:ext cx="3329824" cy="1112955"/>
        </a:xfrm>
        <a:custGeom xmlns:a="http://schemas.openxmlformats.org/drawingml/2006/main">
          <a:avLst/>
          <a:gdLst/>
          <a:ahLst/>
          <a:cxnLst/>
          <a:rect l="0" t="0" r="0" b="0"/>
          <a:pathLst>
            <a:path w="3329824" h="1112955">
              <a:moveTo>
                <a:pt x="12700" y="904146"/>
              </a:moveTo>
              <a:lnTo>
                <a:pt x="332982" y="1112954"/>
              </a:lnTo>
              <a:lnTo>
                <a:pt x="665964" y="1042738"/>
              </a:lnTo>
              <a:lnTo>
                <a:pt x="998947" y="954433"/>
              </a:lnTo>
              <a:lnTo>
                <a:pt x="1331929" y="868551"/>
              </a:lnTo>
              <a:lnTo>
                <a:pt x="1664911" y="791169"/>
              </a:lnTo>
              <a:lnTo>
                <a:pt x="1997894" y="723866"/>
              </a:lnTo>
              <a:lnTo>
                <a:pt x="2330876" y="666487"/>
              </a:lnTo>
              <a:lnTo>
                <a:pt x="2663858" y="618187"/>
              </a:lnTo>
              <a:lnTo>
                <a:pt x="2996841" y="577880"/>
              </a:lnTo>
              <a:lnTo>
                <a:pt x="3329823" y="544455"/>
              </a:lnTo>
              <a:lnTo>
                <a:pt x="3329823" y="0"/>
              </a:lnTo>
              <a:lnTo>
                <a:pt x="2996841" y="35537"/>
              </a:lnTo>
              <a:lnTo>
                <a:pt x="2663858" y="79067"/>
              </a:lnTo>
              <a:lnTo>
                <a:pt x="2330876" y="132300"/>
              </a:lnTo>
              <a:lnTo>
                <a:pt x="1997894" y="197260"/>
              </a:lnTo>
              <a:lnTo>
                <a:pt x="1664911" y="276291"/>
              </a:lnTo>
              <a:lnTo>
                <a:pt x="1331929" y="372017"/>
              </a:lnTo>
              <a:lnTo>
                <a:pt x="998947" y="487136"/>
              </a:lnTo>
              <a:lnTo>
                <a:pt x="665964" y="623733"/>
              </a:lnTo>
              <a:lnTo>
                <a:pt x="332982" y="780455"/>
              </a:lnTo>
              <a:lnTo>
                <a:pt x="0" y="904146"/>
              </a:lnTo>
              <a:lnTo>
                <a:pt x="0" y="904146"/>
              </a:lnTo>
            </a:path>
          </a:pathLst>
        </a:custGeom>
        <a:solidFill xmlns:a="http://schemas.openxmlformats.org/drawingml/2006/main">
          <a:srgbClr val="B94614">
            <a:alpha val="77000"/>
          </a:srgbClr>
        </a:solidFill>
        <a:ln xmlns:a="http://schemas.openxmlformats.org/drawingml/2006/main">
          <a:solidFill>
            <a:srgbClr val="FFFF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0.4942</cdr:x>
      <cdr:y>0.37469</cdr:y>
    </cdr:from>
    <cdr:to>
      <cdr:x>0.97091</cdr:x>
      <cdr:y>0.73508</cdr:y>
    </cdr:to>
    <cdr:sp macro="" textlink="">
      <cdr:nvSpPr>
        <cdr:cNvPr id="2021" name="$C$195:$J$205|$B$282 4">
          <a:extLst xmlns:a="http://schemas.openxmlformats.org/drawingml/2006/main">
            <a:ext uri="{FF2B5EF4-FFF2-40B4-BE49-F238E27FC236}">
              <a16:creationId xmlns:a16="http://schemas.microsoft.com/office/drawing/2014/main" id="{56A283DC-CDF4-4F47-BA0C-C47A36151983}"/>
            </a:ext>
          </a:extLst>
        </cdr:cNvPr>
        <cdr:cNvSpPr/>
      </cdr:nvSpPr>
      <cdr:spPr>
        <a:xfrm xmlns:a="http://schemas.openxmlformats.org/drawingml/2006/main">
          <a:off x="3451977" y="1427557"/>
          <a:ext cx="3329824" cy="1373099"/>
        </a:xfrm>
        <a:custGeom xmlns:a="http://schemas.openxmlformats.org/drawingml/2006/main">
          <a:avLst/>
          <a:gdLst/>
          <a:ahLst/>
          <a:cxnLst/>
          <a:rect l="0" t="0" r="0" b="0"/>
          <a:pathLst>
            <a:path w="3329824" h="1373099">
              <a:moveTo>
                <a:pt x="12700" y="1373098"/>
              </a:moveTo>
              <a:lnTo>
                <a:pt x="332982" y="1249407"/>
              </a:lnTo>
              <a:lnTo>
                <a:pt x="665964" y="1092685"/>
              </a:lnTo>
              <a:lnTo>
                <a:pt x="998947" y="956088"/>
              </a:lnTo>
              <a:lnTo>
                <a:pt x="1331929" y="840969"/>
              </a:lnTo>
              <a:lnTo>
                <a:pt x="1664911" y="745243"/>
              </a:lnTo>
              <a:lnTo>
                <a:pt x="1997894" y="666212"/>
              </a:lnTo>
              <a:lnTo>
                <a:pt x="2330876" y="601252"/>
              </a:lnTo>
              <a:lnTo>
                <a:pt x="2663858" y="548019"/>
              </a:lnTo>
              <a:lnTo>
                <a:pt x="2996841" y="504489"/>
              </a:lnTo>
              <a:lnTo>
                <a:pt x="3329823" y="468952"/>
              </a:lnTo>
              <a:lnTo>
                <a:pt x="3329823" y="0"/>
              </a:lnTo>
              <a:lnTo>
                <a:pt x="2996841" y="37356"/>
              </a:lnTo>
              <a:lnTo>
                <a:pt x="2663858" y="83662"/>
              </a:lnTo>
              <a:lnTo>
                <a:pt x="2330876" y="141145"/>
              </a:lnTo>
              <a:lnTo>
                <a:pt x="1997894" y="212634"/>
              </a:lnTo>
              <a:lnTo>
                <a:pt x="1664911" y="301767"/>
              </a:lnTo>
              <a:lnTo>
                <a:pt x="1331929" y="413292"/>
              </a:lnTo>
              <a:lnTo>
                <a:pt x="998947" y="553594"/>
              </a:lnTo>
              <a:lnTo>
                <a:pt x="665964" y="731786"/>
              </a:lnTo>
              <a:lnTo>
                <a:pt x="332982" y="963017"/>
              </a:lnTo>
              <a:lnTo>
                <a:pt x="0" y="1373098"/>
              </a:lnTo>
              <a:lnTo>
                <a:pt x="0" y="1373098"/>
              </a:lnTo>
            </a:path>
          </a:pathLst>
        </a:custGeom>
        <a:solidFill xmlns:a="http://schemas.openxmlformats.org/drawingml/2006/main">
          <a:srgbClr val="FF4500"/>
        </a:solidFill>
        <a:ln xmlns:a="http://schemas.openxmlformats.org/drawingml/2006/main">
          <a:solidFill>
            <a:srgbClr val="FFFF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0.4942</cdr:x>
      <cdr:y>0.23179</cdr:y>
    </cdr:from>
    <cdr:to>
      <cdr:x>0.97091</cdr:x>
      <cdr:y>0.73508</cdr:y>
    </cdr:to>
    <cdr:sp macro="" textlink="">
      <cdr:nvSpPr>
        <cdr:cNvPr id="2022" name="$C$195:$J$205|$B$282 5">
          <a:extLst xmlns:a="http://schemas.openxmlformats.org/drawingml/2006/main">
            <a:ext uri="{FF2B5EF4-FFF2-40B4-BE49-F238E27FC236}">
              <a16:creationId xmlns:a16="http://schemas.microsoft.com/office/drawing/2014/main" id="{22ACF9E2-C5EB-4507-8DDE-46D08E597047}"/>
            </a:ext>
          </a:extLst>
        </cdr:cNvPr>
        <cdr:cNvSpPr/>
      </cdr:nvSpPr>
      <cdr:spPr>
        <a:xfrm xmlns:a="http://schemas.openxmlformats.org/drawingml/2006/main">
          <a:off x="3451977" y="883102"/>
          <a:ext cx="3329824" cy="1917554"/>
        </a:xfrm>
        <a:custGeom xmlns:a="http://schemas.openxmlformats.org/drawingml/2006/main">
          <a:avLst/>
          <a:gdLst/>
          <a:ahLst/>
          <a:cxnLst/>
          <a:rect l="0" t="0" r="0" b="0"/>
          <a:pathLst>
            <a:path w="3329824" h="1917554">
              <a:moveTo>
                <a:pt x="12700" y="1917553"/>
              </a:moveTo>
              <a:lnTo>
                <a:pt x="332982" y="1507472"/>
              </a:lnTo>
              <a:lnTo>
                <a:pt x="665964" y="1276241"/>
              </a:lnTo>
              <a:lnTo>
                <a:pt x="998947" y="1098049"/>
              </a:lnTo>
              <a:lnTo>
                <a:pt x="1331929" y="957747"/>
              </a:lnTo>
              <a:lnTo>
                <a:pt x="1664911" y="846222"/>
              </a:lnTo>
              <a:lnTo>
                <a:pt x="1997894" y="757089"/>
              </a:lnTo>
              <a:lnTo>
                <a:pt x="2330876" y="685600"/>
              </a:lnTo>
              <a:lnTo>
                <a:pt x="2663858" y="628117"/>
              </a:lnTo>
              <a:lnTo>
                <a:pt x="2996841" y="581811"/>
              </a:lnTo>
              <a:lnTo>
                <a:pt x="3329823" y="544455"/>
              </a:lnTo>
              <a:lnTo>
                <a:pt x="3329823" y="0"/>
              </a:lnTo>
              <a:lnTo>
                <a:pt x="2996841" y="39468"/>
              </a:lnTo>
              <a:lnTo>
                <a:pt x="2663858" y="88997"/>
              </a:lnTo>
              <a:lnTo>
                <a:pt x="2330876" y="151412"/>
              </a:lnTo>
              <a:lnTo>
                <a:pt x="1997894" y="230483"/>
              </a:lnTo>
              <a:lnTo>
                <a:pt x="1664911" y="331345"/>
              </a:lnTo>
              <a:lnTo>
                <a:pt x="1331929" y="461213"/>
              </a:lnTo>
              <a:lnTo>
                <a:pt x="998947" y="630752"/>
              </a:lnTo>
              <a:lnTo>
                <a:pt x="665964" y="857235"/>
              </a:lnTo>
              <a:lnTo>
                <a:pt x="332982" y="1174973"/>
              </a:lnTo>
              <a:lnTo>
                <a:pt x="0" y="1917553"/>
              </a:lnTo>
              <a:lnTo>
                <a:pt x="0" y="1917553"/>
              </a:lnTo>
            </a:path>
          </a:pathLst>
        </a:custGeom>
        <a:solidFill xmlns:a="http://schemas.openxmlformats.org/drawingml/2006/main">
          <a:srgbClr val="B94614">
            <a:alpha val="77000"/>
          </a:srgbClr>
        </a:solidFill>
        <a:ln xmlns:a="http://schemas.openxmlformats.org/drawingml/2006/main">
          <a:solidFill>
            <a:srgbClr val="FFFF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0.4942</cdr:x>
      <cdr:y>0.12492</cdr:y>
    </cdr:from>
    <cdr:to>
      <cdr:x>0.97091</cdr:x>
      <cdr:y>0.73508</cdr:y>
    </cdr:to>
    <cdr:sp macro="" textlink="">
      <cdr:nvSpPr>
        <cdr:cNvPr id="2023" name="$C$195:$J$205|$B$282 6">
          <a:extLst xmlns:a="http://schemas.openxmlformats.org/drawingml/2006/main">
            <a:ext uri="{FF2B5EF4-FFF2-40B4-BE49-F238E27FC236}">
              <a16:creationId xmlns:a16="http://schemas.microsoft.com/office/drawing/2014/main" id="{FE6B5B7A-45CD-4263-9E21-F2D5D8BFEAA4}"/>
            </a:ext>
          </a:extLst>
        </cdr:cNvPr>
        <cdr:cNvSpPr/>
      </cdr:nvSpPr>
      <cdr:spPr>
        <a:xfrm xmlns:a="http://schemas.openxmlformats.org/drawingml/2006/main">
          <a:off x="3451977" y="475941"/>
          <a:ext cx="3329824" cy="2324715"/>
        </a:xfrm>
        <a:custGeom xmlns:a="http://schemas.openxmlformats.org/drawingml/2006/main">
          <a:avLst/>
          <a:gdLst/>
          <a:ahLst/>
          <a:cxnLst/>
          <a:rect l="0" t="0" r="0" b="0"/>
          <a:pathLst>
            <a:path w="3329824" h="2324715">
              <a:moveTo>
                <a:pt x="12700" y="2324714"/>
              </a:moveTo>
              <a:lnTo>
                <a:pt x="332982" y="1582134"/>
              </a:lnTo>
              <a:lnTo>
                <a:pt x="665964" y="1264396"/>
              </a:lnTo>
              <a:lnTo>
                <a:pt x="998947" y="1037913"/>
              </a:lnTo>
              <a:lnTo>
                <a:pt x="1331929" y="868374"/>
              </a:lnTo>
              <a:lnTo>
                <a:pt x="1664911" y="738506"/>
              </a:lnTo>
              <a:lnTo>
                <a:pt x="1997894" y="637644"/>
              </a:lnTo>
              <a:lnTo>
                <a:pt x="2330876" y="558573"/>
              </a:lnTo>
              <a:lnTo>
                <a:pt x="2663858" y="496158"/>
              </a:lnTo>
              <a:lnTo>
                <a:pt x="2996841" y="446629"/>
              </a:lnTo>
              <a:lnTo>
                <a:pt x="3329823" y="407161"/>
              </a:lnTo>
              <a:lnTo>
                <a:pt x="3329823" y="0"/>
              </a:lnTo>
              <a:lnTo>
                <a:pt x="2996841" y="41047"/>
              </a:lnTo>
              <a:lnTo>
                <a:pt x="2663858" y="92987"/>
              </a:lnTo>
              <a:lnTo>
                <a:pt x="2330876" y="159091"/>
              </a:lnTo>
              <a:lnTo>
                <a:pt x="1997894" y="243831"/>
              </a:lnTo>
              <a:lnTo>
                <a:pt x="1664911" y="353464"/>
              </a:lnTo>
              <a:lnTo>
                <a:pt x="1331929" y="497050"/>
              </a:lnTo>
              <a:lnTo>
                <a:pt x="998947" y="688453"/>
              </a:lnTo>
              <a:lnTo>
                <a:pt x="665964" y="951051"/>
              </a:lnTo>
              <a:lnTo>
                <a:pt x="332982" y="1333481"/>
              </a:lnTo>
              <a:lnTo>
                <a:pt x="0" y="2324714"/>
              </a:lnTo>
              <a:lnTo>
                <a:pt x="0" y="2324714"/>
              </a:lnTo>
            </a:path>
          </a:pathLst>
        </a:custGeom>
        <a:solidFill xmlns:a="http://schemas.openxmlformats.org/drawingml/2006/main">
          <a:srgbClr val="744627">
            <a:alpha val="53000"/>
          </a:srgbClr>
        </a:solidFill>
        <a:ln xmlns:a="http://schemas.openxmlformats.org/drawingml/2006/main">
          <a:solidFill>
            <a:srgbClr val="FFFF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0.4942</cdr:x>
      <cdr:y>0.03667</cdr:y>
    </cdr:from>
    <cdr:to>
      <cdr:x>0.97091</cdr:x>
      <cdr:y>0.73508</cdr:y>
    </cdr:to>
    <cdr:sp macro="" textlink="">
      <cdr:nvSpPr>
        <cdr:cNvPr id="2024" name="$C$195:$J$205|$B$282 7">
          <a:extLst xmlns:a="http://schemas.openxmlformats.org/drawingml/2006/main">
            <a:ext uri="{FF2B5EF4-FFF2-40B4-BE49-F238E27FC236}">
              <a16:creationId xmlns:a16="http://schemas.microsoft.com/office/drawing/2014/main" id="{D1A2A4C1-ACE6-49B6-909E-BDFA5D331ED9}"/>
            </a:ext>
          </a:extLst>
        </cdr:cNvPr>
        <cdr:cNvSpPr/>
      </cdr:nvSpPr>
      <cdr:spPr>
        <a:xfrm xmlns:a="http://schemas.openxmlformats.org/drawingml/2006/main">
          <a:off x="3451977" y="139700"/>
          <a:ext cx="3329824" cy="2660956"/>
        </a:xfrm>
        <a:custGeom xmlns:a="http://schemas.openxmlformats.org/drawingml/2006/main">
          <a:avLst/>
          <a:gdLst/>
          <a:ahLst/>
          <a:cxnLst/>
          <a:rect l="0" t="0" r="0" b="0"/>
          <a:pathLst>
            <a:path w="3329824" h="2660956">
              <a:moveTo>
                <a:pt x="12700" y="2660955"/>
              </a:moveTo>
              <a:lnTo>
                <a:pt x="332982" y="1669722"/>
              </a:lnTo>
              <a:lnTo>
                <a:pt x="665964" y="1287292"/>
              </a:lnTo>
              <a:lnTo>
                <a:pt x="998947" y="1024694"/>
              </a:lnTo>
              <a:lnTo>
                <a:pt x="1331929" y="833291"/>
              </a:lnTo>
              <a:lnTo>
                <a:pt x="1664911" y="689705"/>
              </a:lnTo>
              <a:lnTo>
                <a:pt x="1997894" y="580072"/>
              </a:lnTo>
              <a:lnTo>
                <a:pt x="2330876" y="495332"/>
              </a:lnTo>
              <a:lnTo>
                <a:pt x="2663858" y="429228"/>
              </a:lnTo>
              <a:lnTo>
                <a:pt x="2996841" y="377288"/>
              </a:lnTo>
              <a:lnTo>
                <a:pt x="3329823" y="336241"/>
              </a:lnTo>
              <a:lnTo>
                <a:pt x="3329823" y="0"/>
              </a:lnTo>
              <a:lnTo>
                <a:pt x="2996841" y="42351"/>
              </a:lnTo>
              <a:lnTo>
                <a:pt x="2663858" y="96282"/>
              </a:lnTo>
              <a:lnTo>
                <a:pt x="2330876" y="165433"/>
              </a:lnTo>
              <a:lnTo>
                <a:pt x="1997894" y="254855"/>
              </a:lnTo>
              <a:lnTo>
                <a:pt x="1664911" y="371730"/>
              </a:lnTo>
              <a:lnTo>
                <a:pt x="1331929" y="526645"/>
              </a:lnTo>
              <a:lnTo>
                <a:pt x="998947" y="736104"/>
              </a:lnTo>
              <a:lnTo>
                <a:pt x="665964" y="1028525"/>
              </a:lnTo>
              <a:lnTo>
                <a:pt x="332982" y="1464380"/>
              </a:lnTo>
              <a:lnTo>
                <a:pt x="0" y="2660955"/>
              </a:lnTo>
              <a:lnTo>
                <a:pt x="0" y="2660955"/>
              </a:lnTo>
            </a:path>
          </a:pathLst>
        </a:custGeom>
        <a:solidFill xmlns:a="http://schemas.openxmlformats.org/drawingml/2006/main">
          <a:srgbClr val="2E473B">
            <a:alpha val="30000"/>
          </a:srgbClr>
        </a:solidFill>
        <a:ln xmlns:a="http://schemas.openxmlformats.org/drawingml/2006/main">
          <a:solidFill>
            <a:srgbClr val="FFFF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userShapes>
</file>

<file path=xl/drawings/drawing5.xml><?xml version="1.0" encoding="utf-8"?>
<c:userShapes xmlns:c="http://schemas.openxmlformats.org/drawingml/2006/chart">
  <cdr:relSizeAnchor xmlns:cdr="http://schemas.openxmlformats.org/drawingml/2006/chartDrawing">
    <cdr:from>
      <cdr:x>0.51882</cdr:x>
      <cdr:y>0.68095</cdr:y>
    </cdr:from>
    <cdr:to>
      <cdr:x>0.936</cdr:x>
      <cdr:y>0.84323</cdr:y>
    </cdr:to>
    <cdr:sp macro="" textlink="">
      <cdr:nvSpPr>
        <cdr:cNvPr id="2018" name="$C$195:$J$205|$F$268 1">
          <a:extLst xmlns:a="http://schemas.openxmlformats.org/drawingml/2006/main">
            <a:ext uri="{FF2B5EF4-FFF2-40B4-BE49-F238E27FC236}">
              <a16:creationId xmlns:a16="http://schemas.microsoft.com/office/drawing/2014/main" id="{A3391C96-2390-47E2-906A-A610DB6D974D}"/>
            </a:ext>
          </a:extLst>
        </cdr:cNvPr>
        <cdr:cNvSpPr/>
      </cdr:nvSpPr>
      <cdr:spPr>
        <a:xfrm xmlns:a="http://schemas.openxmlformats.org/drawingml/2006/main">
          <a:off x="1647240" y="1297205"/>
          <a:ext cx="1324561" cy="309155"/>
        </a:xfrm>
        <a:custGeom xmlns:a="http://schemas.openxmlformats.org/drawingml/2006/main">
          <a:avLst/>
          <a:gdLst/>
          <a:ahLst/>
          <a:cxnLst/>
          <a:rect l="0" t="0" r="0" b="0"/>
          <a:pathLst>
            <a:path w="1324561" h="309155">
              <a:moveTo>
                <a:pt x="12700" y="0"/>
              </a:moveTo>
              <a:lnTo>
                <a:pt x="132456" y="288318"/>
              </a:lnTo>
              <a:lnTo>
                <a:pt x="264912" y="309154"/>
              </a:lnTo>
              <a:lnTo>
                <a:pt x="397368" y="299424"/>
              </a:lnTo>
              <a:lnTo>
                <a:pt x="529824" y="279431"/>
              </a:lnTo>
              <a:lnTo>
                <a:pt x="662280" y="256665"/>
              </a:lnTo>
              <a:lnTo>
                <a:pt x="794736" y="234355"/>
              </a:lnTo>
              <a:lnTo>
                <a:pt x="927192" y="213898"/>
              </a:lnTo>
              <a:lnTo>
                <a:pt x="1059648" y="195817"/>
              </a:lnTo>
              <a:lnTo>
                <a:pt x="1192104" y="180199"/>
              </a:lnTo>
              <a:lnTo>
                <a:pt x="1324560" y="166913"/>
              </a:lnTo>
              <a:lnTo>
                <a:pt x="1324560" y="20650"/>
              </a:lnTo>
              <a:lnTo>
                <a:pt x="1192104" y="34503"/>
              </a:lnTo>
              <a:lnTo>
                <a:pt x="1059648" y="50987"/>
              </a:lnTo>
              <a:lnTo>
                <a:pt x="927192" y="70393"/>
              </a:lnTo>
              <a:lnTo>
                <a:pt x="794736" y="92886"/>
              </a:lnTo>
              <a:lnTo>
                <a:pt x="662280" y="118348"/>
              </a:lnTo>
              <a:lnTo>
                <a:pt x="529824" y="146041"/>
              </a:lnTo>
              <a:lnTo>
                <a:pt x="397368" y="173889"/>
              </a:lnTo>
              <a:lnTo>
                <a:pt x="264912" y="196592"/>
              </a:lnTo>
              <a:lnTo>
                <a:pt x="132456" y="198994"/>
              </a:lnTo>
              <a:lnTo>
                <a:pt x="0" y="0"/>
              </a:lnTo>
              <a:lnTo>
                <a:pt x="0" y="0"/>
              </a:lnTo>
            </a:path>
          </a:pathLst>
        </a:custGeom>
        <a:solidFill xmlns:a="http://schemas.openxmlformats.org/drawingml/2006/main">
          <a:srgbClr val="1E90FF"/>
        </a:solidFill>
        <a:ln xmlns:a="http://schemas.openxmlformats.org/drawingml/2006/main">
          <a:solidFill>
            <a:srgbClr val="0000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0.51882</cdr:x>
      <cdr:y>0.59881</cdr:y>
    </cdr:from>
    <cdr:to>
      <cdr:x>0.936</cdr:x>
      <cdr:y>0.78541</cdr:y>
    </cdr:to>
    <cdr:sp macro="" textlink="">
      <cdr:nvSpPr>
        <cdr:cNvPr id="2019" name="$C$195:$J$205|$F$268 2">
          <a:extLst xmlns:a="http://schemas.openxmlformats.org/drawingml/2006/main">
            <a:ext uri="{FF2B5EF4-FFF2-40B4-BE49-F238E27FC236}">
              <a16:creationId xmlns:a16="http://schemas.microsoft.com/office/drawing/2014/main" id="{1ACB012B-3087-45BD-B161-C4C4AF7EE0B1}"/>
            </a:ext>
          </a:extLst>
        </cdr:cNvPr>
        <cdr:cNvSpPr/>
      </cdr:nvSpPr>
      <cdr:spPr>
        <a:xfrm xmlns:a="http://schemas.openxmlformats.org/drawingml/2006/main">
          <a:off x="1647240" y="1140741"/>
          <a:ext cx="1324561" cy="355459"/>
        </a:xfrm>
        <a:custGeom xmlns:a="http://schemas.openxmlformats.org/drawingml/2006/main">
          <a:avLst/>
          <a:gdLst/>
          <a:ahLst/>
          <a:cxnLst/>
          <a:rect l="0" t="0" r="0" b="0"/>
          <a:pathLst>
            <a:path w="1324561" h="355459">
              <a:moveTo>
                <a:pt x="12700" y="156464"/>
              </a:moveTo>
              <a:lnTo>
                <a:pt x="132456" y="355458"/>
              </a:lnTo>
              <a:lnTo>
                <a:pt x="264912" y="353056"/>
              </a:lnTo>
              <a:lnTo>
                <a:pt x="397368" y="330353"/>
              </a:lnTo>
              <a:lnTo>
                <a:pt x="529824" y="302505"/>
              </a:lnTo>
              <a:lnTo>
                <a:pt x="662280" y="274812"/>
              </a:lnTo>
              <a:lnTo>
                <a:pt x="794736" y="249350"/>
              </a:lnTo>
              <a:lnTo>
                <a:pt x="927192" y="226857"/>
              </a:lnTo>
              <a:lnTo>
                <a:pt x="1059648" y="207451"/>
              </a:lnTo>
              <a:lnTo>
                <a:pt x="1192104" y="190967"/>
              </a:lnTo>
              <a:lnTo>
                <a:pt x="1324560" y="177114"/>
              </a:lnTo>
              <a:lnTo>
                <a:pt x="1324560" y="0"/>
              </a:lnTo>
              <a:lnTo>
                <a:pt x="1192104" y="14540"/>
              </a:lnTo>
              <a:lnTo>
                <a:pt x="1059648" y="32073"/>
              </a:lnTo>
              <a:lnTo>
                <a:pt x="927192" y="53084"/>
              </a:lnTo>
              <a:lnTo>
                <a:pt x="794736" y="78043"/>
              </a:lnTo>
              <a:lnTo>
                <a:pt x="662280" y="107320"/>
              </a:lnTo>
              <a:lnTo>
                <a:pt x="529824" y="140981"/>
              </a:lnTo>
              <a:lnTo>
                <a:pt x="397368" y="178339"/>
              </a:lnTo>
              <a:lnTo>
                <a:pt x="264912" y="216751"/>
              </a:lnTo>
              <a:lnTo>
                <a:pt x="132456" y="247295"/>
              </a:lnTo>
              <a:lnTo>
                <a:pt x="0" y="156464"/>
              </a:lnTo>
              <a:lnTo>
                <a:pt x="0" y="156464"/>
              </a:lnTo>
            </a:path>
          </a:pathLst>
        </a:custGeom>
        <a:solidFill xmlns:a="http://schemas.openxmlformats.org/drawingml/2006/main">
          <a:srgbClr val="1E90FF"/>
        </a:solidFill>
        <a:ln xmlns:a="http://schemas.openxmlformats.org/drawingml/2006/main">
          <a:solidFill>
            <a:srgbClr val="0000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0.51882</cdr:x>
      <cdr:y>0.47449</cdr:y>
    </cdr:from>
    <cdr:to>
      <cdr:x>0.936</cdr:x>
      <cdr:y>0.72863</cdr:y>
    </cdr:to>
    <cdr:sp macro="" textlink="">
      <cdr:nvSpPr>
        <cdr:cNvPr id="2020" name="$C$195:$J$205|$F$268 3">
          <a:extLst xmlns:a="http://schemas.openxmlformats.org/drawingml/2006/main">
            <a:ext uri="{FF2B5EF4-FFF2-40B4-BE49-F238E27FC236}">
              <a16:creationId xmlns:a16="http://schemas.microsoft.com/office/drawing/2014/main" id="{A16CB557-F7A8-40E0-A1F6-3635A616CBF8}"/>
            </a:ext>
          </a:extLst>
        </cdr:cNvPr>
        <cdr:cNvSpPr/>
      </cdr:nvSpPr>
      <cdr:spPr>
        <a:xfrm xmlns:a="http://schemas.openxmlformats.org/drawingml/2006/main">
          <a:off x="1647240" y="903905"/>
          <a:ext cx="1324561" cy="484132"/>
        </a:xfrm>
        <a:custGeom xmlns:a="http://schemas.openxmlformats.org/drawingml/2006/main">
          <a:avLst/>
          <a:gdLst/>
          <a:ahLst/>
          <a:cxnLst/>
          <a:rect l="0" t="0" r="0" b="0"/>
          <a:pathLst>
            <a:path w="1324561" h="484132">
              <a:moveTo>
                <a:pt x="12700" y="393300"/>
              </a:moveTo>
              <a:lnTo>
                <a:pt x="132456" y="484131"/>
              </a:lnTo>
              <a:lnTo>
                <a:pt x="264912" y="453587"/>
              </a:lnTo>
              <a:lnTo>
                <a:pt x="397368" y="415175"/>
              </a:lnTo>
              <a:lnTo>
                <a:pt x="529824" y="377817"/>
              </a:lnTo>
              <a:lnTo>
                <a:pt x="662280" y="344156"/>
              </a:lnTo>
              <a:lnTo>
                <a:pt x="794736" y="314879"/>
              </a:lnTo>
              <a:lnTo>
                <a:pt x="927192" y="289920"/>
              </a:lnTo>
              <a:lnTo>
                <a:pt x="1059648" y="268909"/>
              </a:lnTo>
              <a:lnTo>
                <a:pt x="1192104" y="251376"/>
              </a:lnTo>
              <a:lnTo>
                <a:pt x="1324560" y="236836"/>
              </a:lnTo>
              <a:lnTo>
                <a:pt x="1324560" y="0"/>
              </a:lnTo>
              <a:lnTo>
                <a:pt x="1192104" y="15459"/>
              </a:lnTo>
              <a:lnTo>
                <a:pt x="1059648" y="34394"/>
              </a:lnTo>
              <a:lnTo>
                <a:pt x="927192" y="57550"/>
              </a:lnTo>
              <a:lnTo>
                <a:pt x="794736" y="85808"/>
              </a:lnTo>
              <a:lnTo>
                <a:pt x="662280" y="120186"/>
              </a:lnTo>
              <a:lnTo>
                <a:pt x="529824" y="161826"/>
              </a:lnTo>
              <a:lnTo>
                <a:pt x="397368" y="211903"/>
              </a:lnTo>
              <a:lnTo>
                <a:pt x="264912" y="271322"/>
              </a:lnTo>
              <a:lnTo>
                <a:pt x="132456" y="339495"/>
              </a:lnTo>
              <a:lnTo>
                <a:pt x="0" y="393300"/>
              </a:lnTo>
              <a:lnTo>
                <a:pt x="0" y="393300"/>
              </a:lnTo>
            </a:path>
          </a:pathLst>
        </a:custGeom>
        <a:solidFill xmlns:a="http://schemas.openxmlformats.org/drawingml/2006/main">
          <a:srgbClr val="1E90FF"/>
        </a:solidFill>
        <a:ln xmlns:a="http://schemas.openxmlformats.org/drawingml/2006/main">
          <a:solidFill>
            <a:srgbClr val="0000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0.51882</cdr:x>
      <cdr:y>0.36741</cdr:y>
    </cdr:from>
    <cdr:to>
      <cdr:x>0.936</cdr:x>
      <cdr:y>0.68095</cdr:y>
    </cdr:to>
    <cdr:sp macro="" textlink="">
      <cdr:nvSpPr>
        <cdr:cNvPr id="2021" name="$C$195:$J$205|$F$268 4">
          <a:extLst xmlns:a="http://schemas.openxmlformats.org/drawingml/2006/main">
            <a:ext uri="{FF2B5EF4-FFF2-40B4-BE49-F238E27FC236}">
              <a16:creationId xmlns:a16="http://schemas.microsoft.com/office/drawing/2014/main" id="{B930910A-EA4E-4CB9-8415-2D28A495B64A}"/>
            </a:ext>
          </a:extLst>
        </cdr:cNvPr>
        <cdr:cNvSpPr/>
      </cdr:nvSpPr>
      <cdr:spPr>
        <a:xfrm xmlns:a="http://schemas.openxmlformats.org/drawingml/2006/main">
          <a:off x="1647240" y="699913"/>
          <a:ext cx="1324561" cy="597293"/>
        </a:xfrm>
        <a:custGeom xmlns:a="http://schemas.openxmlformats.org/drawingml/2006/main">
          <a:avLst/>
          <a:gdLst/>
          <a:ahLst/>
          <a:cxnLst/>
          <a:rect l="0" t="0" r="0" b="0"/>
          <a:pathLst>
            <a:path w="1324561" h="597293">
              <a:moveTo>
                <a:pt x="12700" y="597292"/>
              </a:moveTo>
              <a:lnTo>
                <a:pt x="132456" y="543487"/>
              </a:lnTo>
              <a:lnTo>
                <a:pt x="264912" y="475314"/>
              </a:lnTo>
              <a:lnTo>
                <a:pt x="397368" y="415895"/>
              </a:lnTo>
              <a:lnTo>
                <a:pt x="529824" y="365818"/>
              </a:lnTo>
              <a:lnTo>
                <a:pt x="662280" y="324178"/>
              </a:lnTo>
              <a:lnTo>
                <a:pt x="794736" y="289800"/>
              </a:lnTo>
              <a:lnTo>
                <a:pt x="927192" y="261542"/>
              </a:lnTo>
              <a:lnTo>
                <a:pt x="1059648" y="238386"/>
              </a:lnTo>
              <a:lnTo>
                <a:pt x="1192104" y="219451"/>
              </a:lnTo>
              <a:lnTo>
                <a:pt x="1324560" y="203992"/>
              </a:lnTo>
              <a:lnTo>
                <a:pt x="1324560" y="0"/>
              </a:lnTo>
              <a:lnTo>
                <a:pt x="1192104" y="16250"/>
              </a:lnTo>
              <a:lnTo>
                <a:pt x="1059648" y="36393"/>
              </a:lnTo>
              <a:lnTo>
                <a:pt x="927192" y="61397"/>
              </a:lnTo>
              <a:lnTo>
                <a:pt x="794736" y="92495"/>
              </a:lnTo>
              <a:lnTo>
                <a:pt x="662280" y="131268"/>
              </a:lnTo>
              <a:lnTo>
                <a:pt x="529824" y="179780"/>
              </a:lnTo>
              <a:lnTo>
                <a:pt x="397368" y="240811"/>
              </a:lnTo>
              <a:lnTo>
                <a:pt x="264912" y="318324"/>
              </a:lnTo>
              <a:lnTo>
                <a:pt x="132456" y="418909"/>
              </a:lnTo>
              <a:lnTo>
                <a:pt x="0" y="597292"/>
              </a:lnTo>
              <a:lnTo>
                <a:pt x="0" y="597292"/>
              </a:lnTo>
            </a:path>
          </a:pathLst>
        </a:custGeom>
        <a:solidFill xmlns:a="http://schemas.openxmlformats.org/drawingml/2006/main">
          <a:srgbClr val="1E90FF"/>
        </a:solidFill>
        <a:ln xmlns:a="http://schemas.openxmlformats.org/drawingml/2006/main">
          <a:solidFill>
            <a:srgbClr val="0000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0.51882</cdr:x>
      <cdr:y>0.24309</cdr:y>
    </cdr:from>
    <cdr:to>
      <cdr:x>0.936</cdr:x>
      <cdr:y>0.68095</cdr:y>
    </cdr:to>
    <cdr:sp macro="" textlink="">
      <cdr:nvSpPr>
        <cdr:cNvPr id="2022" name="$C$195:$J$205|$F$268 5">
          <a:extLst xmlns:a="http://schemas.openxmlformats.org/drawingml/2006/main">
            <a:ext uri="{FF2B5EF4-FFF2-40B4-BE49-F238E27FC236}">
              <a16:creationId xmlns:a16="http://schemas.microsoft.com/office/drawing/2014/main" id="{EE17AC0F-DF19-4623-9205-443F456EEE18}"/>
            </a:ext>
          </a:extLst>
        </cdr:cNvPr>
        <cdr:cNvSpPr/>
      </cdr:nvSpPr>
      <cdr:spPr>
        <a:xfrm xmlns:a="http://schemas.openxmlformats.org/drawingml/2006/main">
          <a:off x="1647240" y="463077"/>
          <a:ext cx="1324561" cy="834129"/>
        </a:xfrm>
        <a:custGeom xmlns:a="http://schemas.openxmlformats.org/drawingml/2006/main">
          <a:avLst/>
          <a:gdLst/>
          <a:ahLst/>
          <a:cxnLst/>
          <a:rect l="0" t="0" r="0" b="0"/>
          <a:pathLst>
            <a:path w="1324561" h="834129">
              <a:moveTo>
                <a:pt x="12700" y="834128"/>
              </a:moveTo>
              <a:lnTo>
                <a:pt x="132456" y="655745"/>
              </a:lnTo>
              <a:lnTo>
                <a:pt x="264912" y="555160"/>
              </a:lnTo>
              <a:lnTo>
                <a:pt x="397368" y="477647"/>
              </a:lnTo>
              <a:lnTo>
                <a:pt x="529824" y="416616"/>
              </a:lnTo>
              <a:lnTo>
                <a:pt x="662280" y="368104"/>
              </a:lnTo>
              <a:lnTo>
                <a:pt x="794736" y="329331"/>
              </a:lnTo>
              <a:lnTo>
                <a:pt x="927192" y="298233"/>
              </a:lnTo>
              <a:lnTo>
                <a:pt x="1059648" y="273229"/>
              </a:lnTo>
              <a:lnTo>
                <a:pt x="1192104" y="253086"/>
              </a:lnTo>
              <a:lnTo>
                <a:pt x="1324560" y="236836"/>
              </a:lnTo>
              <a:lnTo>
                <a:pt x="1324560" y="0"/>
              </a:lnTo>
              <a:lnTo>
                <a:pt x="1192104" y="17168"/>
              </a:lnTo>
              <a:lnTo>
                <a:pt x="1059648" y="38713"/>
              </a:lnTo>
              <a:lnTo>
                <a:pt x="927192" y="65864"/>
              </a:lnTo>
              <a:lnTo>
                <a:pt x="794736" y="100259"/>
              </a:lnTo>
              <a:lnTo>
                <a:pt x="662280" y="144134"/>
              </a:lnTo>
              <a:lnTo>
                <a:pt x="529824" y="200626"/>
              </a:lnTo>
              <a:lnTo>
                <a:pt x="397368" y="274375"/>
              </a:lnTo>
              <a:lnTo>
                <a:pt x="264912" y="372894"/>
              </a:lnTo>
              <a:lnTo>
                <a:pt x="132456" y="511109"/>
              </a:lnTo>
              <a:lnTo>
                <a:pt x="0" y="834128"/>
              </a:lnTo>
              <a:lnTo>
                <a:pt x="0" y="834128"/>
              </a:lnTo>
            </a:path>
          </a:pathLst>
        </a:custGeom>
        <a:solidFill xmlns:a="http://schemas.openxmlformats.org/drawingml/2006/main">
          <a:srgbClr val="1E90FF"/>
        </a:solidFill>
        <a:ln xmlns:a="http://schemas.openxmlformats.org/drawingml/2006/main">
          <a:solidFill>
            <a:srgbClr val="0000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0.51882</cdr:x>
      <cdr:y>0.15011</cdr:y>
    </cdr:from>
    <cdr:to>
      <cdr:x>0.936</cdr:x>
      <cdr:y>0.68095</cdr:y>
    </cdr:to>
    <cdr:sp macro="" textlink="">
      <cdr:nvSpPr>
        <cdr:cNvPr id="2023" name="$C$195:$J$205|$F$268 6">
          <a:extLst xmlns:a="http://schemas.openxmlformats.org/drawingml/2006/main">
            <a:ext uri="{FF2B5EF4-FFF2-40B4-BE49-F238E27FC236}">
              <a16:creationId xmlns:a16="http://schemas.microsoft.com/office/drawing/2014/main" id="{290EB6AD-3533-4D6C-8FD8-351AF9343349}"/>
            </a:ext>
          </a:extLst>
        </cdr:cNvPr>
        <cdr:cNvSpPr/>
      </cdr:nvSpPr>
      <cdr:spPr>
        <a:xfrm xmlns:a="http://schemas.openxmlformats.org/drawingml/2006/main">
          <a:off x="1647240" y="285963"/>
          <a:ext cx="1324561" cy="1011243"/>
        </a:xfrm>
        <a:custGeom xmlns:a="http://schemas.openxmlformats.org/drawingml/2006/main">
          <a:avLst/>
          <a:gdLst/>
          <a:ahLst/>
          <a:cxnLst/>
          <a:rect l="0" t="0" r="0" b="0"/>
          <a:pathLst>
            <a:path w="1324561" h="1011243">
              <a:moveTo>
                <a:pt x="12700" y="1011242"/>
              </a:moveTo>
              <a:lnTo>
                <a:pt x="132456" y="688223"/>
              </a:lnTo>
              <a:lnTo>
                <a:pt x="264912" y="550008"/>
              </a:lnTo>
              <a:lnTo>
                <a:pt x="397368" y="451489"/>
              </a:lnTo>
              <a:lnTo>
                <a:pt x="529824" y="377740"/>
              </a:lnTo>
              <a:lnTo>
                <a:pt x="662280" y="321248"/>
              </a:lnTo>
              <a:lnTo>
                <a:pt x="794736" y="277373"/>
              </a:lnTo>
              <a:lnTo>
                <a:pt x="927192" y="242978"/>
              </a:lnTo>
              <a:lnTo>
                <a:pt x="1059648" y="215827"/>
              </a:lnTo>
              <a:lnTo>
                <a:pt x="1192104" y="194282"/>
              </a:lnTo>
              <a:lnTo>
                <a:pt x="1324560" y="177114"/>
              </a:lnTo>
              <a:lnTo>
                <a:pt x="1324560" y="0"/>
              </a:lnTo>
              <a:lnTo>
                <a:pt x="1192104" y="17856"/>
              </a:lnTo>
              <a:lnTo>
                <a:pt x="1059648" y="40449"/>
              </a:lnTo>
              <a:lnTo>
                <a:pt x="927192" y="69205"/>
              </a:lnTo>
              <a:lnTo>
                <a:pt x="794736" y="106066"/>
              </a:lnTo>
              <a:lnTo>
                <a:pt x="662280" y="153756"/>
              </a:lnTo>
              <a:lnTo>
                <a:pt x="529824" y="216215"/>
              </a:lnTo>
              <a:lnTo>
                <a:pt x="397368" y="299475"/>
              </a:lnTo>
              <a:lnTo>
                <a:pt x="264912" y="413704"/>
              </a:lnTo>
              <a:lnTo>
                <a:pt x="132456" y="580060"/>
              </a:lnTo>
              <a:lnTo>
                <a:pt x="0" y="1011242"/>
              </a:lnTo>
              <a:lnTo>
                <a:pt x="0" y="1011242"/>
              </a:lnTo>
            </a:path>
          </a:pathLst>
        </a:custGeom>
        <a:solidFill xmlns:a="http://schemas.openxmlformats.org/drawingml/2006/main">
          <a:srgbClr val="1E90FF"/>
        </a:solidFill>
        <a:ln xmlns:a="http://schemas.openxmlformats.org/drawingml/2006/main">
          <a:solidFill>
            <a:srgbClr val="0000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0.51882</cdr:x>
      <cdr:y>0.07333</cdr:y>
    </cdr:from>
    <cdr:to>
      <cdr:x>0.936</cdr:x>
      <cdr:y>0.68095</cdr:y>
    </cdr:to>
    <cdr:sp macro="" textlink="">
      <cdr:nvSpPr>
        <cdr:cNvPr id="2024" name="$C$195:$J$205|$F$268 7">
          <a:extLst xmlns:a="http://schemas.openxmlformats.org/drawingml/2006/main">
            <a:ext uri="{FF2B5EF4-FFF2-40B4-BE49-F238E27FC236}">
              <a16:creationId xmlns:a16="http://schemas.microsoft.com/office/drawing/2014/main" id="{B25708D3-9480-426E-B519-ED3E3907EFA6}"/>
            </a:ext>
          </a:extLst>
        </cdr:cNvPr>
        <cdr:cNvSpPr/>
      </cdr:nvSpPr>
      <cdr:spPr>
        <a:xfrm xmlns:a="http://schemas.openxmlformats.org/drawingml/2006/main">
          <a:off x="1647240" y="139700"/>
          <a:ext cx="1324561" cy="1157506"/>
        </a:xfrm>
        <a:custGeom xmlns:a="http://schemas.openxmlformats.org/drawingml/2006/main">
          <a:avLst/>
          <a:gdLst/>
          <a:ahLst/>
          <a:cxnLst/>
          <a:rect l="0" t="0" r="0" b="0"/>
          <a:pathLst>
            <a:path w="1324561" h="1157506">
              <a:moveTo>
                <a:pt x="12700" y="1157505"/>
              </a:moveTo>
              <a:lnTo>
                <a:pt x="132456" y="726323"/>
              </a:lnTo>
              <a:lnTo>
                <a:pt x="264912" y="559967"/>
              </a:lnTo>
              <a:lnTo>
                <a:pt x="397368" y="445738"/>
              </a:lnTo>
              <a:lnTo>
                <a:pt x="529824" y="362478"/>
              </a:lnTo>
              <a:lnTo>
                <a:pt x="662280" y="300019"/>
              </a:lnTo>
              <a:lnTo>
                <a:pt x="794736" y="252329"/>
              </a:lnTo>
              <a:lnTo>
                <a:pt x="927192" y="215468"/>
              </a:lnTo>
              <a:lnTo>
                <a:pt x="1059648" y="186712"/>
              </a:lnTo>
              <a:lnTo>
                <a:pt x="1192104" y="164119"/>
              </a:lnTo>
              <a:lnTo>
                <a:pt x="1324560" y="146263"/>
              </a:lnTo>
              <a:lnTo>
                <a:pt x="1324560" y="0"/>
              </a:lnTo>
              <a:lnTo>
                <a:pt x="1192104" y="18423"/>
              </a:lnTo>
              <a:lnTo>
                <a:pt x="1059648" y="41882"/>
              </a:lnTo>
              <a:lnTo>
                <a:pt x="927192" y="71963"/>
              </a:lnTo>
              <a:lnTo>
                <a:pt x="794736" y="110861"/>
              </a:lnTo>
              <a:lnTo>
                <a:pt x="662280" y="161701"/>
              </a:lnTo>
              <a:lnTo>
                <a:pt x="529824" y="229089"/>
              </a:lnTo>
              <a:lnTo>
                <a:pt x="397368" y="320202"/>
              </a:lnTo>
              <a:lnTo>
                <a:pt x="264912" y="447405"/>
              </a:lnTo>
              <a:lnTo>
                <a:pt x="132456" y="637000"/>
              </a:lnTo>
              <a:lnTo>
                <a:pt x="0" y="1157505"/>
              </a:lnTo>
              <a:lnTo>
                <a:pt x="0" y="1157505"/>
              </a:lnTo>
            </a:path>
          </a:pathLst>
        </a:custGeom>
        <a:solidFill xmlns:a="http://schemas.openxmlformats.org/drawingml/2006/main">
          <a:srgbClr val="1E90FF"/>
        </a:solidFill>
        <a:ln xmlns:a="http://schemas.openxmlformats.org/drawingml/2006/main">
          <a:solidFill>
            <a:srgbClr val="0000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userShapes>
</file>

<file path=xl/drawings/drawing6.xml><?xml version="1.0" encoding="utf-8"?>
<c:userShapes xmlns:c="http://schemas.openxmlformats.org/drawingml/2006/chart">
  <cdr:relSizeAnchor xmlns:cdr="http://schemas.openxmlformats.org/drawingml/2006/chartDrawing">
    <cdr:from>
      <cdr:x>0.73924</cdr:x>
      <cdr:y>0.055</cdr:y>
    </cdr:from>
    <cdr:to>
      <cdr:x>0.88345</cdr:x>
      <cdr:y>0.88243</cdr:y>
    </cdr:to>
    <cdr:sp macro="" textlink="">
      <cdr:nvSpPr>
        <cdr:cNvPr id="38" name="Rectangle $B$330">
          <a:extLst xmlns:a="http://schemas.openxmlformats.org/drawingml/2006/main">
            <a:ext uri="{FF2B5EF4-FFF2-40B4-BE49-F238E27FC236}">
              <a16:creationId xmlns:a16="http://schemas.microsoft.com/office/drawing/2014/main" id="{390A129F-0280-4544-AB0F-270A2EDE3919}"/>
            </a:ext>
          </a:extLst>
        </cdr:cNvPr>
        <cdr:cNvSpPr/>
      </cdr:nvSpPr>
      <cdr:spPr>
        <a:xfrm xmlns:a="http://schemas.openxmlformats.org/drawingml/2006/main">
          <a:off x="5163610" y="139700"/>
          <a:ext cx="1007261" cy="2101660"/>
        </a:xfrm>
        <a:custGeom xmlns:a="http://schemas.openxmlformats.org/drawingml/2006/main">
          <a:avLst/>
          <a:gdLst/>
          <a:ahLst/>
          <a:cxnLst/>
          <a:rect l="0" t="0" r="0" b="0"/>
          <a:pathLst>
            <a:path w="1007261" h="2101660">
              <a:moveTo>
                <a:pt x="12700" y="0"/>
              </a:moveTo>
              <a:lnTo>
                <a:pt x="1007260" y="0"/>
              </a:lnTo>
              <a:lnTo>
                <a:pt x="1007260" y="2101659"/>
              </a:lnTo>
              <a:lnTo>
                <a:pt x="0" y="2101659"/>
              </a:lnTo>
              <a:lnTo>
                <a:pt x="0" y="0"/>
              </a:lnTo>
            </a:path>
          </a:pathLst>
        </a:custGeom>
        <a:solidFill xmlns:a="http://schemas.openxmlformats.org/drawingml/2006/main">
          <a:srgbClr val="DB2645">
            <a:alpha val="30000"/>
          </a:srgbClr>
        </a:solidFill>
        <a:ln xmlns:a="http://schemas.openxmlformats.org/drawingml/2006/main">
          <a:solidFill>
            <a:srgbClr val="0000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userShapes>
</file>

<file path=xl/drawings/drawing7.xml><?xml version="1.0" encoding="utf-8"?>
<c:userShapes xmlns:c="http://schemas.openxmlformats.org/drawingml/2006/chart">
  <cdr:relSizeAnchor xmlns:cdr="http://schemas.openxmlformats.org/drawingml/2006/chartDrawing">
    <cdr:from>
      <cdr:x>0.50189</cdr:x>
      <cdr:y>0.71704</cdr:y>
    </cdr:from>
    <cdr:to>
      <cdr:x>0.96</cdr:x>
      <cdr:y>0.89549</cdr:y>
    </cdr:to>
    <cdr:sp macro="" textlink="">
      <cdr:nvSpPr>
        <cdr:cNvPr id="1983" name="$C$195:$J$205|$B$209 1">
          <a:extLst xmlns:a="http://schemas.openxmlformats.org/drawingml/2006/main">
            <a:ext uri="{FF2B5EF4-FFF2-40B4-BE49-F238E27FC236}">
              <a16:creationId xmlns:a16="http://schemas.microsoft.com/office/drawing/2014/main" id="{AE206056-1574-4139-996C-F5B0987FE00D}"/>
            </a:ext>
          </a:extLst>
        </cdr:cNvPr>
        <cdr:cNvSpPr/>
      </cdr:nvSpPr>
      <cdr:spPr>
        <a:xfrm xmlns:a="http://schemas.openxmlformats.org/drawingml/2006/main">
          <a:off x="2549608" y="2048930"/>
          <a:ext cx="2327193" cy="509930"/>
        </a:xfrm>
        <a:custGeom xmlns:a="http://schemas.openxmlformats.org/drawingml/2006/main">
          <a:avLst/>
          <a:gdLst/>
          <a:ahLst/>
          <a:cxnLst/>
          <a:rect l="0" t="0" r="0" b="0"/>
          <a:pathLst>
            <a:path w="2327193" h="509930">
              <a:moveTo>
                <a:pt x="12700" y="0"/>
              </a:moveTo>
              <a:lnTo>
                <a:pt x="232720" y="475561"/>
              </a:lnTo>
              <a:lnTo>
                <a:pt x="465439" y="509929"/>
              </a:lnTo>
              <a:lnTo>
                <a:pt x="698158" y="493881"/>
              </a:lnTo>
              <a:lnTo>
                <a:pt x="930877" y="460903"/>
              </a:lnTo>
              <a:lnTo>
                <a:pt x="1163596" y="423352"/>
              </a:lnTo>
              <a:lnTo>
                <a:pt x="1396315" y="386553"/>
              </a:lnTo>
              <a:lnTo>
                <a:pt x="1629035" y="352810"/>
              </a:lnTo>
              <a:lnTo>
                <a:pt x="1861754" y="322988"/>
              </a:lnTo>
              <a:lnTo>
                <a:pt x="2094473" y="297226"/>
              </a:lnTo>
              <a:lnTo>
                <a:pt x="2327192" y="275312"/>
              </a:lnTo>
              <a:lnTo>
                <a:pt x="2327192" y="34060"/>
              </a:lnTo>
              <a:lnTo>
                <a:pt x="2094473" y="56909"/>
              </a:lnTo>
              <a:lnTo>
                <a:pt x="1861754" y="84100"/>
              </a:lnTo>
              <a:lnTo>
                <a:pt x="1629035" y="116108"/>
              </a:lnTo>
              <a:lnTo>
                <a:pt x="1396315" y="153210"/>
              </a:lnTo>
              <a:lnTo>
                <a:pt x="1163596" y="195206"/>
              </a:lnTo>
              <a:lnTo>
                <a:pt x="930877" y="240885"/>
              </a:lnTo>
              <a:lnTo>
                <a:pt x="698158" y="286818"/>
              </a:lnTo>
              <a:lnTo>
                <a:pt x="465439" y="324265"/>
              </a:lnTo>
              <a:lnTo>
                <a:pt x="232720" y="328228"/>
              </a:lnTo>
              <a:lnTo>
                <a:pt x="0" y="0"/>
              </a:lnTo>
              <a:lnTo>
                <a:pt x="0" y="0"/>
              </a:lnTo>
            </a:path>
          </a:pathLst>
        </a:custGeom>
        <a:solidFill xmlns:a="http://schemas.openxmlformats.org/drawingml/2006/main">
          <a:srgbClr val="DB2645">
            <a:alpha val="20000"/>
          </a:srgbClr>
        </a:solidFill>
        <a:ln xmlns:a="http://schemas.openxmlformats.org/drawingml/2006/main" w="635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6350" cap="flat" cmpd="sng" algn="ctr">
              <a:solidFill>
                <a:schemeClr val="accent1"/>
              </a:solidFill>
              <a:prstDash val="solid"/>
              <a:miter lim="800000"/>
            </a14:hiddenLine>
          </a:ext>
        </a:extLst>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0.50189</cdr:x>
      <cdr:y>0.62672</cdr:y>
    </cdr:from>
    <cdr:to>
      <cdr:x>0.96</cdr:x>
      <cdr:y>0.8319</cdr:y>
    </cdr:to>
    <cdr:sp macro="" textlink="">
      <cdr:nvSpPr>
        <cdr:cNvPr id="1984" name="$C$195:$J$205|$B$209 2">
          <a:extLst xmlns:a="http://schemas.openxmlformats.org/drawingml/2006/main">
            <a:ext uri="{FF2B5EF4-FFF2-40B4-BE49-F238E27FC236}">
              <a16:creationId xmlns:a16="http://schemas.microsoft.com/office/drawing/2014/main" id="{D1AA0B1D-E4A5-403B-A2B8-EE6F651DE918}"/>
            </a:ext>
          </a:extLst>
        </cdr:cNvPr>
        <cdr:cNvSpPr/>
      </cdr:nvSpPr>
      <cdr:spPr>
        <a:xfrm xmlns:a="http://schemas.openxmlformats.org/drawingml/2006/main">
          <a:off x="2549608" y="1790853"/>
          <a:ext cx="2327193" cy="586306"/>
        </a:xfrm>
        <a:custGeom xmlns:a="http://schemas.openxmlformats.org/drawingml/2006/main">
          <a:avLst/>
          <a:gdLst/>
          <a:ahLst/>
          <a:cxnLst/>
          <a:rect l="0" t="0" r="0" b="0"/>
          <a:pathLst>
            <a:path w="2327193" h="586306">
              <a:moveTo>
                <a:pt x="12700" y="258077"/>
              </a:moveTo>
              <a:lnTo>
                <a:pt x="232720" y="586305"/>
              </a:lnTo>
              <a:lnTo>
                <a:pt x="465439" y="582342"/>
              </a:lnTo>
              <a:lnTo>
                <a:pt x="698158" y="544895"/>
              </a:lnTo>
              <a:lnTo>
                <a:pt x="930877" y="498962"/>
              </a:lnTo>
              <a:lnTo>
                <a:pt x="1163596" y="453283"/>
              </a:lnTo>
              <a:lnTo>
                <a:pt x="1396315" y="411287"/>
              </a:lnTo>
              <a:lnTo>
                <a:pt x="1629035" y="374185"/>
              </a:lnTo>
              <a:lnTo>
                <a:pt x="1861754" y="342177"/>
              </a:lnTo>
              <a:lnTo>
                <a:pt x="2094473" y="314986"/>
              </a:lnTo>
              <a:lnTo>
                <a:pt x="2327192" y="292137"/>
              </a:lnTo>
              <a:lnTo>
                <a:pt x="2327192" y="0"/>
              </a:lnTo>
              <a:lnTo>
                <a:pt x="2094473" y="23982"/>
              </a:lnTo>
              <a:lnTo>
                <a:pt x="1861754" y="52902"/>
              </a:lnTo>
              <a:lnTo>
                <a:pt x="1629035" y="87558"/>
              </a:lnTo>
              <a:lnTo>
                <a:pt x="1396315" y="128727"/>
              </a:lnTo>
              <a:lnTo>
                <a:pt x="1163596" y="177016"/>
              </a:lnTo>
              <a:lnTo>
                <a:pt x="930877" y="232538"/>
              </a:lnTo>
              <a:lnTo>
                <a:pt x="698158" y="294158"/>
              </a:lnTo>
              <a:lnTo>
                <a:pt x="465439" y="357517"/>
              </a:lnTo>
              <a:lnTo>
                <a:pt x="232720" y="407896"/>
              </a:lnTo>
              <a:lnTo>
                <a:pt x="0" y="258077"/>
              </a:lnTo>
              <a:lnTo>
                <a:pt x="0" y="258077"/>
              </a:lnTo>
            </a:path>
          </a:pathLst>
        </a:custGeom>
        <a:solidFill xmlns:a="http://schemas.openxmlformats.org/drawingml/2006/main">
          <a:srgbClr val="92192E">
            <a:alpha val="47000"/>
          </a:srgbClr>
        </a:solidFill>
        <a:ln xmlns:a="http://schemas.openxmlformats.org/drawingml/2006/main" w="635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6350" cap="flat" cmpd="sng" algn="ctr">
              <a:solidFill>
                <a:schemeClr val="accent1"/>
              </a:solidFill>
              <a:prstDash val="solid"/>
              <a:miter lim="800000"/>
            </a14:hiddenLine>
          </a:ext>
        </a:extLst>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0.50189</cdr:x>
      <cdr:y>0.49001</cdr:y>
    </cdr:from>
    <cdr:to>
      <cdr:x>0.96</cdr:x>
      <cdr:y>0.76947</cdr:y>
    </cdr:to>
    <cdr:sp macro="" textlink="">
      <cdr:nvSpPr>
        <cdr:cNvPr id="1985" name="$C$195:$J$205|$B$209 3">
          <a:extLst xmlns:a="http://schemas.openxmlformats.org/drawingml/2006/main">
            <a:ext uri="{FF2B5EF4-FFF2-40B4-BE49-F238E27FC236}">
              <a16:creationId xmlns:a16="http://schemas.microsoft.com/office/drawing/2014/main" id="{DDC0D962-0BC2-46FB-B5CE-5BF2807DB4DC}"/>
            </a:ext>
          </a:extLst>
        </cdr:cNvPr>
        <cdr:cNvSpPr/>
      </cdr:nvSpPr>
      <cdr:spPr>
        <a:xfrm xmlns:a="http://schemas.openxmlformats.org/drawingml/2006/main">
          <a:off x="2549608" y="1400207"/>
          <a:ext cx="2327193" cy="798543"/>
        </a:xfrm>
        <a:custGeom xmlns:a="http://schemas.openxmlformats.org/drawingml/2006/main">
          <a:avLst/>
          <a:gdLst/>
          <a:ahLst/>
          <a:cxnLst/>
          <a:rect l="0" t="0" r="0" b="0"/>
          <a:pathLst>
            <a:path w="2327193" h="798543">
              <a:moveTo>
                <a:pt x="12700" y="648723"/>
              </a:moveTo>
              <a:lnTo>
                <a:pt x="232720" y="798542"/>
              </a:lnTo>
              <a:lnTo>
                <a:pt x="465439" y="748163"/>
              </a:lnTo>
              <a:lnTo>
                <a:pt x="698158" y="684804"/>
              </a:lnTo>
              <a:lnTo>
                <a:pt x="930877" y="623184"/>
              </a:lnTo>
              <a:lnTo>
                <a:pt x="1163596" y="567662"/>
              </a:lnTo>
              <a:lnTo>
                <a:pt x="1396315" y="519373"/>
              </a:lnTo>
              <a:lnTo>
                <a:pt x="1629035" y="478204"/>
              </a:lnTo>
              <a:lnTo>
                <a:pt x="1861754" y="443548"/>
              </a:lnTo>
              <a:lnTo>
                <a:pt x="2094473" y="414628"/>
              </a:lnTo>
              <a:lnTo>
                <a:pt x="2327192" y="390646"/>
              </a:lnTo>
              <a:lnTo>
                <a:pt x="2327192" y="0"/>
              </a:lnTo>
              <a:lnTo>
                <a:pt x="2094473" y="25498"/>
              </a:lnTo>
              <a:lnTo>
                <a:pt x="1861754" y="56730"/>
              </a:lnTo>
              <a:lnTo>
                <a:pt x="1629035" y="94925"/>
              </a:lnTo>
              <a:lnTo>
                <a:pt x="1396315" y="141534"/>
              </a:lnTo>
              <a:lnTo>
                <a:pt x="1163596" y="198239"/>
              </a:lnTo>
              <a:lnTo>
                <a:pt x="930877" y="266921"/>
              </a:lnTo>
              <a:lnTo>
                <a:pt x="698158" y="349519"/>
              </a:lnTo>
              <a:lnTo>
                <a:pt x="465439" y="447527"/>
              </a:lnTo>
              <a:lnTo>
                <a:pt x="232720" y="559975"/>
              </a:lnTo>
              <a:lnTo>
                <a:pt x="0" y="648723"/>
              </a:lnTo>
              <a:lnTo>
                <a:pt x="0" y="648723"/>
              </a:lnTo>
            </a:path>
          </a:pathLst>
        </a:custGeom>
        <a:solidFill xmlns:a="http://schemas.openxmlformats.org/drawingml/2006/main">
          <a:srgbClr val="490D17">
            <a:alpha val="73000"/>
          </a:srgbClr>
        </a:solidFill>
        <a:ln xmlns:a="http://schemas.openxmlformats.org/drawingml/2006/main" w="635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6350" cap="flat" cmpd="sng" algn="ctr">
              <a:solidFill>
                <a:schemeClr val="accent1"/>
              </a:solidFill>
              <a:prstDash val="solid"/>
              <a:miter lim="800000"/>
            </a14:hiddenLine>
          </a:ext>
        </a:extLst>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0.50189</cdr:x>
      <cdr:y>0.37226</cdr:y>
    </cdr:from>
    <cdr:to>
      <cdr:x>0.96</cdr:x>
      <cdr:y>0.71704</cdr:y>
    </cdr:to>
    <cdr:sp macro="" textlink="">
      <cdr:nvSpPr>
        <cdr:cNvPr id="1986" name="$C$195:$J$205|$B$209 4">
          <a:extLst xmlns:a="http://schemas.openxmlformats.org/drawingml/2006/main">
            <a:ext uri="{FF2B5EF4-FFF2-40B4-BE49-F238E27FC236}">
              <a16:creationId xmlns:a16="http://schemas.microsoft.com/office/drawing/2014/main" id="{D8C69A03-82D6-47A3-8D58-17A8262BF0FE}"/>
            </a:ext>
          </a:extLst>
        </cdr:cNvPr>
        <cdr:cNvSpPr/>
      </cdr:nvSpPr>
      <cdr:spPr>
        <a:xfrm xmlns:a="http://schemas.openxmlformats.org/drawingml/2006/main">
          <a:off x="2549608" y="1063735"/>
          <a:ext cx="2327193" cy="985196"/>
        </a:xfrm>
        <a:custGeom xmlns:a="http://schemas.openxmlformats.org/drawingml/2006/main">
          <a:avLst/>
          <a:gdLst/>
          <a:ahLst/>
          <a:cxnLst/>
          <a:rect l="0" t="0" r="0" b="0"/>
          <a:pathLst>
            <a:path w="2327193" h="985196">
              <a:moveTo>
                <a:pt x="12700" y="985195"/>
              </a:moveTo>
              <a:lnTo>
                <a:pt x="232720" y="896447"/>
              </a:lnTo>
              <a:lnTo>
                <a:pt x="465439" y="783999"/>
              </a:lnTo>
              <a:lnTo>
                <a:pt x="698158" y="685991"/>
              </a:lnTo>
              <a:lnTo>
                <a:pt x="930877" y="603393"/>
              </a:lnTo>
              <a:lnTo>
                <a:pt x="1163596" y="534711"/>
              </a:lnTo>
              <a:lnTo>
                <a:pt x="1396315" y="478006"/>
              </a:lnTo>
              <a:lnTo>
                <a:pt x="1629035" y="431397"/>
              </a:lnTo>
              <a:lnTo>
                <a:pt x="1861754" y="393202"/>
              </a:lnTo>
              <a:lnTo>
                <a:pt x="2094473" y="361970"/>
              </a:lnTo>
              <a:lnTo>
                <a:pt x="2327192" y="336472"/>
              </a:lnTo>
              <a:lnTo>
                <a:pt x="2327192" y="0"/>
              </a:lnTo>
              <a:lnTo>
                <a:pt x="2094473" y="26803"/>
              </a:lnTo>
              <a:lnTo>
                <a:pt x="1861754" y="60027"/>
              </a:lnTo>
              <a:lnTo>
                <a:pt x="1629035" y="101271"/>
              </a:lnTo>
              <a:lnTo>
                <a:pt x="1396315" y="152565"/>
              </a:lnTo>
              <a:lnTo>
                <a:pt x="1163596" y="216517"/>
              </a:lnTo>
              <a:lnTo>
                <a:pt x="930877" y="296536"/>
              </a:lnTo>
              <a:lnTo>
                <a:pt x="698158" y="397203"/>
              </a:lnTo>
              <a:lnTo>
                <a:pt x="465439" y="525055"/>
              </a:lnTo>
              <a:lnTo>
                <a:pt x="232720" y="690963"/>
              </a:lnTo>
              <a:lnTo>
                <a:pt x="0" y="985195"/>
              </a:lnTo>
              <a:lnTo>
                <a:pt x="0" y="985195"/>
              </a:lnTo>
            </a:path>
          </a:pathLst>
        </a:custGeom>
        <a:solidFill xmlns:a="http://schemas.openxmlformats.org/drawingml/2006/main">
          <a:srgbClr val="000000"/>
        </a:solidFill>
        <a:ln xmlns:a="http://schemas.openxmlformats.org/drawingml/2006/main" w="635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6350" cap="flat" cmpd="sng" algn="ctr">
              <a:solidFill>
                <a:schemeClr val="accent1"/>
              </a:solidFill>
              <a:prstDash val="solid"/>
              <a:miter lim="800000"/>
            </a14:hiddenLine>
          </a:ext>
        </a:extLst>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0.50189</cdr:x>
      <cdr:y>0.23555</cdr:y>
    </cdr:from>
    <cdr:to>
      <cdr:x>0.96</cdr:x>
      <cdr:y>0.71704</cdr:y>
    </cdr:to>
    <cdr:sp macro="" textlink="">
      <cdr:nvSpPr>
        <cdr:cNvPr id="1987" name="$C$195:$J$205|$B$209 5">
          <a:extLst xmlns:a="http://schemas.openxmlformats.org/drawingml/2006/main">
            <a:ext uri="{FF2B5EF4-FFF2-40B4-BE49-F238E27FC236}">
              <a16:creationId xmlns:a16="http://schemas.microsoft.com/office/drawing/2014/main" id="{705BE821-8BC8-4E2D-9965-67BB2A64CB1D}"/>
            </a:ext>
          </a:extLst>
        </cdr:cNvPr>
        <cdr:cNvSpPr/>
      </cdr:nvSpPr>
      <cdr:spPr>
        <a:xfrm xmlns:a="http://schemas.openxmlformats.org/drawingml/2006/main">
          <a:off x="2549608" y="673089"/>
          <a:ext cx="2327193" cy="1375842"/>
        </a:xfrm>
        <a:custGeom xmlns:a="http://schemas.openxmlformats.org/drawingml/2006/main">
          <a:avLst/>
          <a:gdLst/>
          <a:ahLst/>
          <a:cxnLst/>
          <a:rect l="0" t="0" r="0" b="0"/>
          <a:pathLst>
            <a:path w="2327193" h="1375842">
              <a:moveTo>
                <a:pt x="12700" y="1375841"/>
              </a:moveTo>
              <a:lnTo>
                <a:pt x="232720" y="1081609"/>
              </a:lnTo>
              <a:lnTo>
                <a:pt x="465439" y="915701"/>
              </a:lnTo>
              <a:lnTo>
                <a:pt x="698158" y="787849"/>
              </a:lnTo>
              <a:lnTo>
                <a:pt x="930877" y="687182"/>
              </a:lnTo>
              <a:lnTo>
                <a:pt x="1163596" y="607163"/>
              </a:lnTo>
              <a:lnTo>
                <a:pt x="1396315" y="543211"/>
              </a:lnTo>
              <a:lnTo>
                <a:pt x="1629035" y="491917"/>
              </a:lnTo>
              <a:lnTo>
                <a:pt x="1861754" y="450673"/>
              </a:lnTo>
              <a:lnTo>
                <a:pt x="2094473" y="417449"/>
              </a:lnTo>
              <a:lnTo>
                <a:pt x="2327192" y="390646"/>
              </a:lnTo>
              <a:lnTo>
                <a:pt x="2327192" y="0"/>
              </a:lnTo>
              <a:lnTo>
                <a:pt x="2094473" y="28318"/>
              </a:lnTo>
              <a:lnTo>
                <a:pt x="1861754" y="63856"/>
              </a:lnTo>
              <a:lnTo>
                <a:pt x="1629035" y="108639"/>
              </a:lnTo>
              <a:lnTo>
                <a:pt x="1396315" y="165372"/>
              </a:lnTo>
              <a:lnTo>
                <a:pt x="1163596" y="237740"/>
              </a:lnTo>
              <a:lnTo>
                <a:pt x="930877" y="330920"/>
              </a:lnTo>
              <a:lnTo>
                <a:pt x="698158" y="452564"/>
              </a:lnTo>
              <a:lnTo>
                <a:pt x="465439" y="615065"/>
              </a:lnTo>
              <a:lnTo>
                <a:pt x="232720" y="843042"/>
              </a:lnTo>
              <a:lnTo>
                <a:pt x="0" y="1375841"/>
              </a:lnTo>
              <a:lnTo>
                <a:pt x="0" y="1375841"/>
              </a:lnTo>
            </a:path>
          </a:pathLst>
        </a:custGeom>
        <a:solidFill xmlns:a="http://schemas.openxmlformats.org/drawingml/2006/main">
          <a:srgbClr val="490D17">
            <a:alpha val="73000"/>
          </a:srgbClr>
        </a:solidFill>
        <a:ln xmlns:a="http://schemas.openxmlformats.org/drawingml/2006/main" w="635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6350" cap="flat" cmpd="sng" algn="ctr">
              <a:solidFill>
                <a:schemeClr val="accent1"/>
              </a:solidFill>
              <a:prstDash val="solid"/>
              <a:miter lim="800000"/>
            </a14:hiddenLine>
          </a:ext>
        </a:extLst>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0.50189</cdr:x>
      <cdr:y>0.13332</cdr:y>
    </cdr:from>
    <cdr:to>
      <cdr:x>0.96</cdr:x>
      <cdr:y>0.71704</cdr:y>
    </cdr:to>
    <cdr:sp macro="" textlink="">
      <cdr:nvSpPr>
        <cdr:cNvPr id="1988" name="$C$195:$J$205|$B$209 6">
          <a:extLst xmlns:a="http://schemas.openxmlformats.org/drawingml/2006/main">
            <a:ext uri="{FF2B5EF4-FFF2-40B4-BE49-F238E27FC236}">
              <a16:creationId xmlns:a16="http://schemas.microsoft.com/office/drawing/2014/main" id="{7E8B98BE-6C6E-42AB-891A-EC11C225274D}"/>
            </a:ext>
          </a:extLst>
        </cdr:cNvPr>
        <cdr:cNvSpPr/>
      </cdr:nvSpPr>
      <cdr:spPr>
        <a:xfrm xmlns:a="http://schemas.openxmlformats.org/drawingml/2006/main">
          <a:off x="2549608" y="380952"/>
          <a:ext cx="2327193" cy="1667979"/>
        </a:xfrm>
        <a:custGeom xmlns:a="http://schemas.openxmlformats.org/drawingml/2006/main">
          <a:avLst/>
          <a:gdLst/>
          <a:ahLst/>
          <a:cxnLst/>
          <a:rect l="0" t="0" r="0" b="0"/>
          <a:pathLst>
            <a:path w="2327193" h="1667979">
              <a:moveTo>
                <a:pt x="12700" y="1667978"/>
              </a:moveTo>
              <a:lnTo>
                <a:pt x="232720" y="1135179"/>
              </a:lnTo>
              <a:lnTo>
                <a:pt x="465439" y="907202"/>
              </a:lnTo>
              <a:lnTo>
                <a:pt x="698158" y="744701"/>
              </a:lnTo>
              <a:lnTo>
                <a:pt x="930877" y="623057"/>
              </a:lnTo>
              <a:lnTo>
                <a:pt x="1163596" y="529877"/>
              </a:lnTo>
              <a:lnTo>
                <a:pt x="1396315" y="457509"/>
              </a:lnTo>
              <a:lnTo>
                <a:pt x="1629035" y="400776"/>
              </a:lnTo>
              <a:lnTo>
                <a:pt x="1861754" y="355993"/>
              </a:lnTo>
              <a:lnTo>
                <a:pt x="2094473" y="320455"/>
              </a:lnTo>
              <a:lnTo>
                <a:pt x="2327192" y="292137"/>
              </a:lnTo>
              <a:lnTo>
                <a:pt x="2327192" y="0"/>
              </a:lnTo>
              <a:lnTo>
                <a:pt x="2094473" y="29451"/>
              </a:lnTo>
              <a:lnTo>
                <a:pt x="1861754" y="66718"/>
              </a:lnTo>
              <a:lnTo>
                <a:pt x="1629035" y="114148"/>
              </a:lnTo>
              <a:lnTo>
                <a:pt x="1396315" y="174949"/>
              </a:lnTo>
              <a:lnTo>
                <a:pt x="1163596" y="253610"/>
              </a:lnTo>
              <a:lnTo>
                <a:pt x="930877" y="356633"/>
              </a:lnTo>
              <a:lnTo>
                <a:pt x="698158" y="493964"/>
              </a:lnTo>
              <a:lnTo>
                <a:pt x="465439" y="682377"/>
              </a:lnTo>
              <a:lnTo>
                <a:pt x="232720" y="956770"/>
              </a:lnTo>
              <a:lnTo>
                <a:pt x="0" y="1667978"/>
              </a:lnTo>
              <a:lnTo>
                <a:pt x="0" y="1667978"/>
              </a:lnTo>
            </a:path>
          </a:pathLst>
        </a:custGeom>
        <a:solidFill xmlns:a="http://schemas.openxmlformats.org/drawingml/2006/main">
          <a:srgbClr val="92192E">
            <a:alpha val="47000"/>
          </a:srgbClr>
        </a:solidFill>
        <a:ln xmlns:a="http://schemas.openxmlformats.org/drawingml/2006/main" w="635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6350" cap="flat" cmpd="sng" algn="ctr">
              <a:solidFill>
                <a:schemeClr val="accent1"/>
              </a:solidFill>
              <a:prstDash val="solid"/>
              <a:miter lim="800000"/>
            </a14:hiddenLine>
          </a:ext>
        </a:extLst>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0.50189</cdr:x>
      <cdr:y>0.04889</cdr:y>
    </cdr:from>
    <cdr:to>
      <cdr:x>0.96</cdr:x>
      <cdr:y>0.71704</cdr:y>
    </cdr:to>
    <cdr:sp macro="" textlink="">
      <cdr:nvSpPr>
        <cdr:cNvPr id="1989" name="$C$195:$J$205|$B$209 7">
          <a:extLst xmlns:a="http://schemas.openxmlformats.org/drawingml/2006/main">
            <a:ext uri="{FF2B5EF4-FFF2-40B4-BE49-F238E27FC236}">
              <a16:creationId xmlns:a16="http://schemas.microsoft.com/office/drawing/2014/main" id="{A610C6E8-2A0E-4ED2-B661-E16B35A18EC0}"/>
            </a:ext>
          </a:extLst>
        </cdr:cNvPr>
        <cdr:cNvSpPr/>
      </cdr:nvSpPr>
      <cdr:spPr>
        <a:xfrm xmlns:a="http://schemas.openxmlformats.org/drawingml/2006/main">
          <a:off x="2549608" y="139700"/>
          <a:ext cx="2327193" cy="1909231"/>
        </a:xfrm>
        <a:custGeom xmlns:a="http://schemas.openxmlformats.org/drawingml/2006/main">
          <a:avLst/>
          <a:gdLst/>
          <a:ahLst/>
          <a:cxnLst/>
          <a:rect l="0" t="0" r="0" b="0"/>
          <a:pathLst>
            <a:path w="2327193" h="1909231">
              <a:moveTo>
                <a:pt x="12700" y="1909230"/>
              </a:moveTo>
              <a:lnTo>
                <a:pt x="232720" y="1198022"/>
              </a:lnTo>
              <a:lnTo>
                <a:pt x="465439" y="923629"/>
              </a:lnTo>
              <a:lnTo>
                <a:pt x="698158" y="735216"/>
              </a:lnTo>
              <a:lnTo>
                <a:pt x="930877" y="597885"/>
              </a:lnTo>
              <a:lnTo>
                <a:pt x="1163596" y="494862"/>
              </a:lnTo>
              <a:lnTo>
                <a:pt x="1396315" y="416201"/>
              </a:lnTo>
              <a:lnTo>
                <a:pt x="1629035" y="355400"/>
              </a:lnTo>
              <a:lnTo>
                <a:pt x="1861754" y="307970"/>
              </a:lnTo>
              <a:lnTo>
                <a:pt x="2094473" y="270703"/>
              </a:lnTo>
              <a:lnTo>
                <a:pt x="2327192" y="241252"/>
              </a:lnTo>
              <a:lnTo>
                <a:pt x="2327192" y="0"/>
              </a:lnTo>
              <a:lnTo>
                <a:pt x="2094473" y="30387"/>
              </a:lnTo>
              <a:lnTo>
                <a:pt x="1861754" y="69082"/>
              </a:lnTo>
              <a:lnTo>
                <a:pt x="1629035" y="118698"/>
              </a:lnTo>
              <a:lnTo>
                <a:pt x="1396315" y="182858"/>
              </a:lnTo>
              <a:lnTo>
                <a:pt x="1163596" y="266716"/>
              </a:lnTo>
              <a:lnTo>
                <a:pt x="930877" y="377867"/>
              </a:lnTo>
              <a:lnTo>
                <a:pt x="698158" y="528153"/>
              </a:lnTo>
              <a:lnTo>
                <a:pt x="465439" y="737965"/>
              </a:lnTo>
              <a:lnTo>
                <a:pt x="232720" y="1050690"/>
              </a:lnTo>
              <a:lnTo>
                <a:pt x="0" y="1909230"/>
              </a:lnTo>
              <a:lnTo>
                <a:pt x="0" y="1909230"/>
              </a:lnTo>
            </a:path>
          </a:pathLst>
        </a:custGeom>
        <a:solidFill xmlns:a="http://schemas.openxmlformats.org/drawingml/2006/main">
          <a:srgbClr val="DB2645">
            <a:alpha val="20000"/>
          </a:srgbClr>
        </a:solidFill>
        <a:ln xmlns:a="http://schemas.openxmlformats.org/drawingml/2006/main" w="635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6350" cap="flat" cmpd="sng" algn="ctr">
              <a:solidFill>
                <a:schemeClr val="accent1"/>
              </a:solidFill>
              <a:prstDash val="solid"/>
              <a:miter lim="800000"/>
            </a14:hiddenLine>
          </a:ext>
        </a:extLst>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userShapes>
</file>

<file path=xl/drawings/drawing8.xml><?xml version="1.0" encoding="utf-8"?>
<c:userShapes xmlns:c="http://schemas.openxmlformats.org/drawingml/2006/chart">
  <cdr:relSizeAnchor xmlns:cdr="http://schemas.openxmlformats.org/drawingml/2006/chartDrawing">
    <cdr:from>
      <cdr:x>0.80228</cdr:x>
      <cdr:y>0.055</cdr:y>
    </cdr:from>
    <cdr:to>
      <cdr:x>0.96587</cdr:x>
      <cdr:y>0.88243</cdr:y>
    </cdr:to>
    <cdr:sp macro="" textlink="">
      <cdr:nvSpPr>
        <cdr:cNvPr id="13" name="Rectangle $B$350">
          <a:extLst xmlns:a="http://schemas.openxmlformats.org/drawingml/2006/main">
            <a:ext uri="{FF2B5EF4-FFF2-40B4-BE49-F238E27FC236}">
              <a16:creationId xmlns:a16="http://schemas.microsoft.com/office/drawing/2014/main" id="{276F92A4-F43E-4577-BD2E-9A3014985FCF}"/>
            </a:ext>
          </a:extLst>
        </cdr:cNvPr>
        <cdr:cNvSpPr/>
      </cdr:nvSpPr>
      <cdr:spPr>
        <a:xfrm xmlns:a="http://schemas.openxmlformats.org/drawingml/2006/main">
          <a:off x="5522393" y="139700"/>
          <a:ext cx="1126058" cy="2101660"/>
        </a:xfrm>
        <a:custGeom xmlns:a="http://schemas.openxmlformats.org/drawingml/2006/main">
          <a:avLst/>
          <a:gdLst/>
          <a:ahLst/>
          <a:cxnLst/>
          <a:rect l="0" t="0" r="0" b="0"/>
          <a:pathLst>
            <a:path w="1126058" h="2101660">
              <a:moveTo>
                <a:pt x="12700" y="0"/>
              </a:moveTo>
              <a:lnTo>
                <a:pt x="1126057" y="0"/>
              </a:lnTo>
              <a:lnTo>
                <a:pt x="1126057" y="2101659"/>
              </a:lnTo>
              <a:lnTo>
                <a:pt x="0" y="2101659"/>
              </a:lnTo>
              <a:lnTo>
                <a:pt x="0" y="0"/>
              </a:lnTo>
            </a:path>
          </a:pathLst>
        </a:custGeom>
        <a:solidFill xmlns:a="http://schemas.openxmlformats.org/drawingml/2006/main">
          <a:srgbClr val="8F5E99">
            <a:alpha val="20000"/>
          </a:srgbClr>
        </a:solidFill>
        <a:ln xmlns:a="http://schemas.openxmlformats.org/drawingml/2006/main">
          <a:solidFill>
            <a:srgbClr val="0000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0.80228</cdr:x>
      <cdr:y>0.74485</cdr:y>
    </cdr:from>
    <cdr:to>
      <cdr:x>0.96587</cdr:x>
      <cdr:y>0.88243</cdr:y>
    </cdr:to>
    <cdr:sp macro="" textlink="">
      <cdr:nvSpPr>
        <cdr:cNvPr id="2" name="$I$123:$T$137|$B$350 1">
          <a:extLst xmlns:a="http://schemas.openxmlformats.org/drawingml/2006/main">
            <a:ext uri="{FF2B5EF4-FFF2-40B4-BE49-F238E27FC236}">
              <a16:creationId xmlns:a16="http://schemas.microsoft.com/office/drawing/2014/main" id="{261CD651-D658-41B2-AEEB-2ECBDF715A6E}"/>
            </a:ext>
          </a:extLst>
        </cdr:cNvPr>
        <cdr:cNvSpPr/>
      </cdr:nvSpPr>
      <cdr:spPr>
        <a:xfrm xmlns:a="http://schemas.openxmlformats.org/drawingml/2006/main">
          <a:off x="5522393" y="1891913"/>
          <a:ext cx="1126058" cy="349447"/>
        </a:xfrm>
        <a:custGeom xmlns:a="http://schemas.openxmlformats.org/drawingml/2006/main">
          <a:avLst/>
          <a:gdLst/>
          <a:ahLst/>
          <a:cxnLst/>
          <a:rect l="0" t="0" r="0" b="0"/>
          <a:pathLst>
            <a:path w="1126058" h="349447">
              <a:moveTo>
                <a:pt x="12700" y="250265"/>
              </a:moveTo>
              <a:lnTo>
                <a:pt x="80432" y="326901"/>
              </a:lnTo>
              <a:lnTo>
                <a:pt x="160865" y="349319"/>
              </a:lnTo>
              <a:lnTo>
                <a:pt x="241298" y="349446"/>
              </a:lnTo>
              <a:lnTo>
                <a:pt x="321731" y="339781"/>
              </a:lnTo>
              <a:lnTo>
                <a:pt x="402163" y="326209"/>
              </a:lnTo>
              <a:lnTo>
                <a:pt x="482596" y="311682"/>
              </a:lnTo>
              <a:lnTo>
                <a:pt x="563029" y="297682"/>
              </a:lnTo>
              <a:lnTo>
                <a:pt x="643461" y="284908"/>
              </a:lnTo>
              <a:lnTo>
                <a:pt x="723894" y="273628"/>
              </a:lnTo>
              <a:lnTo>
                <a:pt x="804326" y="263881"/>
              </a:lnTo>
              <a:lnTo>
                <a:pt x="884759" y="255583"/>
              </a:lnTo>
              <a:lnTo>
                <a:pt x="965192" y="248596"/>
              </a:lnTo>
              <a:lnTo>
                <a:pt x="1045625" y="242760"/>
              </a:lnTo>
              <a:lnTo>
                <a:pt x="1126057" y="237914"/>
              </a:lnTo>
              <a:lnTo>
                <a:pt x="1126057" y="0"/>
              </a:lnTo>
              <a:lnTo>
                <a:pt x="1045625" y="4958"/>
              </a:lnTo>
              <a:lnTo>
                <a:pt x="965192" y="10966"/>
              </a:lnTo>
              <a:lnTo>
                <a:pt x="884759" y="18213"/>
              </a:lnTo>
              <a:lnTo>
                <a:pt x="804326" y="26906"/>
              </a:lnTo>
              <a:lnTo>
                <a:pt x="723894" y="37255"/>
              </a:lnTo>
              <a:lnTo>
                <a:pt x="643461" y="49452"/>
              </a:lnTo>
              <a:lnTo>
                <a:pt x="563029" y="63625"/>
              </a:lnTo>
              <a:lnTo>
                <a:pt x="482596" y="79766"/>
              </a:lnTo>
              <a:lnTo>
                <a:pt x="402163" y="97584"/>
              </a:lnTo>
              <a:lnTo>
                <a:pt x="321731" y="116249"/>
              </a:lnTo>
              <a:lnTo>
                <a:pt x="241298" y="133877"/>
              </a:lnTo>
              <a:lnTo>
                <a:pt x="160865" y="146443"/>
              </a:lnTo>
              <a:lnTo>
                <a:pt x="80432" y="144991"/>
              </a:lnTo>
              <a:lnTo>
                <a:pt x="0" y="105911"/>
              </a:lnTo>
              <a:lnTo>
                <a:pt x="0" y="250265"/>
              </a:lnTo>
            </a:path>
          </a:pathLst>
        </a:custGeom>
        <a:solidFill xmlns:a="http://schemas.openxmlformats.org/drawingml/2006/main">
          <a:srgbClr val="FFA812">
            <a:alpha val="90000"/>
          </a:srgbClr>
        </a:solidFill>
        <a:ln xmlns:a="http://schemas.openxmlformats.org/drawingml/2006/main" w="635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6350" cap="flat" cmpd="sng" algn="ctr">
              <a:solidFill>
                <a:schemeClr val="accent1"/>
              </a:solidFill>
              <a:prstDash val="solid"/>
              <a:miter lim="800000"/>
            </a14:hiddenLine>
          </a:ext>
        </a:extLst>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0.80228</cdr:x>
      <cdr:y>0.69692</cdr:y>
    </cdr:from>
    <cdr:to>
      <cdr:x>0.96587</cdr:x>
      <cdr:y>0.8025</cdr:y>
    </cdr:to>
    <cdr:sp macro="" textlink="">
      <cdr:nvSpPr>
        <cdr:cNvPr id="3" name="$I$123:$T$137|$B$350 2">
          <a:extLst xmlns:a="http://schemas.openxmlformats.org/drawingml/2006/main">
            <a:ext uri="{FF2B5EF4-FFF2-40B4-BE49-F238E27FC236}">
              <a16:creationId xmlns:a16="http://schemas.microsoft.com/office/drawing/2014/main" id="{FA3389D5-49CB-4C66-8DC1-87D7252BD604}"/>
            </a:ext>
          </a:extLst>
        </cdr:cNvPr>
        <cdr:cNvSpPr/>
      </cdr:nvSpPr>
      <cdr:spPr>
        <a:xfrm xmlns:a="http://schemas.openxmlformats.org/drawingml/2006/main">
          <a:off x="5522393" y="1770184"/>
          <a:ext cx="1126058" cy="268173"/>
        </a:xfrm>
        <a:custGeom xmlns:a="http://schemas.openxmlformats.org/drawingml/2006/main">
          <a:avLst/>
          <a:gdLst/>
          <a:ahLst/>
          <a:cxnLst/>
          <a:rect l="0" t="0" r="0" b="0"/>
          <a:pathLst>
            <a:path w="1126058" h="268173">
              <a:moveTo>
                <a:pt x="12700" y="227640"/>
              </a:moveTo>
              <a:lnTo>
                <a:pt x="80432" y="266720"/>
              </a:lnTo>
              <a:lnTo>
                <a:pt x="160865" y="268172"/>
              </a:lnTo>
              <a:lnTo>
                <a:pt x="241298" y="255606"/>
              </a:lnTo>
              <a:lnTo>
                <a:pt x="321731" y="237978"/>
              </a:lnTo>
              <a:lnTo>
                <a:pt x="402163" y="219313"/>
              </a:lnTo>
              <a:lnTo>
                <a:pt x="482596" y="201495"/>
              </a:lnTo>
              <a:lnTo>
                <a:pt x="563029" y="185354"/>
              </a:lnTo>
              <a:lnTo>
                <a:pt x="643461" y="171181"/>
              </a:lnTo>
              <a:lnTo>
                <a:pt x="723894" y="158984"/>
              </a:lnTo>
              <a:lnTo>
                <a:pt x="804326" y="148635"/>
              </a:lnTo>
              <a:lnTo>
                <a:pt x="884759" y="139942"/>
              </a:lnTo>
              <a:lnTo>
                <a:pt x="965192" y="132695"/>
              </a:lnTo>
              <a:lnTo>
                <a:pt x="1045625" y="126687"/>
              </a:lnTo>
              <a:lnTo>
                <a:pt x="1126057" y="121729"/>
              </a:lnTo>
              <a:lnTo>
                <a:pt x="1126057" y="0"/>
              </a:lnTo>
              <a:lnTo>
                <a:pt x="1045625" y="5015"/>
              </a:lnTo>
              <a:lnTo>
                <a:pt x="965192" y="11110"/>
              </a:lnTo>
              <a:lnTo>
                <a:pt x="884759" y="18490"/>
              </a:lnTo>
              <a:lnTo>
                <a:pt x="804326" y="27386"/>
              </a:lnTo>
              <a:lnTo>
                <a:pt x="723894" y="38042"/>
              </a:lnTo>
              <a:lnTo>
                <a:pt x="643461" y="50708"/>
              </a:lnTo>
              <a:lnTo>
                <a:pt x="563029" y="65598"/>
              </a:lnTo>
              <a:lnTo>
                <a:pt x="482596" y="82835"/>
              </a:lnTo>
              <a:lnTo>
                <a:pt x="402163" y="102337"/>
              </a:lnTo>
              <a:lnTo>
                <a:pt x="321731" y="123606"/>
              </a:lnTo>
              <a:lnTo>
                <a:pt x="241298" y="145310"/>
              </a:lnTo>
              <a:lnTo>
                <a:pt x="160865" y="164370"/>
              </a:lnTo>
              <a:lnTo>
                <a:pt x="80432" y="173645"/>
              </a:lnTo>
              <a:lnTo>
                <a:pt x="0" y="153781"/>
              </a:lnTo>
              <a:lnTo>
                <a:pt x="0" y="227640"/>
              </a:lnTo>
            </a:path>
          </a:pathLst>
        </a:custGeom>
        <a:solidFill xmlns:a="http://schemas.openxmlformats.org/drawingml/2006/main">
          <a:srgbClr val="E9992D">
            <a:alpha val="92000"/>
          </a:srgbClr>
        </a:solidFill>
        <a:ln xmlns:a="http://schemas.openxmlformats.org/drawingml/2006/main" w="635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6350" cap="flat" cmpd="sng" algn="ctr">
              <a:solidFill>
                <a:schemeClr val="accent1"/>
              </a:solidFill>
              <a:prstDash val="solid"/>
              <a:miter lim="800000"/>
            </a14:hiddenLine>
          </a:ext>
        </a:extLst>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0.80228</cdr:x>
      <cdr:y>0.64167</cdr:y>
    </cdr:from>
    <cdr:to>
      <cdr:x>0.96587</cdr:x>
      <cdr:y>0.76529</cdr:y>
    </cdr:to>
    <cdr:sp macro="" textlink="">
      <cdr:nvSpPr>
        <cdr:cNvPr id="4" name="$I$123:$T$137|$B$350 3">
          <a:extLst xmlns:a="http://schemas.openxmlformats.org/drawingml/2006/main">
            <a:ext uri="{FF2B5EF4-FFF2-40B4-BE49-F238E27FC236}">
              <a16:creationId xmlns:a16="http://schemas.microsoft.com/office/drawing/2014/main" id="{CFDCF577-C355-4902-9B16-29D79730D7F0}"/>
            </a:ext>
          </a:extLst>
        </cdr:cNvPr>
        <cdr:cNvSpPr/>
      </cdr:nvSpPr>
      <cdr:spPr>
        <a:xfrm xmlns:a="http://schemas.openxmlformats.org/drawingml/2006/main">
          <a:off x="5522393" y="1629837"/>
          <a:ext cx="1126058" cy="313993"/>
        </a:xfrm>
        <a:custGeom xmlns:a="http://schemas.openxmlformats.org/drawingml/2006/main">
          <a:avLst/>
          <a:gdLst/>
          <a:ahLst/>
          <a:cxnLst/>
          <a:rect l="0" t="0" r="0" b="0"/>
          <a:pathLst>
            <a:path w="1126058" h="313993">
              <a:moveTo>
                <a:pt x="12700" y="294128"/>
              </a:moveTo>
              <a:lnTo>
                <a:pt x="80432" y="313992"/>
              </a:lnTo>
              <a:lnTo>
                <a:pt x="160865" y="304717"/>
              </a:lnTo>
              <a:lnTo>
                <a:pt x="241298" y="285657"/>
              </a:lnTo>
              <a:lnTo>
                <a:pt x="321731" y="263953"/>
              </a:lnTo>
              <a:lnTo>
                <a:pt x="402163" y="242684"/>
              </a:lnTo>
              <a:lnTo>
                <a:pt x="482596" y="223182"/>
              </a:lnTo>
              <a:lnTo>
                <a:pt x="563029" y="205945"/>
              </a:lnTo>
              <a:lnTo>
                <a:pt x="643461" y="191055"/>
              </a:lnTo>
              <a:lnTo>
                <a:pt x="723894" y="178389"/>
              </a:lnTo>
              <a:lnTo>
                <a:pt x="804326" y="167733"/>
              </a:lnTo>
              <a:lnTo>
                <a:pt x="884759" y="158837"/>
              </a:lnTo>
              <a:lnTo>
                <a:pt x="965192" y="151457"/>
              </a:lnTo>
              <a:lnTo>
                <a:pt x="1045625" y="145362"/>
              </a:lnTo>
              <a:lnTo>
                <a:pt x="1126057" y="140347"/>
              </a:lnTo>
              <a:lnTo>
                <a:pt x="1126057" y="0"/>
              </a:lnTo>
              <a:lnTo>
                <a:pt x="1045625" y="5082"/>
              </a:lnTo>
              <a:lnTo>
                <a:pt x="965192" y="11278"/>
              </a:lnTo>
              <a:lnTo>
                <a:pt x="884759" y="18811"/>
              </a:lnTo>
              <a:lnTo>
                <a:pt x="804326" y="27940"/>
              </a:lnTo>
              <a:lnTo>
                <a:pt x="723894" y="38952"/>
              </a:lnTo>
              <a:lnTo>
                <a:pt x="643461" y="52158"/>
              </a:lnTo>
              <a:lnTo>
                <a:pt x="563029" y="67873"/>
              </a:lnTo>
              <a:lnTo>
                <a:pt x="482596" y="86374"/>
              </a:lnTo>
              <a:lnTo>
                <a:pt x="402163" y="107817"/>
              </a:lnTo>
              <a:lnTo>
                <a:pt x="321731" y="132090"/>
              </a:lnTo>
              <a:lnTo>
                <a:pt x="241298" y="158492"/>
              </a:lnTo>
              <a:lnTo>
                <a:pt x="160865" y="185040"/>
              </a:lnTo>
              <a:lnTo>
                <a:pt x="80432" y="206683"/>
              </a:lnTo>
              <a:lnTo>
                <a:pt x="0" y="208974"/>
              </a:lnTo>
              <a:lnTo>
                <a:pt x="0" y="294128"/>
              </a:lnTo>
            </a:path>
          </a:pathLst>
        </a:custGeom>
        <a:solidFill xmlns:a="http://schemas.openxmlformats.org/drawingml/2006/main">
          <a:srgbClr val="D28A48">
            <a:alpha val="94000"/>
          </a:srgbClr>
        </a:solidFill>
        <a:ln xmlns:a="http://schemas.openxmlformats.org/drawingml/2006/main" w="635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6350" cap="flat" cmpd="sng" algn="ctr">
              <a:solidFill>
                <a:schemeClr val="accent1"/>
              </a:solidFill>
              <a:prstDash val="solid"/>
              <a:miter lim="800000"/>
            </a14:hiddenLine>
          </a:ext>
        </a:extLst>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0.80228</cdr:x>
      <cdr:y>0.57476</cdr:y>
    </cdr:from>
    <cdr:to>
      <cdr:x>0.96587</cdr:x>
      <cdr:y>0.72394</cdr:y>
    </cdr:to>
    <cdr:sp macro="" textlink="">
      <cdr:nvSpPr>
        <cdr:cNvPr id="5" name="$I$123:$T$137|$B$350 4">
          <a:extLst xmlns:a="http://schemas.openxmlformats.org/drawingml/2006/main">
            <a:ext uri="{FF2B5EF4-FFF2-40B4-BE49-F238E27FC236}">
              <a16:creationId xmlns:a16="http://schemas.microsoft.com/office/drawing/2014/main" id="{C7741A36-4292-422E-BF4B-F6525FEC79BB}"/>
            </a:ext>
          </a:extLst>
        </cdr:cNvPr>
        <cdr:cNvSpPr/>
      </cdr:nvSpPr>
      <cdr:spPr>
        <a:xfrm xmlns:a="http://schemas.openxmlformats.org/drawingml/2006/main">
          <a:off x="5522393" y="1459889"/>
          <a:ext cx="1126058" cy="378923"/>
        </a:xfrm>
        <a:custGeom xmlns:a="http://schemas.openxmlformats.org/drawingml/2006/main">
          <a:avLst/>
          <a:gdLst/>
          <a:ahLst/>
          <a:cxnLst/>
          <a:rect l="0" t="0" r="0" b="0"/>
          <a:pathLst>
            <a:path w="1126058" h="378923">
              <a:moveTo>
                <a:pt x="12700" y="378922"/>
              </a:moveTo>
              <a:lnTo>
                <a:pt x="80432" y="376631"/>
              </a:lnTo>
              <a:lnTo>
                <a:pt x="160865" y="354988"/>
              </a:lnTo>
              <a:lnTo>
                <a:pt x="241298" y="328440"/>
              </a:lnTo>
              <a:lnTo>
                <a:pt x="321731" y="302038"/>
              </a:lnTo>
              <a:lnTo>
                <a:pt x="402163" y="277765"/>
              </a:lnTo>
              <a:lnTo>
                <a:pt x="482596" y="256322"/>
              </a:lnTo>
              <a:lnTo>
                <a:pt x="563029" y="237821"/>
              </a:lnTo>
              <a:lnTo>
                <a:pt x="643461" y="222106"/>
              </a:lnTo>
              <a:lnTo>
                <a:pt x="723894" y="208900"/>
              </a:lnTo>
              <a:lnTo>
                <a:pt x="804326" y="197888"/>
              </a:lnTo>
              <a:lnTo>
                <a:pt x="884759" y="188759"/>
              </a:lnTo>
              <a:lnTo>
                <a:pt x="965192" y="181226"/>
              </a:lnTo>
              <a:lnTo>
                <a:pt x="1045625" y="175030"/>
              </a:lnTo>
              <a:lnTo>
                <a:pt x="1126057" y="169948"/>
              </a:lnTo>
              <a:lnTo>
                <a:pt x="1126057" y="0"/>
              </a:lnTo>
              <a:lnTo>
                <a:pt x="1045625" y="5162"/>
              </a:lnTo>
              <a:lnTo>
                <a:pt x="965192" y="11480"/>
              </a:lnTo>
              <a:lnTo>
                <a:pt x="884759" y="19199"/>
              </a:lnTo>
              <a:lnTo>
                <a:pt x="804326" y="28610"/>
              </a:lnTo>
              <a:lnTo>
                <a:pt x="723894" y="40051"/>
              </a:lnTo>
              <a:lnTo>
                <a:pt x="643461" y="53913"/>
              </a:lnTo>
              <a:lnTo>
                <a:pt x="563029" y="70628"/>
              </a:lnTo>
              <a:lnTo>
                <a:pt x="482596" y="90658"/>
              </a:lnTo>
              <a:lnTo>
                <a:pt x="402163" y="114452"/>
              </a:lnTo>
              <a:lnTo>
                <a:pt x="321731" y="142363"/>
              </a:lnTo>
              <a:lnTo>
                <a:pt x="241298" y="174453"/>
              </a:lnTo>
              <a:lnTo>
                <a:pt x="160865" y="210068"/>
              </a:lnTo>
              <a:lnTo>
                <a:pt x="80432" y="246687"/>
              </a:lnTo>
              <a:lnTo>
                <a:pt x="0" y="275806"/>
              </a:lnTo>
              <a:lnTo>
                <a:pt x="0" y="378922"/>
              </a:lnTo>
            </a:path>
          </a:pathLst>
        </a:custGeom>
        <a:solidFill xmlns:a="http://schemas.openxmlformats.org/drawingml/2006/main">
          <a:srgbClr val="BC7C63">
            <a:alpha val="96000"/>
          </a:srgbClr>
        </a:solidFill>
        <a:ln xmlns:a="http://schemas.openxmlformats.org/drawingml/2006/main" w="635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6350" cap="flat" cmpd="sng" algn="ctr">
              <a:solidFill>
                <a:schemeClr val="accent1"/>
              </a:solidFill>
              <a:prstDash val="solid"/>
              <a:miter lim="800000"/>
            </a14:hiddenLine>
          </a:ext>
        </a:extLst>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0.80228</cdr:x>
      <cdr:y>0.48529</cdr:y>
    </cdr:from>
    <cdr:to>
      <cdr:x>0.96587</cdr:x>
      <cdr:y>0.68334</cdr:y>
    </cdr:to>
    <cdr:sp macro="" textlink="">
      <cdr:nvSpPr>
        <cdr:cNvPr id="6" name="$I$123:$T$137|$B$350 5">
          <a:extLst xmlns:a="http://schemas.openxmlformats.org/drawingml/2006/main">
            <a:ext uri="{FF2B5EF4-FFF2-40B4-BE49-F238E27FC236}">
              <a16:creationId xmlns:a16="http://schemas.microsoft.com/office/drawing/2014/main" id="{690BEEF3-9A7D-4FAC-8181-48FF1A52902D}"/>
            </a:ext>
          </a:extLst>
        </cdr:cNvPr>
        <cdr:cNvSpPr/>
      </cdr:nvSpPr>
      <cdr:spPr>
        <a:xfrm xmlns:a="http://schemas.openxmlformats.org/drawingml/2006/main">
          <a:off x="5522393" y="1232634"/>
          <a:ext cx="1126058" cy="503062"/>
        </a:xfrm>
        <a:custGeom xmlns:a="http://schemas.openxmlformats.org/drawingml/2006/main">
          <a:avLst/>
          <a:gdLst/>
          <a:ahLst/>
          <a:cxnLst/>
          <a:rect l="0" t="0" r="0" b="0"/>
          <a:pathLst>
            <a:path w="1126058" h="503062">
              <a:moveTo>
                <a:pt x="12700" y="503061"/>
              </a:moveTo>
              <a:lnTo>
                <a:pt x="80432" y="473942"/>
              </a:lnTo>
              <a:lnTo>
                <a:pt x="160865" y="437323"/>
              </a:lnTo>
              <a:lnTo>
                <a:pt x="241298" y="401708"/>
              </a:lnTo>
              <a:lnTo>
                <a:pt x="321731" y="369618"/>
              </a:lnTo>
              <a:lnTo>
                <a:pt x="402163" y="341707"/>
              </a:lnTo>
              <a:lnTo>
                <a:pt x="482596" y="317913"/>
              </a:lnTo>
              <a:lnTo>
                <a:pt x="563029" y="297883"/>
              </a:lnTo>
              <a:lnTo>
                <a:pt x="643461" y="281168"/>
              </a:lnTo>
              <a:lnTo>
                <a:pt x="723894" y="267306"/>
              </a:lnTo>
              <a:lnTo>
                <a:pt x="804326" y="255865"/>
              </a:lnTo>
              <a:lnTo>
                <a:pt x="884759" y="246454"/>
              </a:lnTo>
              <a:lnTo>
                <a:pt x="965192" y="238735"/>
              </a:lnTo>
              <a:lnTo>
                <a:pt x="1045625" y="232417"/>
              </a:lnTo>
              <a:lnTo>
                <a:pt x="1126057" y="227255"/>
              </a:lnTo>
              <a:lnTo>
                <a:pt x="1126057" y="0"/>
              </a:lnTo>
              <a:lnTo>
                <a:pt x="1045625" y="5269"/>
              </a:lnTo>
              <a:lnTo>
                <a:pt x="965192" y="11751"/>
              </a:lnTo>
              <a:lnTo>
                <a:pt x="884759" y="19718"/>
              </a:lnTo>
              <a:lnTo>
                <a:pt x="804326" y="29506"/>
              </a:lnTo>
              <a:lnTo>
                <a:pt x="723894" y="41523"/>
              </a:lnTo>
              <a:lnTo>
                <a:pt x="643461" y="56260"/>
              </a:lnTo>
              <a:lnTo>
                <a:pt x="563029" y="74311"/>
              </a:lnTo>
              <a:lnTo>
                <a:pt x="482596" y="96387"/>
              </a:lnTo>
              <a:lnTo>
                <a:pt x="402163" y="123326"/>
              </a:lnTo>
              <a:lnTo>
                <a:pt x="321731" y="156100"/>
              </a:lnTo>
              <a:lnTo>
                <a:pt x="241298" y="195797"/>
              </a:lnTo>
              <a:lnTo>
                <a:pt x="160865" y="243536"/>
              </a:lnTo>
              <a:lnTo>
                <a:pt x="80432" y="300182"/>
              </a:lnTo>
              <a:lnTo>
                <a:pt x="0" y="365174"/>
              </a:lnTo>
              <a:lnTo>
                <a:pt x="0" y="503061"/>
              </a:lnTo>
            </a:path>
          </a:pathLst>
        </a:custGeom>
        <a:solidFill xmlns:a="http://schemas.openxmlformats.org/drawingml/2006/main">
          <a:srgbClr val="A56D7E">
            <a:alpha val="98000"/>
          </a:srgbClr>
        </a:solidFill>
        <a:ln xmlns:a="http://schemas.openxmlformats.org/drawingml/2006/main" w="635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6350" cap="flat" cmpd="sng" algn="ctr">
              <a:solidFill>
                <a:schemeClr val="accent1"/>
              </a:solidFill>
              <a:prstDash val="solid"/>
              <a:miter lim="800000"/>
            </a14:hiddenLine>
          </a:ext>
        </a:extLst>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0.80228</cdr:x>
      <cdr:y>0.40823</cdr:y>
    </cdr:from>
    <cdr:to>
      <cdr:x>0.96587</cdr:x>
      <cdr:y>0.62906</cdr:y>
    </cdr:to>
    <cdr:sp macro="" textlink="">
      <cdr:nvSpPr>
        <cdr:cNvPr id="7" name="$I$123:$T$137|$B$350 6">
          <a:extLst xmlns:a="http://schemas.openxmlformats.org/drawingml/2006/main">
            <a:ext uri="{FF2B5EF4-FFF2-40B4-BE49-F238E27FC236}">
              <a16:creationId xmlns:a16="http://schemas.microsoft.com/office/drawing/2014/main" id="{F95F3081-36E5-4071-99C1-D2C623E49CE5}"/>
            </a:ext>
          </a:extLst>
        </cdr:cNvPr>
        <cdr:cNvSpPr/>
      </cdr:nvSpPr>
      <cdr:spPr>
        <a:xfrm xmlns:a="http://schemas.openxmlformats.org/drawingml/2006/main">
          <a:off x="5522393" y="1036894"/>
          <a:ext cx="1126058" cy="560915"/>
        </a:xfrm>
        <a:custGeom xmlns:a="http://schemas.openxmlformats.org/drawingml/2006/main">
          <a:avLst/>
          <a:gdLst/>
          <a:ahLst/>
          <a:cxnLst/>
          <a:rect l="0" t="0" r="0" b="0"/>
          <a:pathLst>
            <a:path w="1126058" h="560915">
              <a:moveTo>
                <a:pt x="12700" y="560914"/>
              </a:moveTo>
              <a:lnTo>
                <a:pt x="80432" y="495922"/>
              </a:lnTo>
              <a:lnTo>
                <a:pt x="160865" y="439276"/>
              </a:lnTo>
              <a:lnTo>
                <a:pt x="241298" y="391537"/>
              </a:lnTo>
              <a:lnTo>
                <a:pt x="321731" y="351840"/>
              </a:lnTo>
              <a:lnTo>
                <a:pt x="402163" y="319066"/>
              </a:lnTo>
              <a:lnTo>
                <a:pt x="482596" y="292127"/>
              </a:lnTo>
              <a:lnTo>
                <a:pt x="563029" y="270051"/>
              </a:lnTo>
              <a:lnTo>
                <a:pt x="643461" y="252000"/>
              </a:lnTo>
              <a:lnTo>
                <a:pt x="723894" y="237263"/>
              </a:lnTo>
              <a:lnTo>
                <a:pt x="804326" y="225246"/>
              </a:lnTo>
              <a:lnTo>
                <a:pt x="884759" y="215458"/>
              </a:lnTo>
              <a:lnTo>
                <a:pt x="965192" y="207491"/>
              </a:lnTo>
              <a:lnTo>
                <a:pt x="1045625" y="201009"/>
              </a:lnTo>
              <a:lnTo>
                <a:pt x="1126057" y="195740"/>
              </a:lnTo>
              <a:lnTo>
                <a:pt x="1126057" y="0"/>
              </a:lnTo>
              <a:lnTo>
                <a:pt x="1045625" y="5362"/>
              </a:lnTo>
              <a:lnTo>
                <a:pt x="965192" y="11984"/>
              </a:lnTo>
              <a:lnTo>
                <a:pt x="884759" y="20165"/>
              </a:lnTo>
              <a:lnTo>
                <a:pt x="804326" y="30278"/>
              </a:lnTo>
              <a:lnTo>
                <a:pt x="723894" y="42790"/>
              </a:lnTo>
              <a:lnTo>
                <a:pt x="643461" y="58281"/>
              </a:lnTo>
              <a:lnTo>
                <a:pt x="563029" y="77484"/>
              </a:lnTo>
              <a:lnTo>
                <a:pt x="482596" y="101322"/>
              </a:lnTo>
              <a:lnTo>
                <a:pt x="402163" y="130968"/>
              </a:lnTo>
              <a:lnTo>
                <a:pt x="321731" y="167932"/>
              </a:lnTo>
              <a:lnTo>
                <a:pt x="241298" y="214181"/>
              </a:lnTo>
              <a:lnTo>
                <a:pt x="160865" y="272363"/>
              </a:lnTo>
              <a:lnTo>
                <a:pt x="80432" y="346259"/>
              </a:lnTo>
              <a:lnTo>
                <a:pt x="0" y="442150"/>
              </a:lnTo>
              <a:lnTo>
                <a:pt x="0" y="560914"/>
              </a:lnTo>
            </a:path>
          </a:pathLst>
        </a:custGeom>
        <a:solidFill xmlns:a="http://schemas.openxmlformats.org/drawingml/2006/main">
          <a:srgbClr val="8F5E99"/>
        </a:solidFill>
        <a:ln xmlns:a="http://schemas.openxmlformats.org/drawingml/2006/main" w="635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6350" cap="flat" cmpd="sng" algn="ctr">
              <a:solidFill>
                <a:schemeClr val="accent1"/>
              </a:solidFill>
              <a:prstDash val="solid"/>
              <a:miter lim="800000"/>
            </a14:hiddenLine>
          </a:ext>
        </a:extLst>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0.80228</cdr:x>
      <cdr:y>0.31876</cdr:y>
    </cdr:from>
    <cdr:to>
      <cdr:x>0.96587</cdr:x>
      <cdr:y>0.5823</cdr:y>
    </cdr:to>
    <cdr:sp macro="" textlink="">
      <cdr:nvSpPr>
        <cdr:cNvPr id="8" name="$I$123:$T$137|$B$350 7">
          <a:extLst xmlns:a="http://schemas.openxmlformats.org/drawingml/2006/main">
            <a:ext uri="{FF2B5EF4-FFF2-40B4-BE49-F238E27FC236}">
              <a16:creationId xmlns:a16="http://schemas.microsoft.com/office/drawing/2014/main" id="{F84961A2-6554-42B1-9B10-D45EBBEA9B54}"/>
            </a:ext>
          </a:extLst>
        </cdr:cNvPr>
        <cdr:cNvSpPr/>
      </cdr:nvSpPr>
      <cdr:spPr>
        <a:xfrm xmlns:a="http://schemas.openxmlformats.org/drawingml/2006/main">
          <a:off x="5522393" y="809639"/>
          <a:ext cx="1126058" cy="669406"/>
        </a:xfrm>
        <a:custGeom xmlns:a="http://schemas.openxmlformats.org/drawingml/2006/main">
          <a:avLst/>
          <a:gdLst/>
          <a:ahLst/>
          <a:cxnLst/>
          <a:rect l="0" t="0" r="0" b="0"/>
          <a:pathLst>
            <a:path w="1126058" h="669406">
              <a:moveTo>
                <a:pt x="12700" y="669405"/>
              </a:moveTo>
              <a:lnTo>
                <a:pt x="80432" y="573514"/>
              </a:lnTo>
              <a:lnTo>
                <a:pt x="160865" y="499618"/>
              </a:lnTo>
              <a:lnTo>
                <a:pt x="241298" y="441436"/>
              </a:lnTo>
              <a:lnTo>
                <a:pt x="321731" y="395187"/>
              </a:lnTo>
              <a:lnTo>
                <a:pt x="402163" y="358223"/>
              </a:lnTo>
              <a:lnTo>
                <a:pt x="482596" y="328577"/>
              </a:lnTo>
              <a:lnTo>
                <a:pt x="563029" y="304739"/>
              </a:lnTo>
              <a:lnTo>
                <a:pt x="643461" y="285536"/>
              </a:lnTo>
              <a:lnTo>
                <a:pt x="723894" y="270045"/>
              </a:lnTo>
              <a:lnTo>
                <a:pt x="804326" y="257533"/>
              </a:lnTo>
              <a:lnTo>
                <a:pt x="884759" y="247420"/>
              </a:lnTo>
              <a:lnTo>
                <a:pt x="965192" y="239239"/>
              </a:lnTo>
              <a:lnTo>
                <a:pt x="1045625" y="232617"/>
              </a:lnTo>
              <a:lnTo>
                <a:pt x="1126057" y="227255"/>
              </a:lnTo>
              <a:lnTo>
                <a:pt x="1126057" y="0"/>
              </a:lnTo>
              <a:lnTo>
                <a:pt x="1045625" y="5469"/>
              </a:lnTo>
              <a:lnTo>
                <a:pt x="965192" y="12254"/>
              </a:lnTo>
              <a:lnTo>
                <a:pt x="884759" y="20684"/>
              </a:lnTo>
              <a:lnTo>
                <a:pt x="804326" y="31175"/>
              </a:lnTo>
              <a:lnTo>
                <a:pt x="723894" y="44261"/>
              </a:lnTo>
              <a:lnTo>
                <a:pt x="643461" y="60628"/>
              </a:lnTo>
              <a:lnTo>
                <a:pt x="563029" y="81168"/>
              </a:lnTo>
              <a:lnTo>
                <a:pt x="482596" y="107051"/>
              </a:lnTo>
              <a:lnTo>
                <a:pt x="402163" y="139842"/>
              </a:lnTo>
              <a:lnTo>
                <a:pt x="321731" y="181669"/>
              </a:lnTo>
              <a:lnTo>
                <a:pt x="241298" y="235525"/>
              </a:lnTo>
              <a:lnTo>
                <a:pt x="160865" y="305832"/>
              </a:lnTo>
              <a:lnTo>
                <a:pt x="80432" y="399754"/>
              </a:lnTo>
              <a:lnTo>
                <a:pt x="0" y="531519"/>
              </a:lnTo>
              <a:lnTo>
                <a:pt x="0" y="669405"/>
              </a:lnTo>
            </a:path>
          </a:pathLst>
        </a:custGeom>
        <a:solidFill xmlns:a="http://schemas.openxmlformats.org/drawingml/2006/main">
          <a:srgbClr val="A56D7E">
            <a:alpha val="98000"/>
          </a:srgbClr>
        </a:solidFill>
        <a:ln xmlns:a="http://schemas.openxmlformats.org/drawingml/2006/main" w="635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6350" cap="flat" cmpd="sng" algn="ctr">
              <a:solidFill>
                <a:schemeClr val="accent1"/>
              </a:solidFill>
              <a:prstDash val="solid"/>
              <a:miter lim="800000"/>
            </a14:hiddenLine>
          </a:ext>
        </a:extLst>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0.80228</cdr:x>
      <cdr:y>0.25185</cdr:y>
    </cdr:from>
    <cdr:to>
      <cdr:x>0.96587</cdr:x>
      <cdr:y>0.52802</cdr:y>
    </cdr:to>
    <cdr:sp macro="" textlink="">
      <cdr:nvSpPr>
        <cdr:cNvPr id="9" name="$I$123:$T$137|$B$350 8">
          <a:extLst xmlns:a="http://schemas.openxmlformats.org/drawingml/2006/main">
            <a:ext uri="{FF2B5EF4-FFF2-40B4-BE49-F238E27FC236}">
              <a16:creationId xmlns:a16="http://schemas.microsoft.com/office/drawing/2014/main" id="{53A02BDB-4B02-4781-BB4B-2A877437DA7D}"/>
            </a:ext>
          </a:extLst>
        </cdr:cNvPr>
        <cdr:cNvSpPr/>
      </cdr:nvSpPr>
      <cdr:spPr>
        <a:xfrm xmlns:a="http://schemas.openxmlformats.org/drawingml/2006/main">
          <a:off x="5522393" y="639690"/>
          <a:ext cx="1126058" cy="701469"/>
        </a:xfrm>
        <a:custGeom xmlns:a="http://schemas.openxmlformats.org/drawingml/2006/main">
          <a:avLst/>
          <a:gdLst/>
          <a:ahLst/>
          <a:cxnLst/>
          <a:rect l="0" t="0" r="0" b="0"/>
          <a:pathLst>
            <a:path w="1126058" h="701469">
              <a:moveTo>
                <a:pt x="12700" y="701468"/>
              </a:moveTo>
              <a:lnTo>
                <a:pt x="80432" y="569703"/>
              </a:lnTo>
              <a:lnTo>
                <a:pt x="160865" y="475781"/>
              </a:lnTo>
              <a:lnTo>
                <a:pt x="241298" y="405474"/>
              </a:lnTo>
              <a:lnTo>
                <a:pt x="321731" y="351618"/>
              </a:lnTo>
              <a:lnTo>
                <a:pt x="402163" y="309791"/>
              </a:lnTo>
              <a:lnTo>
                <a:pt x="482596" y="277000"/>
              </a:lnTo>
              <a:lnTo>
                <a:pt x="563029" y="251117"/>
              </a:lnTo>
              <a:lnTo>
                <a:pt x="643461" y="230577"/>
              </a:lnTo>
              <a:lnTo>
                <a:pt x="723894" y="214210"/>
              </a:lnTo>
              <a:lnTo>
                <a:pt x="804326" y="201124"/>
              </a:lnTo>
              <a:lnTo>
                <a:pt x="884759" y="190633"/>
              </a:lnTo>
              <a:lnTo>
                <a:pt x="965192" y="182203"/>
              </a:lnTo>
              <a:lnTo>
                <a:pt x="1045625" y="175418"/>
              </a:lnTo>
              <a:lnTo>
                <a:pt x="1126057" y="169949"/>
              </a:lnTo>
              <a:lnTo>
                <a:pt x="1126057" y="0"/>
              </a:lnTo>
              <a:lnTo>
                <a:pt x="1045625" y="5550"/>
              </a:lnTo>
              <a:lnTo>
                <a:pt x="965192" y="12457"/>
              </a:lnTo>
              <a:lnTo>
                <a:pt x="884759" y="21072"/>
              </a:lnTo>
              <a:lnTo>
                <a:pt x="804326" y="31846"/>
              </a:lnTo>
              <a:lnTo>
                <a:pt x="723894" y="45362"/>
              </a:lnTo>
              <a:lnTo>
                <a:pt x="643461" y="62384"/>
              </a:lnTo>
              <a:lnTo>
                <a:pt x="563029" y="83923"/>
              </a:lnTo>
              <a:lnTo>
                <a:pt x="482596" y="111336"/>
              </a:lnTo>
              <a:lnTo>
                <a:pt x="402163" y="146478"/>
              </a:lnTo>
              <a:lnTo>
                <a:pt x="321731" y="191942"/>
              </a:lnTo>
              <a:lnTo>
                <a:pt x="241298" y="251487"/>
              </a:lnTo>
              <a:lnTo>
                <a:pt x="160865" y="330861"/>
              </a:lnTo>
              <a:lnTo>
                <a:pt x="80432" y="439759"/>
              </a:lnTo>
              <a:lnTo>
                <a:pt x="0" y="598352"/>
              </a:lnTo>
              <a:lnTo>
                <a:pt x="0" y="701468"/>
              </a:lnTo>
            </a:path>
          </a:pathLst>
        </a:custGeom>
        <a:solidFill xmlns:a="http://schemas.openxmlformats.org/drawingml/2006/main">
          <a:srgbClr val="BC7C63">
            <a:alpha val="96000"/>
          </a:srgbClr>
        </a:solidFill>
        <a:ln xmlns:a="http://schemas.openxmlformats.org/drawingml/2006/main" w="635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6350" cap="flat" cmpd="sng" algn="ctr">
              <a:solidFill>
                <a:schemeClr val="accent1"/>
              </a:solidFill>
              <a:prstDash val="solid"/>
              <a:miter lim="800000"/>
            </a14:hiddenLine>
          </a:ext>
        </a:extLst>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0.80228</cdr:x>
      <cdr:y>0.19659</cdr:y>
    </cdr:from>
    <cdr:to>
      <cdr:x>0.96587</cdr:x>
      <cdr:y>0.48742</cdr:y>
    </cdr:to>
    <cdr:sp macro="" textlink="">
      <cdr:nvSpPr>
        <cdr:cNvPr id="10" name="$I$123:$T$137|$B$350 9">
          <a:extLst xmlns:a="http://schemas.openxmlformats.org/drawingml/2006/main">
            <a:ext uri="{FF2B5EF4-FFF2-40B4-BE49-F238E27FC236}">
              <a16:creationId xmlns:a16="http://schemas.microsoft.com/office/drawing/2014/main" id="{260F1531-ADAE-42B0-8910-870059D7917A}"/>
            </a:ext>
          </a:extLst>
        </cdr:cNvPr>
        <cdr:cNvSpPr/>
      </cdr:nvSpPr>
      <cdr:spPr>
        <a:xfrm xmlns:a="http://schemas.openxmlformats.org/drawingml/2006/main">
          <a:off x="5522393" y="499343"/>
          <a:ext cx="1126058" cy="738700"/>
        </a:xfrm>
        <a:custGeom xmlns:a="http://schemas.openxmlformats.org/drawingml/2006/main">
          <a:avLst/>
          <a:gdLst/>
          <a:ahLst/>
          <a:cxnLst/>
          <a:rect l="0" t="0" r="0" b="0"/>
          <a:pathLst>
            <a:path w="1126058" h="738700">
              <a:moveTo>
                <a:pt x="12700" y="738699"/>
              </a:moveTo>
              <a:lnTo>
                <a:pt x="80432" y="580106"/>
              </a:lnTo>
              <a:lnTo>
                <a:pt x="160865" y="471208"/>
              </a:lnTo>
              <a:lnTo>
                <a:pt x="241298" y="391834"/>
              </a:lnTo>
              <a:lnTo>
                <a:pt x="321731" y="332289"/>
              </a:lnTo>
              <a:lnTo>
                <a:pt x="402163" y="286825"/>
              </a:lnTo>
              <a:lnTo>
                <a:pt x="482596" y="251683"/>
              </a:lnTo>
              <a:lnTo>
                <a:pt x="563029" y="224270"/>
              </a:lnTo>
              <a:lnTo>
                <a:pt x="643461" y="202731"/>
              </a:lnTo>
              <a:lnTo>
                <a:pt x="723894" y="185709"/>
              </a:lnTo>
              <a:lnTo>
                <a:pt x="804326" y="172193"/>
              </a:lnTo>
              <a:lnTo>
                <a:pt x="884759" y="161419"/>
              </a:lnTo>
              <a:lnTo>
                <a:pt x="965192" y="152804"/>
              </a:lnTo>
              <a:lnTo>
                <a:pt x="1045625" y="145897"/>
              </a:lnTo>
              <a:lnTo>
                <a:pt x="1126057" y="140347"/>
              </a:lnTo>
              <a:lnTo>
                <a:pt x="1126057" y="0"/>
              </a:lnTo>
              <a:lnTo>
                <a:pt x="1045625" y="5617"/>
              </a:lnTo>
              <a:lnTo>
                <a:pt x="965192" y="12625"/>
              </a:lnTo>
              <a:lnTo>
                <a:pt x="884759" y="21393"/>
              </a:lnTo>
              <a:lnTo>
                <a:pt x="804326" y="32400"/>
              </a:lnTo>
              <a:lnTo>
                <a:pt x="723894" y="46271"/>
              </a:lnTo>
              <a:lnTo>
                <a:pt x="643461" y="63834"/>
              </a:lnTo>
              <a:lnTo>
                <a:pt x="563029" y="86199"/>
              </a:lnTo>
              <a:lnTo>
                <a:pt x="482596" y="114875"/>
              </a:lnTo>
              <a:lnTo>
                <a:pt x="402163" y="151958"/>
              </a:lnTo>
              <a:lnTo>
                <a:pt x="321731" y="200426"/>
              </a:lnTo>
              <a:lnTo>
                <a:pt x="241298" y="264669"/>
              </a:lnTo>
              <a:lnTo>
                <a:pt x="160865" y="351531"/>
              </a:lnTo>
              <a:lnTo>
                <a:pt x="80432" y="472797"/>
              </a:lnTo>
              <a:lnTo>
                <a:pt x="0" y="653544"/>
              </a:lnTo>
              <a:lnTo>
                <a:pt x="0" y="738699"/>
              </a:lnTo>
            </a:path>
          </a:pathLst>
        </a:custGeom>
        <a:solidFill xmlns:a="http://schemas.openxmlformats.org/drawingml/2006/main">
          <a:srgbClr val="D28A48">
            <a:alpha val="94000"/>
          </a:srgbClr>
        </a:solidFill>
        <a:ln xmlns:a="http://schemas.openxmlformats.org/drawingml/2006/main" w="635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6350" cap="flat" cmpd="sng" algn="ctr">
              <a:solidFill>
                <a:schemeClr val="accent1"/>
              </a:solidFill>
              <a:prstDash val="solid"/>
              <a:miter lim="800000"/>
            </a14:hiddenLine>
          </a:ext>
        </a:extLst>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0.80228</cdr:x>
      <cdr:y>0.14867</cdr:y>
    </cdr:from>
    <cdr:to>
      <cdr:x>0.96587</cdr:x>
      <cdr:y>0.45389</cdr:y>
    </cdr:to>
    <cdr:sp macro="" textlink="">
      <cdr:nvSpPr>
        <cdr:cNvPr id="11" name="$I$123:$T$137|$B$350 10">
          <a:extLst xmlns:a="http://schemas.openxmlformats.org/drawingml/2006/main">
            <a:ext uri="{FF2B5EF4-FFF2-40B4-BE49-F238E27FC236}">
              <a16:creationId xmlns:a16="http://schemas.microsoft.com/office/drawing/2014/main" id="{9A22DD83-C70C-41DE-B79C-1B64EBDC8027}"/>
            </a:ext>
          </a:extLst>
        </cdr:cNvPr>
        <cdr:cNvSpPr/>
      </cdr:nvSpPr>
      <cdr:spPr>
        <a:xfrm xmlns:a="http://schemas.openxmlformats.org/drawingml/2006/main">
          <a:off x="5522393" y="377614"/>
          <a:ext cx="1126058" cy="775274"/>
        </a:xfrm>
        <a:custGeom xmlns:a="http://schemas.openxmlformats.org/drawingml/2006/main">
          <a:avLst/>
          <a:gdLst/>
          <a:ahLst/>
          <a:cxnLst/>
          <a:rect l="0" t="0" r="0" b="0"/>
          <a:pathLst>
            <a:path w="1126058" h="775274">
              <a:moveTo>
                <a:pt x="12700" y="775273"/>
              </a:moveTo>
              <a:lnTo>
                <a:pt x="80432" y="594526"/>
              </a:lnTo>
              <a:lnTo>
                <a:pt x="160865" y="473260"/>
              </a:lnTo>
              <a:lnTo>
                <a:pt x="241298" y="386398"/>
              </a:lnTo>
              <a:lnTo>
                <a:pt x="321731" y="322155"/>
              </a:lnTo>
              <a:lnTo>
                <a:pt x="402163" y="273687"/>
              </a:lnTo>
              <a:lnTo>
                <a:pt x="482596" y="236604"/>
              </a:lnTo>
              <a:lnTo>
                <a:pt x="563029" y="207928"/>
              </a:lnTo>
              <a:lnTo>
                <a:pt x="643461" y="185563"/>
              </a:lnTo>
              <a:lnTo>
                <a:pt x="723894" y="168000"/>
              </a:lnTo>
              <a:lnTo>
                <a:pt x="804326" y="154129"/>
              </a:lnTo>
              <a:lnTo>
                <a:pt x="884759" y="143122"/>
              </a:lnTo>
              <a:lnTo>
                <a:pt x="965192" y="134354"/>
              </a:lnTo>
              <a:lnTo>
                <a:pt x="1045625" y="127346"/>
              </a:lnTo>
              <a:lnTo>
                <a:pt x="1126057" y="121729"/>
              </a:lnTo>
              <a:lnTo>
                <a:pt x="1126057" y="0"/>
              </a:lnTo>
              <a:lnTo>
                <a:pt x="1045625" y="5674"/>
              </a:lnTo>
              <a:lnTo>
                <a:pt x="965192" y="12769"/>
              </a:lnTo>
              <a:lnTo>
                <a:pt x="884759" y="21671"/>
              </a:lnTo>
              <a:lnTo>
                <a:pt x="804326" y="32880"/>
              </a:lnTo>
              <a:lnTo>
                <a:pt x="723894" y="47058"/>
              </a:lnTo>
              <a:lnTo>
                <a:pt x="643461" y="65090"/>
              </a:lnTo>
              <a:lnTo>
                <a:pt x="563029" y="88171"/>
              </a:lnTo>
              <a:lnTo>
                <a:pt x="482596" y="117944"/>
              </a:lnTo>
              <a:lnTo>
                <a:pt x="402163" y="156711"/>
              </a:lnTo>
              <a:lnTo>
                <a:pt x="321731" y="207784"/>
              </a:lnTo>
              <a:lnTo>
                <a:pt x="241298" y="276101"/>
              </a:lnTo>
              <a:lnTo>
                <a:pt x="160865" y="369457"/>
              </a:lnTo>
              <a:lnTo>
                <a:pt x="80432" y="501451"/>
              </a:lnTo>
              <a:lnTo>
                <a:pt x="0" y="701414"/>
              </a:lnTo>
              <a:lnTo>
                <a:pt x="0" y="775273"/>
              </a:lnTo>
            </a:path>
          </a:pathLst>
        </a:custGeom>
        <a:solidFill xmlns:a="http://schemas.openxmlformats.org/drawingml/2006/main">
          <a:srgbClr val="E9992D">
            <a:alpha val="92000"/>
          </a:srgbClr>
        </a:solidFill>
        <a:ln xmlns:a="http://schemas.openxmlformats.org/drawingml/2006/main" w="635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6350" cap="flat" cmpd="sng" algn="ctr">
              <a:solidFill>
                <a:schemeClr val="accent1"/>
              </a:solidFill>
              <a:prstDash val="solid"/>
              <a:miter lim="800000"/>
            </a14:hiddenLine>
          </a:ext>
        </a:extLst>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0.80228</cdr:x>
      <cdr:y>0.055</cdr:y>
    </cdr:from>
    <cdr:to>
      <cdr:x>0.96587</cdr:x>
      <cdr:y>0.42481</cdr:y>
    </cdr:to>
    <cdr:sp macro="" textlink="">
      <cdr:nvSpPr>
        <cdr:cNvPr id="12" name="$I$123:$T$137|$B$350 11">
          <a:extLst xmlns:a="http://schemas.openxmlformats.org/drawingml/2006/main">
            <a:ext uri="{FF2B5EF4-FFF2-40B4-BE49-F238E27FC236}">
              <a16:creationId xmlns:a16="http://schemas.microsoft.com/office/drawing/2014/main" id="{947AF221-CC44-4A42-BA8A-7EDD4153022D}"/>
            </a:ext>
          </a:extLst>
        </cdr:cNvPr>
        <cdr:cNvSpPr/>
      </cdr:nvSpPr>
      <cdr:spPr>
        <a:xfrm xmlns:a="http://schemas.openxmlformats.org/drawingml/2006/main">
          <a:off x="5522393" y="139700"/>
          <a:ext cx="1126058" cy="939329"/>
        </a:xfrm>
        <a:custGeom xmlns:a="http://schemas.openxmlformats.org/drawingml/2006/main">
          <a:avLst/>
          <a:gdLst/>
          <a:ahLst/>
          <a:cxnLst/>
          <a:rect l="0" t="0" r="0" b="0"/>
          <a:pathLst>
            <a:path w="1126058" h="939329">
              <a:moveTo>
                <a:pt x="12700" y="939328"/>
              </a:moveTo>
              <a:lnTo>
                <a:pt x="80432" y="739365"/>
              </a:lnTo>
              <a:lnTo>
                <a:pt x="160865" y="607371"/>
              </a:lnTo>
              <a:lnTo>
                <a:pt x="241298" y="514015"/>
              </a:lnTo>
              <a:lnTo>
                <a:pt x="321731" y="445698"/>
              </a:lnTo>
              <a:lnTo>
                <a:pt x="402163" y="394625"/>
              </a:lnTo>
              <a:lnTo>
                <a:pt x="482596" y="355858"/>
              </a:lnTo>
              <a:lnTo>
                <a:pt x="563029" y="326085"/>
              </a:lnTo>
              <a:lnTo>
                <a:pt x="643461" y="303004"/>
              </a:lnTo>
              <a:lnTo>
                <a:pt x="723894" y="284972"/>
              </a:lnTo>
              <a:lnTo>
                <a:pt x="804326" y="270794"/>
              </a:lnTo>
              <a:lnTo>
                <a:pt x="884759" y="259585"/>
              </a:lnTo>
              <a:lnTo>
                <a:pt x="965192" y="250683"/>
              </a:lnTo>
              <a:lnTo>
                <a:pt x="1045625" y="243588"/>
              </a:lnTo>
              <a:lnTo>
                <a:pt x="1126057" y="237914"/>
              </a:lnTo>
              <a:lnTo>
                <a:pt x="1126057" y="0"/>
              </a:lnTo>
              <a:lnTo>
                <a:pt x="1045625" y="5786"/>
              </a:lnTo>
              <a:lnTo>
                <a:pt x="965192" y="13053"/>
              </a:lnTo>
              <a:lnTo>
                <a:pt x="884759" y="22214"/>
              </a:lnTo>
              <a:lnTo>
                <a:pt x="804326" y="33819"/>
              </a:lnTo>
              <a:lnTo>
                <a:pt x="723894" y="48599"/>
              </a:lnTo>
              <a:lnTo>
                <a:pt x="643461" y="67548"/>
              </a:lnTo>
              <a:lnTo>
                <a:pt x="563029" y="92028"/>
              </a:lnTo>
              <a:lnTo>
                <a:pt x="482596" y="123942"/>
              </a:lnTo>
              <a:lnTo>
                <a:pt x="402163" y="166000"/>
              </a:lnTo>
              <a:lnTo>
                <a:pt x="321731" y="222165"/>
              </a:lnTo>
              <a:lnTo>
                <a:pt x="241298" y="298446"/>
              </a:lnTo>
              <a:lnTo>
                <a:pt x="160865" y="404496"/>
              </a:lnTo>
              <a:lnTo>
                <a:pt x="80432" y="557455"/>
              </a:lnTo>
              <a:lnTo>
                <a:pt x="0" y="794975"/>
              </a:lnTo>
              <a:lnTo>
                <a:pt x="0" y="939328"/>
              </a:lnTo>
            </a:path>
          </a:pathLst>
        </a:custGeom>
        <a:solidFill xmlns:a="http://schemas.openxmlformats.org/drawingml/2006/main">
          <a:srgbClr val="FFA812">
            <a:alpha val="90000"/>
          </a:srgbClr>
        </a:solidFill>
        <a:ln xmlns:a="http://schemas.openxmlformats.org/drawingml/2006/main" w="635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6350" cap="flat" cmpd="sng" algn="ctr">
              <a:solidFill>
                <a:schemeClr val="accent1"/>
              </a:solidFill>
              <a:prstDash val="solid"/>
              <a:miter lim="800000"/>
            </a14:hiddenLine>
          </a:ext>
        </a:extLst>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userShapes>
</file>

<file path=xl/drawings/drawing9.xml><?xml version="1.0" encoding="utf-8"?>
<xdr:wsDr xmlns:xdr="http://schemas.openxmlformats.org/drawingml/2006/spreadsheetDrawing" xmlns:a="http://schemas.openxmlformats.org/drawingml/2006/main">
  <xdr:twoCellAnchor>
    <xdr:from>
      <xdr:col>8</xdr:col>
      <xdr:colOff>1123950</xdr:colOff>
      <xdr:row>274</xdr:row>
      <xdr:rowOff>152400</xdr:rowOff>
    </xdr:from>
    <xdr:to>
      <xdr:col>10</xdr:col>
      <xdr:colOff>1574800</xdr:colOff>
      <xdr:row>289</xdr:row>
      <xdr:rowOff>152400</xdr:rowOff>
    </xdr:to>
    <xdr:graphicFrame macro="">
      <xdr:nvGraphicFramePr>
        <xdr:cNvPr id="2" name="Real Stats Chart $V$6:$W$124">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3124200</xdr:colOff>
      <xdr:row>81</xdr:row>
      <xdr:rowOff>180975</xdr:rowOff>
    </xdr:from>
    <xdr:to>
      <xdr:col>5</xdr:col>
      <xdr:colOff>146050</xdr:colOff>
      <xdr:row>91</xdr:row>
      <xdr:rowOff>85725</xdr:rowOff>
    </xdr:to>
    <xdr:graphicFrame macro="">
      <xdr:nvGraphicFramePr>
        <xdr:cNvPr id="2" name="Real Stats Chart $V$6:$W$124">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5648325</xdr:colOff>
      <xdr:row>82</xdr:row>
      <xdr:rowOff>276225</xdr:rowOff>
    </xdr:from>
    <xdr:to>
      <xdr:col>9</xdr:col>
      <xdr:colOff>231775</xdr:colOff>
      <xdr:row>92</xdr:row>
      <xdr:rowOff>180975</xdr:rowOff>
    </xdr:to>
    <xdr:graphicFrame macro="">
      <xdr:nvGraphicFramePr>
        <xdr:cNvPr id="3" name="Real Stats Chart $W$60:$W$124">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3124200</xdr:colOff>
      <xdr:row>82</xdr:row>
      <xdr:rowOff>171450</xdr:rowOff>
    </xdr:from>
    <xdr:to>
      <xdr:col>5</xdr:col>
      <xdr:colOff>146050</xdr:colOff>
      <xdr:row>91</xdr:row>
      <xdr:rowOff>53975</xdr:rowOff>
    </xdr:to>
    <xdr:graphicFrame macro="">
      <xdr:nvGraphicFramePr>
        <xdr:cNvPr id="4" name="Real Stats Chart $K$125">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c:userShapes xmlns:c="http://schemas.openxmlformats.org/drawingml/2006/chart">
  <cdr:relSizeAnchor xmlns:cdr="http://schemas.openxmlformats.org/drawingml/2006/chartDrawing">
    <cdr:from>
      <cdr:x>0.78374</cdr:x>
      <cdr:y>0.76319</cdr:y>
    </cdr:from>
    <cdr:to>
      <cdr:x>0.95375</cdr:x>
      <cdr:y>0.89878</cdr:y>
    </cdr:to>
    <cdr:sp macro="" textlink="">
      <cdr:nvSpPr>
        <cdr:cNvPr id="2" name="Confidence polygon 1"/>
        <cdr:cNvSpPr/>
      </cdr:nvSpPr>
      <cdr:spPr>
        <a:xfrm xmlns:a="http://schemas.openxmlformats.org/drawingml/2006/main">
          <a:off x="3981379" y="1938511"/>
          <a:ext cx="863672" cy="344387"/>
        </a:xfrm>
        <a:custGeom xmlns:a="http://schemas.openxmlformats.org/drawingml/2006/main">
          <a:avLst/>
          <a:gdLst/>
          <a:ahLst/>
          <a:cxnLst/>
          <a:rect l="0" t="0" r="0" b="0"/>
          <a:pathLst>
            <a:path w="863672" h="344387">
              <a:moveTo>
                <a:pt x="0" y="0"/>
              </a:moveTo>
              <a:lnTo>
                <a:pt x="57579" y="309623"/>
              </a:lnTo>
              <a:lnTo>
                <a:pt x="115157" y="344386"/>
              </a:lnTo>
              <a:lnTo>
                <a:pt x="172735" y="340579"/>
              </a:lnTo>
              <a:lnTo>
                <a:pt x="230313" y="327249"/>
              </a:lnTo>
              <a:lnTo>
                <a:pt x="287891" y="313148"/>
              </a:lnTo>
              <a:lnTo>
                <a:pt x="345469" y="300995"/>
              </a:lnTo>
              <a:lnTo>
                <a:pt x="403047" y="291359"/>
              </a:lnTo>
              <a:lnTo>
                <a:pt x="460625" y="284041"/>
              </a:lnTo>
              <a:lnTo>
                <a:pt x="518203" y="278624"/>
              </a:lnTo>
              <a:lnTo>
                <a:pt x="575781" y="274677"/>
              </a:lnTo>
              <a:lnTo>
                <a:pt x="633359" y="271832"/>
              </a:lnTo>
              <a:lnTo>
                <a:pt x="690937" y="269795"/>
              </a:lnTo>
              <a:lnTo>
                <a:pt x="748515" y="268344"/>
              </a:lnTo>
              <a:lnTo>
                <a:pt x="806093" y="267313"/>
              </a:lnTo>
              <a:lnTo>
                <a:pt x="863671" y="266583"/>
              </a:lnTo>
              <a:lnTo>
                <a:pt x="863671" y="157935"/>
              </a:lnTo>
              <a:lnTo>
                <a:pt x="806093" y="158667"/>
              </a:lnTo>
              <a:lnTo>
                <a:pt x="748515" y="159701"/>
              </a:lnTo>
              <a:lnTo>
                <a:pt x="690937" y="161158"/>
              </a:lnTo>
              <a:lnTo>
                <a:pt x="633359" y="163207"/>
              </a:lnTo>
              <a:lnTo>
                <a:pt x="575781" y="166077"/>
              </a:lnTo>
              <a:lnTo>
                <a:pt x="518203" y="170072"/>
              </a:lnTo>
              <a:lnTo>
                <a:pt x="460625" y="175588"/>
              </a:lnTo>
              <a:lnTo>
                <a:pt x="403047" y="183106"/>
              </a:lnTo>
              <a:lnTo>
                <a:pt x="345469" y="193146"/>
              </a:lnTo>
              <a:lnTo>
                <a:pt x="287891" y="206116"/>
              </a:lnTo>
              <a:lnTo>
                <a:pt x="230313" y="221881"/>
              </a:lnTo>
              <a:lnTo>
                <a:pt x="172735" y="238645"/>
              </a:lnTo>
              <a:lnTo>
                <a:pt x="115157" y="249754"/>
              </a:lnTo>
              <a:lnTo>
                <a:pt x="57579" y="231808"/>
              </a:lnTo>
              <a:lnTo>
                <a:pt x="0" y="12700"/>
              </a:lnTo>
            </a:path>
          </a:pathLst>
        </a:custGeom>
        <a:solidFill xmlns:a="http://schemas.openxmlformats.org/drawingml/2006/main">
          <a:srgbClr val="BFBFBF">
            <a:alpha val="0"/>
          </a:srgbClr>
        </a:solidFill>
        <a:ln xmlns:a="http://schemas.openxmlformats.org/drawingml/2006/main">
          <a:solidFill>
            <a:srgbClr val="0000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0.78374</cdr:x>
      <cdr:y>0.76319</cdr:y>
    </cdr:from>
    <cdr:to>
      <cdr:x>0.95375</cdr:x>
      <cdr:y>0.86252</cdr:y>
    </cdr:to>
    <cdr:sp macro="" textlink="">
      <cdr:nvSpPr>
        <cdr:cNvPr id="3" name="Confidence polygon 2"/>
        <cdr:cNvSpPr/>
      </cdr:nvSpPr>
      <cdr:spPr>
        <a:xfrm xmlns:a="http://schemas.openxmlformats.org/drawingml/2006/main">
          <a:off x="3981379" y="1938511"/>
          <a:ext cx="863672" cy="252295"/>
        </a:xfrm>
        <a:custGeom xmlns:a="http://schemas.openxmlformats.org/drawingml/2006/main">
          <a:avLst/>
          <a:gdLst/>
          <a:ahLst/>
          <a:cxnLst/>
          <a:rect l="0" t="0" r="0" b="0"/>
          <a:pathLst>
            <a:path w="863672" h="252295">
              <a:moveTo>
                <a:pt x="0" y="0"/>
              </a:moveTo>
              <a:lnTo>
                <a:pt x="57579" y="234348"/>
              </a:lnTo>
              <a:lnTo>
                <a:pt x="115157" y="252294"/>
              </a:lnTo>
              <a:lnTo>
                <a:pt x="172735" y="241185"/>
              </a:lnTo>
              <a:lnTo>
                <a:pt x="230313" y="224421"/>
              </a:lnTo>
              <a:lnTo>
                <a:pt x="287891" y="208656"/>
              </a:lnTo>
              <a:lnTo>
                <a:pt x="345469" y="195686"/>
              </a:lnTo>
              <a:lnTo>
                <a:pt x="403047" y="185646"/>
              </a:lnTo>
              <a:lnTo>
                <a:pt x="460625" y="178129"/>
              </a:lnTo>
              <a:lnTo>
                <a:pt x="518203" y="172612"/>
              </a:lnTo>
              <a:lnTo>
                <a:pt x="575781" y="168617"/>
              </a:lnTo>
              <a:lnTo>
                <a:pt x="633359" y="165747"/>
              </a:lnTo>
              <a:lnTo>
                <a:pt x="690937" y="163698"/>
              </a:lnTo>
              <a:lnTo>
                <a:pt x="748515" y="162241"/>
              </a:lnTo>
              <a:lnTo>
                <a:pt x="806093" y="161207"/>
              </a:lnTo>
              <a:lnTo>
                <a:pt x="863671" y="160475"/>
              </a:lnTo>
              <a:lnTo>
                <a:pt x="863671" y="35600"/>
              </a:lnTo>
              <a:lnTo>
                <a:pt x="806093" y="36333"/>
              </a:lnTo>
              <a:lnTo>
                <a:pt x="748515" y="37371"/>
              </a:lnTo>
              <a:lnTo>
                <a:pt x="690937" y="38835"/>
              </a:lnTo>
              <a:lnTo>
                <a:pt x="633359" y="40898"/>
              </a:lnTo>
              <a:lnTo>
                <a:pt x="575781" y="43796"/>
              </a:lnTo>
              <a:lnTo>
                <a:pt x="518203" y="47848"/>
              </a:lnTo>
              <a:lnTo>
                <a:pt x="460625" y="53478"/>
              </a:lnTo>
              <a:lnTo>
                <a:pt x="403047" y="61226"/>
              </a:lnTo>
              <a:lnTo>
                <a:pt x="345469" y="71732"/>
              </a:lnTo>
              <a:lnTo>
                <a:pt x="287891" y="85643"/>
              </a:lnTo>
              <a:lnTo>
                <a:pt x="230313" y="103327"/>
              </a:lnTo>
              <a:lnTo>
                <a:pt x="172735" y="124051"/>
              </a:lnTo>
              <a:lnTo>
                <a:pt x="115157" y="143578"/>
              </a:lnTo>
              <a:lnTo>
                <a:pt x="57579" y="145022"/>
              </a:lnTo>
              <a:lnTo>
                <a:pt x="0" y="12700"/>
              </a:lnTo>
            </a:path>
          </a:pathLst>
        </a:custGeom>
        <a:solidFill xmlns:a="http://schemas.openxmlformats.org/drawingml/2006/main">
          <a:srgbClr val="BBCBCB">
            <a:alpha val="0"/>
          </a:srgbClr>
        </a:solidFill>
        <a:ln xmlns:a="http://schemas.openxmlformats.org/drawingml/2006/main">
          <a:solidFill>
            <a:srgbClr val="0000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0.78374</cdr:x>
      <cdr:y>0.71889</cdr:y>
    </cdr:from>
    <cdr:to>
      <cdr:x>0.95375</cdr:x>
      <cdr:y>0.82129</cdr:y>
    </cdr:to>
    <cdr:sp macro="" textlink="">
      <cdr:nvSpPr>
        <cdr:cNvPr id="4" name="Confidence polygon 3"/>
        <cdr:cNvSpPr/>
      </cdr:nvSpPr>
      <cdr:spPr>
        <a:xfrm xmlns:a="http://schemas.openxmlformats.org/drawingml/2006/main">
          <a:off x="3981379" y="1825972"/>
          <a:ext cx="863672" cy="260102"/>
        </a:xfrm>
        <a:custGeom xmlns:a="http://schemas.openxmlformats.org/drawingml/2006/main">
          <a:avLst/>
          <a:gdLst/>
          <a:ahLst/>
          <a:cxnLst/>
          <a:rect l="0" t="0" r="0" b="0"/>
          <a:pathLst>
            <a:path w="863672" h="260102">
              <a:moveTo>
                <a:pt x="0" y="112539"/>
              </a:moveTo>
              <a:lnTo>
                <a:pt x="57579" y="260101"/>
              </a:lnTo>
              <a:lnTo>
                <a:pt x="115157" y="258657"/>
              </a:lnTo>
              <a:lnTo>
                <a:pt x="172735" y="239130"/>
              </a:lnTo>
              <a:lnTo>
                <a:pt x="230313" y="218406"/>
              </a:lnTo>
              <a:lnTo>
                <a:pt x="287891" y="200722"/>
              </a:lnTo>
              <a:lnTo>
                <a:pt x="345469" y="186811"/>
              </a:lnTo>
              <a:lnTo>
                <a:pt x="403047" y="176305"/>
              </a:lnTo>
              <a:lnTo>
                <a:pt x="460625" y="168557"/>
              </a:lnTo>
              <a:lnTo>
                <a:pt x="518203" y="162927"/>
              </a:lnTo>
              <a:lnTo>
                <a:pt x="575781" y="158875"/>
              </a:lnTo>
              <a:lnTo>
                <a:pt x="633359" y="155977"/>
              </a:lnTo>
              <a:lnTo>
                <a:pt x="690937" y="153914"/>
              </a:lnTo>
              <a:lnTo>
                <a:pt x="748515" y="152449"/>
              </a:lnTo>
              <a:lnTo>
                <a:pt x="806093" y="151412"/>
              </a:lnTo>
              <a:lnTo>
                <a:pt x="863671" y="150679"/>
              </a:lnTo>
              <a:lnTo>
                <a:pt x="863671" y="0"/>
              </a:lnTo>
              <a:lnTo>
                <a:pt x="806093" y="736"/>
              </a:lnTo>
              <a:lnTo>
                <a:pt x="748515" y="1777"/>
              </a:lnTo>
              <a:lnTo>
                <a:pt x="690937" y="3250"/>
              </a:lnTo>
              <a:lnTo>
                <a:pt x="633359" y="5330"/>
              </a:lnTo>
              <a:lnTo>
                <a:pt x="575781" y="8262"/>
              </a:lnTo>
              <a:lnTo>
                <a:pt x="518203" y="12383"/>
              </a:lnTo>
              <a:lnTo>
                <a:pt x="460625" y="18152"/>
              </a:lnTo>
              <a:lnTo>
                <a:pt x="403047" y="26179"/>
              </a:lnTo>
              <a:lnTo>
                <a:pt x="345469" y="37247"/>
              </a:lnTo>
              <a:lnTo>
                <a:pt x="287891" y="52299"/>
              </a:lnTo>
              <a:lnTo>
                <a:pt x="230313" y="72306"/>
              </a:lnTo>
              <a:lnTo>
                <a:pt x="172735" y="97825"/>
              </a:lnTo>
              <a:lnTo>
                <a:pt x="115157" y="127547"/>
              </a:lnTo>
              <a:lnTo>
                <a:pt x="57579" y="152469"/>
              </a:lnTo>
              <a:lnTo>
                <a:pt x="0" y="125239"/>
              </a:lnTo>
            </a:path>
          </a:pathLst>
        </a:custGeom>
        <a:solidFill xmlns:a="http://schemas.openxmlformats.org/drawingml/2006/main">
          <a:srgbClr val="B7D6D6">
            <a:alpha val="0"/>
          </a:srgbClr>
        </a:solidFill>
        <a:ln xmlns:a="http://schemas.openxmlformats.org/drawingml/2006/main">
          <a:solidFill>
            <a:srgbClr val="0000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0.78374</cdr:x>
      <cdr:y>0.6409</cdr:y>
    </cdr:from>
    <cdr:to>
      <cdr:x>0.95375</cdr:x>
      <cdr:y>0.77991</cdr:y>
    </cdr:to>
    <cdr:sp macro="" textlink="">
      <cdr:nvSpPr>
        <cdr:cNvPr id="5" name="Confidence polygon 4"/>
        <cdr:cNvSpPr/>
      </cdr:nvSpPr>
      <cdr:spPr>
        <a:xfrm xmlns:a="http://schemas.openxmlformats.org/drawingml/2006/main">
          <a:off x="3981379" y="1627882"/>
          <a:ext cx="863672" cy="353100"/>
        </a:xfrm>
        <a:custGeom xmlns:a="http://schemas.openxmlformats.org/drawingml/2006/main">
          <a:avLst/>
          <a:gdLst/>
          <a:ahLst/>
          <a:cxnLst/>
          <a:rect l="0" t="0" r="0" b="0"/>
          <a:pathLst>
            <a:path w="863672" h="353100">
              <a:moveTo>
                <a:pt x="0" y="310629"/>
              </a:moveTo>
              <a:lnTo>
                <a:pt x="57579" y="353099"/>
              </a:lnTo>
              <a:lnTo>
                <a:pt x="115157" y="328177"/>
              </a:lnTo>
              <a:lnTo>
                <a:pt x="172735" y="298455"/>
              </a:lnTo>
              <a:lnTo>
                <a:pt x="230313" y="272936"/>
              </a:lnTo>
              <a:lnTo>
                <a:pt x="287891" y="252929"/>
              </a:lnTo>
              <a:lnTo>
                <a:pt x="345469" y="237877"/>
              </a:lnTo>
              <a:lnTo>
                <a:pt x="403047" y="226809"/>
              </a:lnTo>
              <a:lnTo>
                <a:pt x="460625" y="218782"/>
              </a:lnTo>
              <a:lnTo>
                <a:pt x="518203" y="213013"/>
              </a:lnTo>
              <a:lnTo>
                <a:pt x="575781" y="208892"/>
              </a:lnTo>
              <a:lnTo>
                <a:pt x="633359" y="205960"/>
              </a:lnTo>
              <a:lnTo>
                <a:pt x="690937" y="203880"/>
              </a:lnTo>
              <a:lnTo>
                <a:pt x="748515" y="202407"/>
              </a:lnTo>
              <a:lnTo>
                <a:pt x="806093" y="201366"/>
              </a:lnTo>
              <a:lnTo>
                <a:pt x="863671" y="200630"/>
              </a:lnTo>
              <a:lnTo>
                <a:pt x="863671" y="0"/>
              </a:lnTo>
              <a:lnTo>
                <a:pt x="806093" y="738"/>
              </a:lnTo>
              <a:lnTo>
                <a:pt x="748515" y="1785"/>
              </a:lnTo>
              <a:lnTo>
                <a:pt x="690937" y="3269"/>
              </a:lnTo>
              <a:lnTo>
                <a:pt x="633359" y="5372"/>
              </a:lnTo>
              <a:lnTo>
                <a:pt x="575781" y="8349"/>
              </a:lnTo>
              <a:lnTo>
                <a:pt x="518203" y="12562"/>
              </a:lnTo>
              <a:lnTo>
                <a:pt x="460625" y="18516"/>
              </a:lnTo>
              <a:lnTo>
                <a:pt x="403047" y="26916"/>
              </a:lnTo>
              <a:lnTo>
                <a:pt x="345469" y="38738"/>
              </a:lnTo>
              <a:lnTo>
                <a:pt x="287891" y="55315"/>
              </a:lnTo>
              <a:lnTo>
                <a:pt x="230313" y="78428"/>
              </a:lnTo>
              <a:lnTo>
                <a:pt x="172735" y="110360"/>
              </a:lnTo>
              <a:lnTo>
                <a:pt x="115157" y="153712"/>
              </a:lnTo>
              <a:lnTo>
                <a:pt x="57579" y="210031"/>
              </a:lnTo>
              <a:lnTo>
                <a:pt x="0" y="323329"/>
              </a:lnTo>
            </a:path>
          </a:pathLst>
        </a:custGeom>
        <a:solidFill xmlns:a="http://schemas.openxmlformats.org/drawingml/2006/main">
          <a:srgbClr val="B3E2E2">
            <a:alpha val="0"/>
          </a:srgbClr>
        </a:solidFill>
        <a:ln xmlns:a="http://schemas.openxmlformats.org/drawingml/2006/main">
          <a:solidFill>
            <a:srgbClr val="0000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0.78374</cdr:x>
      <cdr:y>0.57373</cdr:y>
    </cdr:from>
    <cdr:to>
      <cdr:x>0.95375</cdr:x>
      <cdr:y>0.76819</cdr:y>
    </cdr:to>
    <cdr:sp macro="" textlink="">
      <cdr:nvSpPr>
        <cdr:cNvPr id="6" name="Confidence polygon 5"/>
        <cdr:cNvSpPr/>
      </cdr:nvSpPr>
      <cdr:spPr>
        <a:xfrm xmlns:a="http://schemas.openxmlformats.org/drawingml/2006/main">
          <a:off x="3981379" y="1457262"/>
          <a:ext cx="863672" cy="493950"/>
        </a:xfrm>
        <a:custGeom xmlns:a="http://schemas.openxmlformats.org/drawingml/2006/main">
          <a:avLst/>
          <a:gdLst/>
          <a:ahLst/>
          <a:cxnLst/>
          <a:rect l="0" t="0" r="0" b="0"/>
          <a:pathLst>
            <a:path w="863672" h="493950">
              <a:moveTo>
                <a:pt x="0" y="481249"/>
              </a:moveTo>
              <a:lnTo>
                <a:pt x="57579" y="383191"/>
              </a:lnTo>
              <a:lnTo>
                <a:pt x="115157" y="326873"/>
              </a:lnTo>
              <a:lnTo>
                <a:pt x="172735" y="283520"/>
              </a:lnTo>
              <a:lnTo>
                <a:pt x="230313" y="251588"/>
              </a:lnTo>
              <a:lnTo>
                <a:pt x="287891" y="228475"/>
              </a:lnTo>
              <a:lnTo>
                <a:pt x="345469" y="211898"/>
              </a:lnTo>
              <a:lnTo>
                <a:pt x="403047" y="200076"/>
              </a:lnTo>
              <a:lnTo>
                <a:pt x="460625" y="191676"/>
              </a:lnTo>
              <a:lnTo>
                <a:pt x="518203" y="185722"/>
              </a:lnTo>
              <a:lnTo>
                <a:pt x="575781" y="181509"/>
              </a:lnTo>
              <a:lnTo>
                <a:pt x="633359" y="178532"/>
              </a:lnTo>
              <a:lnTo>
                <a:pt x="690937" y="176429"/>
              </a:lnTo>
              <a:lnTo>
                <a:pt x="748515" y="174945"/>
              </a:lnTo>
              <a:lnTo>
                <a:pt x="806093" y="173898"/>
              </a:lnTo>
              <a:lnTo>
                <a:pt x="863671" y="173160"/>
              </a:lnTo>
              <a:lnTo>
                <a:pt x="863671" y="0"/>
              </a:lnTo>
              <a:lnTo>
                <a:pt x="806093" y="740"/>
              </a:lnTo>
              <a:lnTo>
                <a:pt x="748515" y="1792"/>
              </a:lnTo>
              <a:lnTo>
                <a:pt x="690937" y="3286"/>
              </a:lnTo>
              <a:lnTo>
                <a:pt x="633359" y="5408"/>
              </a:lnTo>
              <a:lnTo>
                <a:pt x="575781" y="8425"/>
              </a:lnTo>
              <a:lnTo>
                <a:pt x="518203" y="12717"/>
              </a:lnTo>
              <a:lnTo>
                <a:pt x="460625" y="18830"/>
              </a:lnTo>
              <a:lnTo>
                <a:pt x="403047" y="27552"/>
              </a:lnTo>
              <a:lnTo>
                <a:pt x="345469" y="40022"/>
              </a:lnTo>
              <a:lnTo>
                <a:pt x="287891" y="57912"/>
              </a:lnTo>
              <a:lnTo>
                <a:pt x="230313" y="83702"/>
              </a:lnTo>
              <a:lnTo>
                <a:pt x="172735" y="121156"/>
              </a:lnTo>
              <a:lnTo>
                <a:pt x="115157" y="176250"/>
              </a:lnTo>
              <a:lnTo>
                <a:pt x="57579" y="259611"/>
              </a:lnTo>
              <a:lnTo>
                <a:pt x="0" y="493949"/>
              </a:lnTo>
            </a:path>
          </a:pathLst>
        </a:custGeom>
        <a:solidFill xmlns:a="http://schemas.openxmlformats.org/drawingml/2006/main">
          <a:srgbClr val="AFEEEE">
            <a:alpha val="0"/>
          </a:srgbClr>
        </a:solidFill>
        <a:ln xmlns:a="http://schemas.openxmlformats.org/drawingml/2006/main">
          <a:solidFill>
            <a:srgbClr val="0000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0.78374</cdr:x>
      <cdr:y>0.49574</cdr:y>
    </cdr:from>
    <cdr:to>
      <cdr:x>0.95375</cdr:x>
      <cdr:y>0.76819</cdr:y>
    </cdr:to>
    <cdr:sp macro="" textlink="">
      <cdr:nvSpPr>
        <cdr:cNvPr id="7" name="Confidence polygon 6"/>
        <cdr:cNvSpPr/>
      </cdr:nvSpPr>
      <cdr:spPr>
        <a:xfrm xmlns:a="http://schemas.openxmlformats.org/drawingml/2006/main">
          <a:off x="3981379" y="1259171"/>
          <a:ext cx="863672" cy="692041"/>
        </a:xfrm>
        <a:custGeom xmlns:a="http://schemas.openxmlformats.org/drawingml/2006/main">
          <a:avLst/>
          <a:gdLst/>
          <a:ahLst/>
          <a:cxnLst/>
          <a:rect l="0" t="0" r="0" b="0"/>
          <a:pathLst>
            <a:path w="863672" h="692041">
              <a:moveTo>
                <a:pt x="0" y="679340"/>
              </a:moveTo>
              <a:lnTo>
                <a:pt x="57579" y="460242"/>
              </a:lnTo>
              <a:lnTo>
                <a:pt x="115157" y="376881"/>
              </a:lnTo>
              <a:lnTo>
                <a:pt x="172735" y="321787"/>
              </a:lnTo>
              <a:lnTo>
                <a:pt x="230313" y="284333"/>
              </a:lnTo>
              <a:lnTo>
                <a:pt x="287891" y="258543"/>
              </a:lnTo>
              <a:lnTo>
                <a:pt x="345469" y="240653"/>
              </a:lnTo>
              <a:lnTo>
                <a:pt x="403047" y="228183"/>
              </a:lnTo>
              <a:lnTo>
                <a:pt x="460625" y="219461"/>
              </a:lnTo>
              <a:lnTo>
                <a:pt x="518203" y="213348"/>
              </a:lnTo>
              <a:lnTo>
                <a:pt x="575781" y="209056"/>
              </a:lnTo>
              <a:lnTo>
                <a:pt x="633359" y="206039"/>
              </a:lnTo>
              <a:lnTo>
                <a:pt x="690937" y="203917"/>
              </a:lnTo>
              <a:lnTo>
                <a:pt x="748515" y="202423"/>
              </a:lnTo>
              <a:lnTo>
                <a:pt x="806093" y="201372"/>
              </a:lnTo>
              <a:lnTo>
                <a:pt x="863671" y="200631"/>
              </a:lnTo>
              <a:lnTo>
                <a:pt x="863671" y="0"/>
              </a:lnTo>
              <a:lnTo>
                <a:pt x="806093" y="744"/>
              </a:lnTo>
              <a:lnTo>
                <a:pt x="748515" y="1801"/>
              </a:lnTo>
              <a:lnTo>
                <a:pt x="690937" y="3306"/>
              </a:lnTo>
              <a:lnTo>
                <a:pt x="633359" y="5451"/>
              </a:lnTo>
              <a:lnTo>
                <a:pt x="575781" y="8513"/>
              </a:lnTo>
              <a:lnTo>
                <a:pt x="518203" y="12897"/>
              </a:lnTo>
              <a:lnTo>
                <a:pt x="460625" y="19195"/>
              </a:lnTo>
              <a:lnTo>
                <a:pt x="403047" y="28290"/>
              </a:lnTo>
              <a:lnTo>
                <a:pt x="345469" y="41514"/>
              </a:lnTo>
              <a:lnTo>
                <a:pt x="287891" y="60929"/>
              </a:lnTo>
              <a:lnTo>
                <a:pt x="230313" y="89825"/>
              </a:lnTo>
              <a:lnTo>
                <a:pt x="172735" y="133691"/>
              </a:lnTo>
              <a:lnTo>
                <a:pt x="115157" y="202417"/>
              </a:lnTo>
              <a:lnTo>
                <a:pt x="57579" y="317174"/>
              </a:lnTo>
              <a:lnTo>
                <a:pt x="0" y="692040"/>
              </a:lnTo>
            </a:path>
          </a:pathLst>
        </a:custGeom>
        <a:solidFill xmlns:a="http://schemas.openxmlformats.org/drawingml/2006/main">
          <a:srgbClr val="B3E2E2">
            <a:alpha val="0"/>
          </a:srgbClr>
        </a:solidFill>
        <a:ln xmlns:a="http://schemas.openxmlformats.org/drawingml/2006/main">
          <a:solidFill>
            <a:srgbClr val="0000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0.78374</cdr:x>
      <cdr:y>0.43741</cdr:y>
    </cdr:from>
    <cdr:to>
      <cdr:x>0.95375</cdr:x>
      <cdr:y>0.76819</cdr:y>
    </cdr:to>
    <cdr:sp macro="" textlink="">
      <cdr:nvSpPr>
        <cdr:cNvPr id="8" name="Confidence polygon 7"/>
        <cdr:cNvSpPr/>
      </cdr:nvSpPr>
      <cdr:spPr>
        <a:xfrm xmlns:a="http://schemas.openxmlformats.org/drawingml/2006/main">
          <a:off x="3981379" y="1111033"/>
          <a:ext cx="863672" cy="840179"/>
        </a:xfrm>
        <a:custGeom xmlns:a="http://schemas.openxmlformats.org/drawingml/2006/main">
          <a:avLst/>
          <a:gdLst/>
          <a:ahLst/>
          <a:cxnLst/>
          <a:rect l="0" t="0" r="0" b="0"/>
          <a:pathLst>
            <a:path w="863672" h="840179">
              <a:moveTo>
                <a:pt x="0" y="827478"/>
              </a:moveTo>
              <a:lnTo>
                <a:pt x="57579" y="467852"/>
              </a:lnTo>
              <a:lnTo>
                <a:pt x="115157" y="353095"/>
              </a:lnTo>
              <a:lnTo>
                <a:pt x="172735" y="284369"/>
              </a:lnTo>
              <a:lnTo>
                <a:pt x="230313" y="240503"/>
              </a:lnTo>
              <a:lnTo>
                <a:pt x="287891" y="211607"/>
              </a:lnTo>
              <a:lnTo>
                <a:pt x="345469" y="192192"/>
              </a:lnTo>
              <a:lnTo>
                <a:pt x="403047" y="178968"/>
              </a:lnTo>
              <a:lnTo>
                <a:pt x="460625" y="169874"/>
              </a:lnTo>
              <a:lnTo>
                <a:pt x="518203" y="163575"/>
              </a:lnTo>
              <a:lnTo>
                <a:pt x="575781" y="159191"/>
              </a:lnTo>
              <a:lnTo>
                <a:pt x="633359" y="156129"/>
              </a:lnTo>
              <a:lnTo>
                <a:pt x="690937" y="153984"/>
              </a:lnTo>
              <a:lnTo>
                <a:pt x="748515" y="152479"/>
              </a:lnTo>
              <a:lnTo>
                <a:pt x="806093" y="151422"/>
              </a:lnTo>
              <a:lnTo>
                <a:pt x="863671" y="150678"/>
              </a:lnTo>
              <a:lnTo>
                <a:pt x="863671" y="0"/>
              </a:lnTo>
              <a:lnTo>
                <a:pt x="806093" y="745"/>
              </a:lnTo>
              <a:lnTo>
                <a:pt x="748515" y="1807"/>
              </a:lnTo>
              <a:lnTo>
                <a:pt x="690937" y="3320"/>
              </a:lnTo>
              <a:lnTo>
                <a:pt x="633359" y="5482"/>
              </a:lnTo>
              <a:lnTo>
                <a:pt x="575781" y="8578"/>
              </a:lnTo>
              <a:lnTo>
                <a:pt x="518203" y="13031"/>
              </a:lnTo>
              <a:lnTo>
                <a:pt x="460625" y="19468"/>
              </a:lnTo>
              <a:lnTo>
                <a:pt x="403047" y="28841"/>
              </a:lnTo>
              <a:lnTo>
                <a:pt x="345469" y="42628"/>
              </a:lnTo>
              <a:lnTo>
                <a:pt x="287891" y="63184"/>
              </a:lnTo>
              <a:lnTo>
                <a:pt x="230313" y="94403"/>
              </a:lnTo>
              <a:lnTo>
                <a:pt x="172735" y="143064"/>
              </a:lnTo>
              <a:lnTo>
                <a:pt x="115157" y="221984"/>
              </a:lnTo>
              <a:lnTo>
                <a:pt x="57579" y="360221"/>
              </a:lnTo>
              <a:lnTo>
                <a:pt x="0" y="840178"/>
              </a:lnTo>
            </a:path>
          </a:pathLst>
        </a:custGeom>
        <a:solidFill xmlns:a="http://schemas.openxmlformats.org/drawingml/2006/main">
          <a:srgbClr val="B7D6D6">
            <a:alpha val="0"/>
          </a:srgbClr>
        </a:solidFill>
        <a:ln xmlns:a="http://schemas.openxmlformats.org/drawingml/2006/main">
          <a:solidFill>
            <a:srgbClr val="0000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0.78374</cdr:x>
      <cdr:y>0.38925</cdr:y>
    </cdr:from>
    <cdr:to>
      <cdr:x>0.95375</cdr:x>
      <cdr:y>0.76819</cdr:y>
    </cdr:to>
    <cdr:sp macro="" textlink="">
      <cdr:nvSpPr>
        <cdr:cNvPr id="9" name="Confidence polygon 8"/>
        <cdr:cNvSpPr/>
      </cdr:nvSpPr>
      <cdr:spPr>
        <a:xfrm xmlns:a="http://schemas.openxmlformats.org/drawingml/2006/main">
          <a:off x="3981379" y="988697"/>
          <a:ext cx="863672" cy="962515"/>
        </a:xfrm>
        <a:custGeom xmlns:a="http://schemas.openxmlformats.org/drawingml/2006/main">
          <a:avLst/>
          <a:gdLst/>
          <a:ahLst/>
          <a:cxnLst/>
          <a:rect l="0" t="0" r="0" b="0"/>
          <a:pathLst>
            <a:path w="863672" h="962515">
              <a:moveTo>
                <a:pt x="0" y="949814"/>
              </a:moveTo>
              <a:lnTo>
                <a:pt x="57579" y="485097"/>
              </a:lnTo>
              <a:lnTo>
                <a:pt x="115157" y="346860"/>
              </a:lnTo>
              <a:lnTo>
                <a:pt x="172735" y="267941"/>
              </a:lnTo>
              <a:lnTo>
                <a:pt x="230313" y="219279"/>
              </a:lnTo>
              <a:lnTo>
                <a:pt x="287891" y="188060"/>
              </a:lnTo>
              <a:lnTo>
                <a:pt x="345469" y="167504"/>
              </a:lnTo>
              <a:lnTo>
                <a:pt x="403047" y="153717"/>
              </a:lnTo>
              <a:lnTo>
                <a:pt x="460625" y="144344"/>
              </a:lnTo>
              <a:lnTo>
                <a:pt x="518203" y="137907"/>
              </a:lnTo>
              <a:lnTo>
                <a:pt x="575781" y="133454"/>
              </a:lnTo>
              <a:lnTo>
                <a:pt x="633359" y="130358"/>
              </a:lnTo>
              <a:lnTo>
                <a:pt x="690937" y="128196"/>
              </a:lnTo>
              <a:lnTo>
                <a:pt x="748515" y="126683"/>
              </a:lnTo>
              <a:lnTo>
                <a:pt x="806093" y="125621"/>
              </a:lnTo>
              <a:lnTo>
                <a:pt x="863671" y="124876"/>
              </a:lnTo>
              <a:lnTo>
                <a:pt x="863671" y="0"/>
              </a:lnTo>
              <a:lnTo>
                <a:pt x="806093" y="748"/>
              </a:lnTo>
              <a:lnTo>
                <a:pt x="748515" y="1813"/>
              </a:lnTo>
              <a:lnTo>
                <a:pt x="690937" y="3333"/>
              </a:lnTo>
              <a:lnTo>
                <a:pt x="633359" y="5509"/>
              </a:lnTo>
              <a:lnTo>
                <a:pt x="575781" y="8633"/>
              </a:lnTo>
              <a:lnTo>
                <a:pt x="518203" y="13143"/>
              </a:lnTo>
              <a:lnTo>
                <a:pt x="460625" y="19694"/>
              </a:lnTo>
              <a:lnTo>
                <a:pt x="403047" y="29298"/>
              </a:lnTo>
              <a:lnTo>
                <a:pt x="345469" y="43550"/>
              </a:lnTo>
              <a:lnTo>
                <a:pt x="287891" y="65047"/>
              </a:lnTo>
              <a:lnTo>
                <a:pt x="230313" y="98185"/>
              </a:lnTo>
              <a:lnTo>
                <a:pt x="172735" y="150806"/>
              </a:lnTo>
              <a:lnTo>
                <a:pt x="115157" y="238144"/>
              </a:lnTo>
              <a:lnTo>
                <a:pt x="57579" y="395770"/>
              </a:lnTo>
              <a:lnTo>
                <a:pt x="0" y="962514"/>
              </a:lnTo>
            </a:path>
          </a:pathLst>
        </a:custGeom>
        <a:solidFill xmlns:a="http://schemas.openxmlformats.org/drawingml/2006/main">
          <a:srgbClr val="BBCBCB">
            <a:alpha val="0"/>
          </a:srgbClr>
        </a:solidFill>
        <a:ln xmlns:a="http://schemas.openxmlformats.org/drawingml/2006/main">
          <a:solidFill>
            <a:srgbClr val="0000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0.78374</cdr:x>
      <cdr:y>0.34748</cdr:y>
    </cdr:from>
    <cdr:to>
      <cdr:x>0.95375</cdr:x>
      <cdr:y>0.76819</cdr:y>
    </cdr:to>
    <cdr:sp macro="" textlink="">
      <cdr:nvSpPr>
        <cdr:cNvPr id="10" name="Confidence polygon 9"/>
        <cdr:cNvSpPr/>
      </cdr:nvSpPr>
      <cdr:spPr>
        <a:xfrm xmlns:a="http://schemas.openxmlformats.org/drawingml/2006/main">
          <a:off x="3981379" y="882590"/>
          <a:ext cx="863672" cy="1068622"/>
        </a:xfrm>
        <a:custGeom xmlns:a="http://schemas.openxmlformats.org/drawingml/2006/main">
          <a:avLst/>
          <a:gdLst/>
          <a:ahLst/>
          <a:cxnLst/>
          <a:rect l="0" t="0" r="0" b="0"/>
          <a:pathLst>
            <a:path w="863672" h="1068622">
              <a:moveTo>
                <a:pt x="0" y="1055921"/>
              </a:moveTo>
              <a:lnTo>
                <a:pt x="57579" y="504417"/>
              </a:lnTo>
              <a:lnTo>
                <a:pt x="115157" y="346791"/>
              </a:lnTo>
              <a:lnTo>
                <a:pt x="172735" y="259453"/>
              </a:lnTo>
              <a:lnTo>
                <a:pt x="230313" y="206832"/>
              </a:lnTo>
              <a:lnTo>
                <a:pt x="287891" y="173694"/>
              </a:lnTo>
              <a:lnTo>
                <a:pt x="345469" y="152197"/>
              </a:lnTo>
              <a:lnTo>
                <a:pt x="403047" y="137945"/>
              </a:lnTo>
              <a:lnTo>
                <a:pt x="460625" y="128341"/>
              </a:lnTo>
              <a:lnTo>
                <a:pt x="518203" y="121790"/>
              </a:lnTo>
              <a:lnTo>
                <a:pt x="575781" y="117280"/>
              </a:lnTo>
              <a:lnTo>
                <a:pt x="633359" y="114156"/>
              </a:lnTo>
              <a:lnTo>
                <a:pt x="690937" y="111980"/>
              </a:lnTo>
              <a:lnTo>
                <a:pt x="748515" y="110460"/>
              </a:lnTo>
              <a:lnTo>
                <a:pt x="806093" y="109395"/>
              </a:lnTo>
              <a:lnTo>
                <a:pt x="863671" y="108647"/>
              </a:lnTo>
              <a:lnTo>
                <a:pt x="863671" y="0"/>
              </a:lnTo>
              <a:lnTo>
                <a:pt x="806093" y="749"/>
              </a:lnTo>
              <a:lnTo>
                <a:pt x="748515" y="1816"/>
              </a:lnTo>
              <a:lnTo>
                <a:pt x="690937" y="3343"/>
              </a:lnTo>
              <a:lnTo>
                <a:pt x="633359" y="5531"/>
              </a:lnTo>
              <a:lnTo>
                <a:pt x="575781" y="8680"/>
              </a:lnTo>
              <a:lnTo>
                <a:pt x="518203" y="13238"/>
              </a:lnTo>
              <a:lnTo>
                <a:pt x="460625" y="19889"/>
              </a:lnTo>
              <a:lnTo>
                <a:pt x="403047" y="29692"/>
              </a:lnTo>
              <a:lnTo>
                <a:pt x="345469" y="44348"/>
              </a:lnTo>
              <a:lnTo>
                <a:pt x="287891" y="66662"/>
              </a:lnTo>
              <a:lnTo>
                <a:pt x="230313" y="101464"/>
              </a:lnTo>
              <a:lnTo>
                <a:pt x="172735" y="157520"/>
              </a:lnTo>
              <a:lnTo>
                <a:pt x="115157" y="252160"/>
              </a:lnTo>
              <a:lnTo>
                <a:pt x="57579" y="426603"/>
              </a:lnTo>
              <a:lnTo>
                <a:pt x="0" y="1068621"/>
              </a:lnTo>
            </a:path>
          </a:pathLst>
        </a:custGeom>
        <a:solidFill xmlns:a="http://schemas.openxmlformats.org/drawingml/2006/main">
          <a:srgbClr val="BFBFBF">
            <a:alpha val="0"/>
          </a:srgbClr>
        </a:solidFill>
        <a:ln xmlns:a="http://schemas.openxmlformats.org/drawingml/2006/main">
          <a:solidFill>
            <a:srgbClr val="0000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Plotting.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AddBlankChart"/>
      <definedName name="AddConfidence"/>
      <definedName name="AddLineSeries"/>
      <definedName name="AddPointFilling"/>
      <definedName name="AddPointsSeries"/>
      <definedName name="AddSquare"/>
    </definedNames>
    <sheetDataSet>
      <sheetData sheetId="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colourspace" connectionId="1" xr16:uid="{00000000-0016-0000-0200-000000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colors" preserveFormatting="0" connectionId="2" xr16:uid="{00000000-0016-0000-0300-000001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drawing" Target="../drawings/drawing9.xml"/></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hyperlink" Target="http://endprod.com/colors/"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L567"/>
  <sheetViews>
    <sheetView showGridLines="0" tabSelected="1" view="pageBreakPreview" topLeftCell="A509" zoomScaleNormal="100" zoomScaleSheetLayoutView="100" workbookViewId="0">
      <selection activeCell="B513" sqref="B513"/>
    </sheetView>
  </sheetViews>
  <sheetFormatPr defaultRowHeight="15" x14ac:dyDescent="0.25"/>
  <cols>
    <col min="1" max="1" width="9.140625" style="209"/>
    <col min="2" max="2" width="17.42578125" style="209" customWidth="1"/>
    <col min="3" max="8" width="9" style="209" customWidth="1"/>
    <col min="9" max="9" width="10" style="209" customWidth="1"/>
    <col min="10" max="10" width="6.5703125" style="209" customWidth="1"/>
    <col min="11" max="11" width="8.5703125" style="209" customWidth="1"/>
    <col min="12" max="16384" width="9.140625" style="209"/>
  </cols>
  <sheetData>
    <row r="1" spans="1:12" ht="19.5" x14ac:dyDescent="0.35">
      <c r="A1" s="1018"/>
      <c r="B1" s="1024" t="s">
        <v>0</v>
      </c>
      <c r="C1" s="1024"/>
      <c r="D1" s="1024"/>
      <c r="E1" s="1024"/>
      <c r="F1" s="1024"/>
      <c r="G1" s="1024"/>
      <c r="H1" s="1024"/>
      <c r="I1" s="1024"/>
      <c r="J1" s="1024"/>
      <c r="K1" s="1024"/>
    </row>
    <row r="2" spans="1:12" x14ac:dyDescent="0.25">
      <c r="B2" s="229"/>
      <c r="C2" s="229"/>
      <c r="D2" s="229"/>
      <c r="E2" s="229"/>
      <c r="F2" s="229"/>
      <c r="G2" s="229"/>
      <c r="H2" s="229"/>
      <c r="I2" s="229"/>
      <c r="J2" s="229"/>
      <c r="K2" s="229"/>
    </row>
    <row r="3" spans="1:12" x14ac:dyDescent="0.25">
      <c r="B3" s="1043" t="s">
        <v>1</v>
      </c>
      <c r="C3" s="1043"/>
      <c r="D3" s="1043"/>
      <c r="E3" s="1043"/>
      <c r="F3" s="1043"/>
      <c r="G3" s="1043"/>
      <c r="H3" s="1043"/>
      <c r="I3" s="1043"/>
      <c r="J3" s="1043"/>
      <c r="K3"/>
    </row>
    <row r="4" spans="1:12" x14ac:dyDescent="0.25">
      <c r="B4" s="229"/>
      <c r="C4" s="229"/>
      <c r="D4" s="229"/>
      <c r="E4" s="229"/>
      <c r="F4" s="229"/>
      <c r="G4" s="229"/>
      <c r="H4" s="229"/>
      <c r="I4" s="229"/>
      <c r="J4" s="229"/>
      <c r="K4"/>
      <c r="L4"/>
    </row>
    <row r="5" spans="1:12" ht="15" customHeight="1" x14ac:dyDescent="0.25">
      <c r="B5" s="261" t="s">
        <v>1514</v>
      </c>
      <c r="C5" s="229"/>
      <c r="D5" s="229"/>
      <c r="E5" s="229"/>
      <c r="F5" s="229"/>
      <c r="G5" s="229"/>
      <c r="H5" s="229"/>
      <c r="I5" s="229"/>
      <c r="J5" s="229"/>
      <c r="K5" s="229"/>
    </row>
    <row r="6" spans="1:12" x14ac:dyDescent="0.25">
      <c r="B6" s="993" t="str">
        <f>[1]!AddBlankChart(FALSE,150,100,"red")</f>
        <v>[Real Stats Chart |Tutorial|$B$6]</v>
      </c>
      <c r="C6" s="226"/>
      <c r="D6" s="229"/>
      <c r="E6" s="229" t="s">
        <v>2</v>
      </c>
      <c r="F6" s="229"/>
      <c r="G6" s="229"/>
      <c r="H6" s="229"/>
      <c r="I6" s="229"/>
      <c r="J6" s="229"/>
      <c r="K6" s="229"/>
    </row>
    <row r="7" spans="1:12" x14ac:dyDescent="0.25">
      <c r="B7" s="229"/>
      <c r="C7" s="229"/>
      <c r="D7" s="229"/>
      <c r="E7" s="232"/>
      <c r="F7" s="232"/>
      <c r="G7" s="232"/>
      <c r="H7" s="232"/>
      <c r="I7" s="232"/>
      <c r="J7" s="232"/>
      <c r="K7" s="229"/>
    </row>
    <row r="8" spans="1:12" x14ac:dyDescent="0.25">
      <c r="B8" s="229"/>
      <c r="C8" s="229"/>
      <c r="D8" s="229"/>
      <c r="E8" s="1048" t="s">
        <v>3</v>
      </c>
      <c r="F8" s="1048"/>
      <c r="G8" s="1048"/>
      <c r="H8" s="1048"/>
      <c r="I8" s="1048"/>
      <c r="J8" s="1048"/>
      <c r="K8" s="229"/>
    </row>
    <row r="9" spans="1:12" ht="15.75" thickBot="1" x14ac:dyDescent="0.3">
      <c r="B9" s="229"/>
      <c r="C9" s="229"/>
      <c r="D9" s="229"/>
      <c r="E9" s="210"/>
      <c r="F9" s="211"/>
      <c r="G9" s="211"/>
      <c r="H9" s="211"/>
      <c r="I9" s="211"/>
      <c r="J9" s="211"/>
      <c r="K9" s="229"/>
    </row>
    <row r="10" spans="1:12" ht="56.25" customHeight="1" thickTop="1" x14ac:dyDescent="0.25">
      <c r="B10" s="229"/>
      <c r="C10" s="229"/>
      <c r="D10" s="229"/>
      <c r="E10" s="1049" t="s">
        <v>4</v>
      </c>
      <c r="F10" s="1049"/>
      <c r="G10" s="1049"/>
      <c r="H10" s="1049"/>
      <c r="I10" s="1049"/>
      <c r="J10" s="1049"/>
      <c r="K10" s="229"/>
    </row>
    <row r="11" spans="1:12" ht="23.25" customHeight="1" x14ac:dyDescent="0.25">
      <c r="B11" s="229"/>
      <c r="C11" s="229"/>
      <c r="D11" s="229"/>
      <c r="E11" s="233" t="s">
        <v>5</v>
      </c>
      <c r="F11" s="234"/>
      <c r="G11" s="234"/>
      <c r="H11" s="234"/>
      <c r="I11" s="234"/>
      <c r="J11" s="234"/>
      <c r="K11" s="229"/>
    </row>
    <row r="12" spans="1:12" ht="21.75" customHeight="1" x14ac:dyDescent="0.25">
      <c r="B12" s="229"/>
      <c r="C12" s="229"/>
      <c r="D12" s="229"/>
      <c r="E12" s="235" t="s">
        <v>6</v>
      </c>
      <c r="F12" s="235"/>
      <c r="G12" s="235"/>
      <c r="H12" s="235"/>
      <c r="I12" s="235"/>
      <c r="J12" s="235"/>
      <c r="K12" s="229"/>
    </row>
    <row r="13" spans="1:12" ht="25.5" customHeight="1" x14ac:dyDescent="0.25">
      <c r="B13" s="229"/>
      <c r="C13" s="229"/>
      <c r="D13" s="229"/>
      <c r="E13" s="1021" t="s">
        <v>7</v>
      </c>
      <c r="F13" s="1021"/>
      <c r="G13" s="1021"/>
      <c r="H13" s="1021"/>
      <c r="I13" s="1021"/>
      <c r="J13" s="1021"/>
      <c r="K13" s="229"/>
    </row>
    <row r="14" spans="1:12" ht="20.25" customHeight="1" x14ac:dyDescent="0.25">
      <c r="B14" s="229"/>
      <c r="C14" s="229"/>
      <c r="D14" s="229"/>
      <c r="E14" s="1021"/>
      <c r="F14" s="1021"/>
      <c r="G14" s="1021"/>
      <c r="H14" s="1021"/>
      <c r="I14" s="1021"/>
      <c r="J14" s="1021"/>
      <c r="K14" s="229"/>
    </row>
    <row r="15" spans="1:12" ht="15" customHeight="1" x14ac:dyDescent="0.25">
      <c r="B15" s="229"/>
      <c r="C15" s="229"/>
      <c r="D15" s="229"/>
      <c r="E15" s="1021"/>
      <c r="F15" s="1021"/>
      <c r="G15" s="1021"/>
      <c r="H15" s="1021"/>
      <c r="I15" s="1021"/>
      <c r="J15" s="1021"/>
      <c r="K15" s="229"/>
    </row>
    <row r="16" spans="1:12" x14ac:dyDescent="0.25">
      <c r="B16" s="229"/>
      <c r="C16" s="231"/>
      <c r="D16" s="231"/>
      <c r="E16" s="1049"/>
      <c r="F16" s="1049"/>
      <c r="G16" s="1049"/>
      <c r="H16" s="1049"/>
      <c r="I16" s="1049"/>
      <c r="J16" s="1049"/>
      <c r="K16" s="229"/>
    </row>
    <row r="17" spans="1:11" x14ac:dyDescent="0.25">
      <c r="B17" s="229"/>
      <c r="C17" s="229"/>
      <c r="D17" s="229"/>
      <c r="E17" s="229"/>
      <c r="F17" s="229"/>
      <c r="G17" s="229"/>
      <c r="H17" s="229"/>
      <c r="I17" s="229"/>
      <c r="J17" s="229"/>
      <c r="K17" s="229"/>
    </row>
    <row r="18" spans="1:11" ht="40.5" customHeight="1" x14ac:dyDescent="0.25">
      <c r="B18" s="1052" t="s">
        <v>8</v>
      </c>
      <c r="C18" s="1052"/>
      <c r="D18" s="1052"/>
      <c r="E18" s="1052"/>
      <c r="F18" s="1052"/>
      <c r="G18" s="1052"/>
      <c r="H18" s="1052"/>
      <c r="I18" s="1052"/>
      <c r="J18" s="1052"/>
      <c r="K18" s="1052"/>
    </row>
    <row r="19" spans="1:11" x14ac:dyDescent="0.25">
      <c r="B19" s="231"/>
      <c r="C19" s="231"/>
      <c r="D19" s="231"/>
      <c r="E19" s="231"/>
      <c r="F19" s="231"/>
      <c r="G19" s="231"/>
      <c r="H19" s="231"/>
      <c r="I19" s="231"/>
      <c r="J19" s="231"/>
      <c r="K19" s="229"/>
    </row>
    <row r="20" spans="1:11" x14ac:dyDescent="0.25">
      <c r="B20" s="229"/>
      <c r="C20" s="229"/>
      <c r="D20" s="229"/>
      <c r="E20" s="229"/>
      <c r="F20" s="229"/>
      <c r="G20" s="229"/>
      <c r="H20" s="229"/>
      <c r="I20" s="229"/>
      <c r="J20" s="229"/>
      <c r="K20" s="229"/>
    </row>
    <row r="21" spans="1:11" ht="19.5" x14ac:dyDescent="0.35">
      <c r="A21" s="1017"/>
      <c r="B21" s="1024" t="s">
        <v>1535</v>
      </c>
      <c r="C21" s="1024"/>
      <c r="D21" s="1024"/>
      <c r="E21" s="1024"/>
      <c r="F21" s="1024"/>
      <c r="G21" s="1024"/>
      <c r="H21" s="1024"/>
      <c r="I21" s="1024"/>
      <c r="J21" s="1024"/>
      <c r="K21" s="1024"/>
    </row>
    <row r="22" spans="1:11" x14ac:dyDescent="0.25">
      <c r="B22" s="229"/>
      <c r="C22" s="229"/>
      <c r="D22" s="229"/>
      <c r="E22" s="229"/>
      <c r="F22" s="229"/>
      <c r="G22" s="229"/>
      <c r="H22" s="229"/>
      <c r="I22" s="229"/>
      <c r="J22" s="229"/>
      <c r="K22" s="229"/>
    </row>
    <row r="23" spans="1:11" x14ac:dyDescent="0.25">
      <c r="B23" s="1050" t="s">
        <v>9</v>
      </c>
      <c r="C23" s="1050"/>
      <c r="D23" s="229"/>
      <c r="E23" s="229" t="s">
        <v>10</v>
      </c>
      <c r="F23" s="229"/>
      <c r="G23" s="1044" t="str">
        <f>[1]!AddBlankChart(FALSE,200,200,"black")</f>
        <v>[Real Stats Chart |Tutorial|$G$23]</v>
      </c>
      <c r="H23" s="1045"/>
      <c r="I23" s="1046"/>
      <c r="J23" s="229"/>
      <c r="K23" s="229"/>
    </row>
    <row r="24" spans="1:11" ht="29.25" x14ac:dyDescent="0.25">
      <c r="B24" s="1014" t="s">
        <v>11</v>
      </c>
      <c r="C24" s="1013" t="s">
        <v>12</v>
      </c>
      <c r="D24" s="229"/>
      <c r="E24" s="229"/>
      <c r="F24" s="229"/>
      <c r="G24" s="229"/>
      <c r="H24" s="229"/>
      <c r="I24" s="229"/>
      <c r="J24" s="229"/>
      <c r="K24" s="229"/>
    </row>
    <row r="25" spans="1:11" x14ac:dyDescent="0.25">
      <c r="B25" s="1015">
        <v>1</v>
      </c>
      <c r="C25" s="228">
        <v>-2.0104505705240729</v>
      </c>
      <c r="D25" s="229"/>
      <c r="E25" s="229"/>
      <c r="F25" s="229"/>
      <c r="G25" s="229"/>
      <c r="H25" s="229"/>
      <c r="I25" s="229"/>
      <c r="J25" s="229"/>
      <c r="K25" s="229"/>
    </row>
    <row r="26" spans="1:11" x14ac:dyDescent="0.25">
      <c r="B26" s="1015">
        <f>B25+1</f>
        <v>2</v>
      </c>
      <c r="C26" s="228">
        <v>-0.82664925981617587</v>
      </c>
      <c r="D26" s="229"/>
      <c r="E26" s="229"/>
      <c r="F26" s="229"/>
      <c r="G26" s="229"/>
      <c r="H26" s="229"/>
      <c r="I26" s="229"/>
      <c r="J26" s="229"/>
      <c r="K26" s="229"/>
    </row>
    <row r="27" spans="1:11" x14ac:dyDescent="0.25">
      <c r="B27" s="1015">
        <f t="shared" ref="B27:B34" si="0">B26+1</f>
        <v>3</v>
      </c>
      <c r="C27" s="228">
        <v>-1.0525984485611717</v>
      </c>
      <c r="D27" s="229"/>
      <c r="E27" s="229"/>
      <c r="F27" s="229"/>
      <c r="G27" s="229"/>
      <c r="H27" s="229"/>
      <c r="I27" s="229"/>
      <c r="J27" s="229"/>
      <c r="K27" s="229"/>
    </row>
    <row r="28" spans="1:11" x14ac:dyDescent="0.25">
      <c r="B28" s="1015">
        <f t="shared" si="0"/>
        <v>4</v>
      </c>
      <c r="C28" s="228">
        <v>-2.0298527226372656</v>
      </c>
      <c r="D28" s="229"/>
      <c r="E28" s="229"/>
      <c r="F28" s="229"/>
      <c r="G28" s="229"/>
      <c r="H28" s="229"/>
      <c r="I28" s="229"/>
      <c r="J28" s="229"/>
      <c r="K28" s="229"/>
    </row>
    <row r="29" spans="1:11" x14ac:dyDescent="0.25">
      <c r="B29" s="1015">
        <f t="shared" si="0"/>
        <v>5</v>
      </c>
      <c r="C29" s="228">
        <v>-1.6711925147681923</v>
      </c>
      <c r="D29" s="229"/>
      <c r="E29" s="229"/>
      <c r="F29" s="229"/>
      <c r="G29" s="229"/>
      <c r="H29" s="229"/>
      <c r="I29" s="229"/>
      <c r="J29" s="229"/>
      <c r="K29" s="229"/>
    </row>
    <row r="30" spans="1:11" x14ac:dyDescent="0.25">
      <c r="B30" s="1015">
        <f t="shared" si="0"/>
        <v>6</v>
      </c>
      <c r="C30" s="228">
        <v>-0.88861426571088831</v>
      </c>
      <c r="D30" s="229"/>
      <c r="E30" s="229"/>
      <c r="F30" s="229"/>
      <c r="G30" s="229"/>
      <c r="H30" s="229"/>
      <c r="I30" s="229"/>
      <c r="J30" s="229"/>
      <c r="K30" s="229"/>
    </row>
    <row r="31" spans="1:11" x14ac:dyDescent="0.25">
      <c r="B31" s="1015">
        <f t="shared" si="0"/>
        <v>7</v>
      </c>
      <c r="C31" s="228">
        <v>-0.66545648150113457</v>
      </c>
      <c r="D31" s="229"/>
      <c r="E31" s="229"/>
      <c r="F31" s="229"/>
      <c r="G31" s="229"/>
      <c r="H31" s="229"/>
      <c r="I31" s="229"/>
      <c r="J31" s="229"/>
      <c r="K31" s="229"/>
    </row>
    <row r="32" spans="1:11" x14ac:dyDescent="0.25">
      <c r="B32" s="1015">
        <f t="shared" si="0"/>
        <v>8</v>
      </c>
      <c r="C32" s="228">
        <v>-1.8508986797116986</v>
      </c>
      <c r="D32" s="229"/>
      <c r="E32" s="229"/>
      <c r="F32" s="229"/>
      <c r="G32" s="229"/>
      <c r="H32" s="229"/>
      <c r="I32" s="229"/>
      <c r="J32" s="229"/>
      <c r="K32" s="229"/>
    </row>
    <row r="33" spans="2:11" x14ac:dyDescent="0.25">
      <c r="B33" s="1015">
        <f t="shared" si="0"/>
        <v>9</v>
      </c>
      <c r="C33" s="228">
        <v>-1.810189530158125</v>
      </c>
      <c r="D33" s="229"/>
      <c r="E33" s="229"/>
      <c r="F33" s="229"/>
      <c r="G33" s="229"/>
      <c r="H33" s="229"/>
      <c r="I33" s="229"/>
      <c r="J33" s="229"/>
      <c r="K33" s="229"/>
    </row>
    <row r="34" spans="2:11" x14ac:dyDescent="0.25">
      <c r="B34" s="1016">
        <f t="shared" si="0"/>
        <v>10</v>
      </c>
      <c r="C34" s="227">
        <v>-2.3847943930030837</v>
      </c>
      <c r="D34" s="229"/>
      <c r="E34" s="229"/>
      <c r="F34" s="229"/>
      <c r="G34" s="229"/>
      <c r="H34" s="229"/>
      <c r="I34" s="229"/>
      <c r="J34" s="229"/>
      <c r="K34" s="229"/>
    </row>
    <row r="35" spans="2:11" x14ac:dyDescent="0.25">
      <c r="B35" s="229"/>
      <c r="C35" s="229"/>
      <c r="D35" s="229"/>
      <c r="E35" s="229"/>
      <c r="F35" s="229"/>
      <c r="G35" s="229"/>
      <c r="H35" s="229"/>
      <c r="I35" s="229"/>
      <c r="J35" s="229"/>
      <c r="K35" s="229"/>
    </row>
    <row r="36" spans="2:11" x14ac:dyDescent="0.25">
      <c r="B36" s="229"/>
      <c r="C36" s="229"/>
      <c r="D36" s="229"/>
      <c r="E36" s="229"/>
      <c r="F36" s="229"/>
      <c r="G36" s="229"/>
      <c r="H36" s="229"/>
      <c r="I36" s="229"/>
      <c r="J36" s="229"/>
      <c r="K36" s="229"/>
    </row>
    <row r="37" spans="2:11" x14ac:dyDescent="0.25">
      <c r="B37" s="229"/>
      <c r="C37" s="229"/>
      <c r="D37" s="229"/>
      <c r="E37" s="229"/>
      <c r="F37" s="229"/>
      <c r="G37" s="229"/>
      <c r="H37" s="229"/>
      <c r="I37" s="229"/>
      <c r="J37" s="229"/>
      <c r="K37" s="229"/>
    </row>
    <row r="38" spans="2:11" x14ac:dyDescent="0.25">
      <c r="B38" s="229"/>
      <c r="C38" s="229"/>
      <c r="D38" s="229"/>
      <c r="E38" s="229" t="s">
        <v>13</v>
      </c>
      <c r="F38" s="229"/>
      <c r="G38" s="1047" t="str">
        <f>[1]!AddLineSeries(x,y,G23)</f>
        <v>&lt;&lt; Line |$C$25:$C$34|$G$38 &gt;&gt;</v>
      </c>
      <c r="H38" s="1045"/>
      <c r="I38" s="1046"/>
      <c r="J38" s="229"/>
      <c r="K38" s="229"/>
    </row>
    <row r="39" spans="2:11" x14ac:dyDescent="0.25">
      <c r="B39" s="229"/>
      <c r="C39" s="229"/>
      <c r="D39" s="229"/>
      <c r="E39" s="229"/>
      <c r="F39" s="229"/>
      <c r="G39" s="229"/>
      <c r="H39" s="229"/>
      <c r="I39" s="229"/>
      <c r="J39" s="229"/>
      <c r="K39" s="229"/>
    </row>
    <row r="40" spans="2:11" ht="15" customHeight="1" x14ac:dyDescent="0.25">
      <c r="B40" s="1051" t="s">
        <v>14</v>
      </c>
      <c r="C40" s="1051"/>
      <c r="D40" s="1051"/>
      <c r="E40" s="1051"/>
      <c r="F40" s="1051"/>
      <c r="G40" s="1051"/>
      <c r="H40" s="1051"/>
      <c r="I40" s="1051"/>
      <c r="J40" s="1051"/>
      <c r="K40" s="229"/>
    </row>
    <row r="41" spans="2:11" x14ac:dyDescent="0.25">
      <c r="B41" s="1051"/>
      <c r="C41" s="1051"/>
      <c r="D41" s="1051"/>
      <c r="E41" s="1051"/>
      <c r="F41" s="1051"/>
      <c r="G41" s="1051"/>
      <c r="H41" s="1051"/>
      <c r="I41" s="1051"/>
      <c r="J41" s="1051"/>
      <c r="K41" s="229"/>
    </row>
    <row r="42" spans="2:11" ht="9" customHeight="1" x14ac:dyDescent="0.25">
      <c r="B42" s="1051"/>
      <c r="C42" s="1051"/>
      <c r="D42" s="1051"/>
      <c r="E42" s="1051"/>
      <c r="F42" s="1051"/>
      <c r="G42" s="1051"/>
      <c r="H42" s="1051"/>
      <c r="I42" s="1051"/>
      <c r="J42" s="1051"/>
      <c r="K42" s="229"/>
    </row>
    <row r="43" spans="2:11" ht="16.5" customHeight="1" x14ac:dyDescent="0.25">
      <c r="B43" s="1051"/>
      <c r="C43" s="1051"/>
      <c r="D43" s="1051"/>
      <c r="E43" s="1051"/>
      <c r="F43" s="1051"/>
      <c r="G43" s="1051"/>
      <c r="H43" s="1051"/>
      <c r="I43" s="1051"/>
      <c r="J43" s="1051"/>
      <c r="K43" s="229"/>
    </row>
    <row r="44" spans="2:11" x14ac:dyDescent="0.25">
      <c r="B44" s="1051"/>
      <c r="C44" s="1051"/>
      <c r="D44" s="1051"/>
      <c r="E44" s="1051"/>
      <c r="F44" s="1051"/>
      <c r="G44" s="1051"/>
      <c r="H44" s="1051"/>
      <c r="I44" s="1051"/>
      <c r="J44" s="1051"/>
      <c r="K44" s="229"/>
    </row>
    <row r="45" spans="2:11" x14ac:dyDescent="0.25">
      <c r="B45" s="229"/>
      <c r="C45" s="229"/>
      <c r="D45" s="229"/>
      <c r="E45" s="229"/>
      <c r="F45" s="229"/>
      <c r="G45" s="229"/>
      <c r="H45" s="229"/>
      <c r="I45" s="229"/>
      <c r="J45" s="229"/>
      <c r="K45" s="229"/>
    </row>
    <row r="46" spans="2:11" hidden="1" x14ac:dyDescent="0.25">
      <c r="B46" s="229"/>
      <c r="C46" s="229"/>
      <c r="D46" s="229"/>
      <c r="E46" s="229"/>
      <c r="F46" s="229"/>
      <c r="G46" s="229"/>
      <c r="H46" s="229"/>
      <c r="I46" s="229"/>
      <c r="J46" s="229"/>
      <c r="K46" s="229"/>
    </row>
    <row r="47" spans="2:11" hidden="1" x14ac:dyDescent="0.25">
      <c r="B47" s="229"/>
      <c r="C47" s="229"/>
      <c r="D47" s="229"/>
      <c r="E47" s="229"/>
      <c r="F47" s="229"/>
      <c r="G47" s="229"/>
      <c r="H47" s="229"/>
      <c r="I47" s="229"/>
      <c r="J47" s="229"/>
      <c r="K47" s="229"/>
    </row>
    <row r="48" spans="2:11" hidden="1" x14ac:dyDescent="0.25">
      <c r="B48" s="229"/>
      <c r="C48" s="229"/>
      <c r="D48" s="229"/>
      <c r="E48" s="229"/>
      <c r="F48" s="229"/>
      <c r="G48" s="229"/>
      <c r="H48" s="229"/>
      <c r="I48" s="229"/>
      <c r="J48" s="229"/>
      <c r="K48" s="229"/>
    </row>
    <row r="49" spans="1:11" hidden="1" x14ac:dyDescent="0.25">
      <c r="B49" s="229"/>
      <c r="C49" s="229"/>
      <c r="D49" s="229"/>
      <c r="E49" s="229"/>
      <c r="F49" s="229"/>
      <c r="G49" s="229"/>
      <c r="H49" s="229"/>
      <c r="I49" s="229"/>
      <c r="J49" s="229"/>
      <c r="K49" s="229"/>
    </row>
    <row r="50" spans="1:11" hidden="1" x14ac:dyDescent="0.25">
      <c r="B50" s="229"/>
      <c r="C50" s="229"/>
      <c r="D50" s="229"/>
      <c r="E50" s="229"/>
      <c r="F50" s="229"/>
      <c r="G50" s="229"/>
      <c r="H50" s="229"/>
      <c r="I50" s="229"/>
      <c r="J50" s="229"/>
      <c r="K50" s="229"/>
    </row>
    <row r="51" spans="1:11" hidden="1" x14ac:dyDescent="0.25">
      <c r="B51" s="229"/>
      <c r="C51" s="229"/>
      <c r="D51" s="229"/>
      <c r="E51" s="229"/>
      <c r="F51" s="229"/>
      <c r="G51" s="229"/>
      <c r="H51" s="229"/>
      <c r="I51" s="229"/>
      <c r="J51" s="229"/>
      <c r="K51" s="229"/>
    </row>
    <row r="52" spans="1:11" ht="19.5" x14ac:dyDescent="0.35">
      <c r="A52" s="1104"/>
      <c r="B52" s="1105" t="s">
        <v>15</v>
      </c>
      <c r="C52" s="1105"/>
      <c r="D52" s="1105"/>
      <c r="E52" s="1105"/>
      <c r="F52" s="1105"/>
      <c r="G52" s="1105"/>
      <c r="H52" s="1105"/>
      <c r="I52" s="1105"/>
      <c r="J52" s="1105"/>
      <c r="K52" s="1105"/>
    </row>
    <row r="53" spans="1:11" x14ac:dyDescent="0.25">
      <c r="B53" s="229"/>
      <c r="C53" s="229"/>
      <c r="D53" s="229"/>
      <c r="E53" s="229"/>
      <c r="F53" s="229"/>
      <c r="G53" s="229"/>
      <c r="H53" s="229"/>
      <c r="I53" s="229"/>
      <c r="J53" s="229"/>
      <c r="K53" s="229"/>
    </row>
    <row r="54" spans="1:11" ht="42" customHeight="1" x14ac:dyDescent="0.25">
      <c r="B54" s="994" t="s">
        <v>16</v>
      </c>
      <c r="C54" s="229"/>
      <c r="D54" s="229"/>
      <c r="E54" s="229"/>
      <c r="F54" s="229"/>
      <c r="G54" s="229"/>
      <c r="H54" s="229"/>
      <c r="I54" s="229"/>
      <c r="J54" s="229"/>
      <c r="K54" s="229"/>
    </row>
    <row r="55" spans="1:11" ht="15.75" customHeight="1" x14ac:dyDescent="0.25">
      <c r="B55" s="1032" t="s">
        <v>17</v>
      </c>
      <c r="C55" s="1032"/>
      <c r="D55" s="1032"/>
      <c r="E55" s="1032"/>
      <c r="F55" s="1032"/>
      <c r="G55" s="1032"/>
      <c r="H55" s="1032"/>
      <c r="I55" s="1032"/>
      <c r="J55" s="1032"/>
      <c r="K55" s="229"/>
    </row>
    <row r="56" spans="1:11" x14ac:dyDescent="0.25">
      <c r="B56" s="1032"/>
      <c r="C56" s="1032"/>
      <c r="D56" s="1032"/>
      <c r="E56" s="1032"/>
      <c r="F56" s="1032"/>
      <c r="G56" s="1032"/>
      <c r="H56" s="1032"/>
      <c r="I56" s="1032"/>
      <c r="J56" s="1032"/>
      <c r="K56" s="229"/>
    </row>
    <row r="57" spans="1:11" x14ac:dyDescent="0.25">
      <c r="B57" s="1032"/>
      <c r="C57" s="1032"/>
      <c r="D57" s="1032"/>
      <c r="E57" s="1032"/>
      <c r="F57" s="1032"/>
      <c r="G57" s="1032"/>
      <c r="H57" s="1032"/>
      <c r="I57" s="1032"/>
      <c r="J57" s="1032"/>
      <c r="K57" s="229"/>
    </row>
    <row r="58" spans="1:11" x14ac:dyDescent="0.25">
      <c r="B58" s="229"/>
      <c r="C58" s="229"/>
      <c r="D58" s="229"/>
      <c r="E58" s="229"/>
      <c r="F58" s="229"/>
      <c r="G58" s="229"/>
      <c r="H58" s="229"/>
      <c r="I58" s="229"/>
      <c r="J58" s="229"/>
      <c r="K58" s="229"/>
    </row>
    <row r="59" spans="1:11" x14ac:dyDescent="0.25">
      <c r="B59" s="995" t="s">
        <v>18</v>
      </c>
      <c r="C59" s="217" t="s">
        <v>19</v>
      </c>
      <c r="D59" s="217" t="s">
        <v>20</v>
      </c>
      <c r="E59" s="218" t="s">
        <v>21</v>
      </c>
      <c r="F59" s="218" t="s">
        <v>22</v>
      </c>
      <c r="G59" s="212"/>
      <c r="H59" s="212"/>
      <c r="I59" s="212"/>
      <c r="J59" s="212"/>
      <c r="K59" s="229"/>
    </row>
    <row r="60" spans="1:11" ht="9" customHeight="1" x14ac:dyDescent="0.25">
      <c r="B60" s="1025" t="s">
        <v>23</v>
      </c>
      <c r="C60" s="1026" t="s">
        <v>24</v>
      </c>
      <c r="D60" s="1028" t="s">
        <v>25</v>
      </c>
      <c r="E60" s="1028" t="s">
        <v>26</v>
      </c>
      <c r="F60" s="1033" t="s">
        <v>27</v>
      </c>
      <c r="G60" s="1033"/>
      <c r="H60" s="1033"/>
      <c r="I60" s="1033"/>
      <c r="J60" s="1033"/>
      <c r="K60" s="229"/>
    </row>
    <row r="61" spans="1:11" ht="9" customHeight="1" x14ac:dyDescent="0.25">
      <c r="B61" s="1025"/>
      <c r="C61" s="1026"/>
      <c r="D61" s="1028"/>
      <c r="E61" s="1028"/>
      <c r="F61" s="1028"/>
      <c r="G61" s="1028"/>
      <c r="H61" s="1028"/>
      <c r="I61" s="1028"/>
      <c r="J61" s="1028"/>
      <c r="K61" s="229"/>
    </row>
    <row r="62" spans="1:11" ht="11.25" customHeight="1" x14ac:dyDescent="0.25">
      <c r="B62" s="1025" t="s">
        <v>28</v>
      </c>
      <c r="C62" s="1026" t="s">
        <v>24</v>
      </c>
      <c r="D62" s="1027" t="s">
        <v>25</v>
      </c>
      <c r="E62" s="1028" t="s">
        <v>26</v>
      </c>
      <c r="F62" s="1031" t="s">
        <v>29</v>
      </c>
      <c r="G62" s="1031"/>
      <c r="H62" s="1031"/>
      <c r="I62" s="1031"/>
      <c r="J62" s="1031"/>
      <c r="K62" s="229"/>
    </row>
    <row r="63" spans="1:11" ht="11.25" customHeight="1" x14ac:dyDescent="0.25">
      <c r="B63" s="1025"/>
      <c r="C63" s="1026"/>
      <c r="D63" s="1027"/>
      <c r="E63" s="1028"/>
      <c r="F63" s="1031"/>
      <c r="G63" s="1031"/>
      <c r="H63" s="1031"/>
      <c r="I63" s="1031"/>
      <c r="J63" s="1031"/>
      <c r="K63" s="229"/>
    </row>
    <row r="64" spans="1:11" ht="36.75" customHeight="1" x14ac:dyDescent="0.25">
      <c r="B64" s="1025" t="s">
        <v>30</v>
      </c>
      <c r="C64" s="1026" t="s">
        <v>31</v>
      </c>
      <c r="D64" s="1027" t="s">
        <v>32</v>
      </c>
      <c r="E64" s="1028" t="s">
        <v>26</v>
      </c>
      <c r="F64" s="1029" t="s">
        <v>370</v>
      </c>
      <c r="G64" s="1029"/>
      <c r="H64" s="1029"/>
      <c r="I64" s="1029"/>
      <c r="J64" s="1029"/>
      <c r="K64" s="229"/>
    </row>
    <row r="65" spans="2:11" ht="36.75" customHeight="1" x14ac:dyDescent="0.25">
      <c r="B65" s="1025"/>
      <c r="C65" s="1026"/>
      <c r="D65" s="1027"/>
      <c r="E65" s="1028"/>
      <c r="F65" s="1029"/>
      <c r="G65" s="1029"/>
      <c r="H65" s="1029"/>
      <c r="I65" s="1029"/>
      <c r="J65" s="1029"/>
      <c r="K65" s="229"/>
    </row>
    <row r="66" spans="2:11" ht="30" customHeight="1" x14ac:dyDescent="0.25">
      <c r="B66" s="1025" t="s">
        <v>33</v>
      </c>
      <c r="C66" s="1026" t="s">
        <v>31</v>
      </c>
      <c r="D66" s="1027" t="s">
        <v>32</v>
      </c>
      <c r="E66" s="1028" t="s">
        <v>34</v>
      </c>
      <c r="F66" s="1029" t="s">
        <v>371</v>
      </c>
      <c r="G66" s="1029"/>
      <c r="H66" s="1029"/>
      <c r="I66" s="1029"/>
      <c r="J66" s="1029"/>
      <c r="K66" s="229"/>
    </row>
    <row r="67" spans="2:11" ht="30" customHeight="1" x14ac:dyDescent="0.25">
      <c r="B67" s="1025"/>
      <c r="C67" s="1026"/>
      <c r="D67" s="1027"/>
      <c r="E67" s="1028"/>
      <c r="F67" s="1029"/>
      <c r="G67" s="1029"/>
      <c r="H67" s="1029"/>
      <c r="I67" s="1029"/>
      <c r="J67" s="1029"/>
      <c r="K67" s="229"/>
    </row>
    <row r="68" spans="2:11" ht="107.25" customHeight="1" x14ac:dyDescent="0.25">
      <c r="B68" s="996" t="s">
        <v>35</v>
      </c>
      <c r="C68" s="989" t="s">
        <v>36</v>
      </c>
      <c r="D68" s="262" t="s">
        <v>32</v>
      </c>
      <c r="E68" s="263" t="s">
        <v>37</v>
      </c>
      <c r="F68" s="1031" t="s">
        <v>38</v>
      </c>
      <c r="G68" s="1031"/>
      <c r="H68" s="1031"/>
      <c r="I68" s="1031"/>
      <c r="J68" s="1031"/>
      <c r="K68" s="229"/>
    </row>
    <row r="69" spans="2:11" x14ac:dyDescent="0.25">
      <c r="B69" s="997" t="s">
        <v>39</v>
      </c>
      <c r="C69" s="989" t="s">
        <v>40</v>
      </c>
      <c r="D69" s="264" t="s">
        <v>32</v>
      </c>
      <c r="E69" s="264">
        <v>0</v>
      </c>
      <c r="F69" s="264" t="s">
        <v>41</v>
      </c>
      <c r="G69" s="264"/>
      <c r="H69" s="264"/>
      <c r="I69" s="264"/>
      <c r="J69" s="229"/>
      <c r="K69" s="229"/>
    </row>
    <row r="70" spans="2:11" x14ac:dyDescent="0.25">
      <c r="B70" s="997" t="s">
        <v>42</v>
      </c>
      <c r="C70" s="989" t="s">
        <v>40</v>
      </c>
      <c r="D70" s="264" t="s">
        <v>32</v>
      </c>
      <c r="E70" s="264">
        <v>1</v>
      </c>
      <c r="F70" s="264" t="s">
        <v>43</v>
      </c>
      <c r="G70" s="264"/>
      <c r="H70" s="264"/>
      <c r="I70" s="264"/>
      <c r="J70" s="229"/>
      <c r="K70" s="229"/>
    </row>
    <row r="71" spans="2:11" s="219" customFormat="1" ht="74.25" customHeight="1" x14ac:dyDescent="0.25">
      <c r="B71" s="998" t="s">
        <v>44</v>
      </c>
      <c r="C71" s="989" t="s">
        <v>36</v>
      </c>
      <c r="D71" s="990" t="s">
        <v>32</v>
      </c>
      <c r="E71" s="990" t="s">
        <v>26</v>
      </c>
      <c r="F71" s="1031" t="s">
        <v>372</v>
      </c>
      <c r="G71" s="1031"/>
      <c r="H71" s="1031"/>
      <c r="I71" s="1031"/>
      <c r="J71" s="1031"/>
      <c r="K71" s="1031"/>
    </row>
    <row r="72" spans="2:11" ht="33.75" customHeight="1" x14ac:dyDescent="0.25">
      <c r="B72" s="998" t="s">
        <v>45</v>
      </c>
      <c r="C72" s="989" t="s">
        <v>36</v>
      </c>
      <c r="D72" s="990" t="s">
        <v>32</v>
      </c>
      <c r="E72" s="990" t="s">
        <v>46</v>
      </c>
      <c r="F72" s="1021" t="s">
        <v>47</v>
      </c>
      <c r="G72" s="1021"/>
      <c r="H72" s="1021"/>
      <c r="I72" s="1021"/>
      <c r="J72" s="1021"/>
      <c r="K72" s="1021"/>
    </row>
    <row r="73" spans="2:11" ht="40.5" customHeight="1" x14ac:dyDescent="0.25">
      <c r="B73" s="996" t="s">
        <v>48</v>
      </c>
      <c r="C73" s="989" t="s">
        <v>36</v>
      </c>
      <c r="D73" s="990" t="s">
        <v>32</v>
      </c>
      <c r="E73" s="990" t="s">
        <v>46</v>
      </c>
      <c r="F73" s="1021" t="s">
        <v>49</v>
      </c>
      <c r="G73" s="1021"/>
      <c r="H73" s="1021"/>
      <c r="I73" s="1021"/>
      <c r="J73" s="1021"/>
      <c r="K73" s="1021"/>
    </row>
    <row r="74" spans="2:11" x14ac:dyDescent="0.25">
      <c r="B74" s="229"/>
      <c r="C74" s="229"/>
      <c r="D74" s="229"/>
      <c r="E74" s="229"/>
      <c r="F74" s="229"/>
      <c r="G74" s="229"/>
      <c r="H74" s="229"/>
      <c r="I74" s="229"/>
      <c r="J74" s="229"/>
      <c r="K74" s="229"/>
    </row>
    <row r="75" spans="2:11" x14ac:dyDescent="0.25">
      <c r="B75" s="229"/>
      <c r="C75" s="229"/>
      <c r="D75" s="229"/>
      <c r="E75" s="229"/>
      <c r="F75" s="229"/>
      <c r="G75" s="229"/>
      <c r="H75" s="229"/>
      <c r="I75" s="229"/>
      <c r="J75" s="229"/>
      <c r="K75" s="229"/>
    </row>
    <row r="76" spans="2:11" x14ac:dyDescent="0.25">
      <c r="B76" s="229"/>
      <c r="C76" s="229"/>
      <c r="D76" s="229"/>
      <c r="E76" s="229"/>
      <c r="F76" s="229"/>
      <c r="G76" s="229"/>
      <c r="H76" s="229"/>
      <c r="I76" s="229"/>
      <c r="J76" s="229"/>
      <c r="K76" s="229"/>
    </row>
    <row r="77" spans="2:11" x14ac:dyDescent="0.25">
      <c r="B77" s="229"/>
      <c r="C77" s="229"/>
      <c r="D77" s="229"/>
      <c r="E77" s="229"/>
      <c r="F77" s="229"/>
      <c r="G77" s="229"/>
      <c r="H77" s="229"/>
      <c r="I77" s="229"/>
      <c r="J77" s="229"/>
      <c r="K77" s="229"/>
    </row>
    <row r="78" spans="2:11" x14ac:dyDescent="0.25">
      <c r="B78" s="229"/>
      <c r="C78" s="229"/>
      <c r="D78" s="229"/>
      <c r="E78" s="229"/>
      <c r="F78" s="229"/>
      <c r="G78" s="229"/>
      <c r="H78" s="229"/>
      <c r="I78" s="229"/>
      <c r="J78" s="229"/>
      <c r="K78" s="229"/>
    </row>
    <row r="79" spans="2:11" x14ac:dyDescent="0.25">
      <c r="B79" s="229"/>
      <c r="C79" s="229"/>
      <c r="D79" s="229"/>
      <c r="E79" s="229"/>
      <c r="F79" s="229"/>
      <c r="G79" s="229"/>
      <c r="H79" s="229"/>
      <c r="I79" s="229"/>
      <c r="J79" s="229"/>
      <c r="K79" s="229"/>
    </row>
    <row r="80" spans="2:11" x14ac:dyDescent="0.25">
      <c r="B80" s="229"/>
      <c r="C80" s="229"/>
      <c r="D80" s="229"/>
      <c r="E80" s="229"/>
      <c r="F80" s="229"/>
      <c r="G80" s="229"/>
      <c r="H80" s="229"/>
      <c r="I80" s="229"/>
      <c r="J80" s="229"/>
      <c r="K80" s="229"/>
    </row>
    <row r="81" spans="1:11" ht="3.75" hidden="1" customHeight="1" x14ac:dyDescent="0.25">
      <c r="B81" s="229"/>
      <c r="C81" s="229"/>
      <c r="D81" s="229"/>
      <c r="E81" s="229"/>
      <c r="F81" s="229"/>
      <c r="G81" s="229"/>
      <c r="H81" s="229"/>
      <c r="I81" s="229"/>
      <c r="J81" s="229"/>
      <c r="K81" s="229"/>
    </row>
    <row r="82" spans="1:11" ht="55.5" customHeight="1" x14ac:dyDescent="0.25">
      <c r="B82" s="229"/>
      <c r="C82" s="229"/>
      <c r="D82" s="229"/>
      <c r="E82" s="229"/>
      <c r="F82" s="229"/>
      <c r="G82" s="229"/>
      <c r="H82" s="229"/>
      <c r="I82" s="229"/>
      <c r="J82" s="229"/>
      <c r="K82" s="229"/>
    </row>
    <row r="83" spans="1:11" ht="16.5" customHeight="1" x14ac:dyDescent="0.25">
      <c r="B83" s="229"/>
      <c r="C83" s="229"/>
      <c r="D83" s="229"/>
      <c r="E83" s="229"/>
      <c r="F83" s="229"/>
      <c r="G83" s="229"/>
      <c r="H83" s="229"/>
      <c r="I83" s="229"/>
      <c r="J83" s="229"/>
      <c r="K83" s="229"/>
    </row>
    <row r="84" spans="1:11" ht="19.5" x14ac:dyDescent="0.35">
      <c r="A84" s="1106"/>
      <c r="B84" s="1024" t="s">
        <v>50</v>
      </c>
      <c r="C84" s="1024"/>
      <c r="D84" s="1024"/>
      <c r="E84" s="1024"/>
      <c r="F84" s="1024"/>
      <c r="G84" s="1024"/>
      <c r="H84" s="1024"/>
      <c r="I84" s="1024"/>
      <c r="J84" s="1024"/>
      <c r="K84" s="1024"/>
    </row>
    <row r="85" spans="1:11" x14ac:dyDescent="0.25">
      <c r="B85" s="229"/>
      <c r="C85" s="229"/>
      <c r="D85" s="229"/>
      <c r="E85" s="229"/>
      <c r="F85" s="229"/>
      <c r="G85" s="229"/>
      <c r="H85" s="229"/>
      <c r="I85" s="229"/>
      <c r="J85" s="229"/>
      <c r="K85" s="229"/>
    </row>
    <row r="86" spans="1:11" x14ac:dyDescent="0.25">
      <c r="B86" s="999" t="s">
        <v>1527</v>
      </c>
      <c r="C86" s="221"/>
      <c r="D86" s="221"/>
      <c r="E86" s="221"/>
      <c r="F86" s="221"/>
      <c r="G86" s="221"/>
      <c r="H86" s="221"/>
      <c r="I86" s="221"/>
      <c r="J86" s="221"/>
      <c r="K86" s="221"/>
    </row>
    <row r="87" spans="1:11" x14ac:dyDescent="0.25">
      <c r="B87" s="229"/>
      <c r="C87" s="229" t="s">
        <v>1526</v>
      </c>
      <c r="D87" s="229"/>
      <c r="E87" s="229"/>
      <c r="F87" s="229" t="s">
        <v>51</v>
      </c>
      <c r="G87" s="229"/>
      <c r="H87" s="229"/>
      <c r="I87" s="229"/>
      <c r="J87" s="229"/>
      <c r="K87" s="229"/>
    </row>
    <row r="88" spans="1:11" x14ac:dyDescent="0.25">
      <c r="B88" s="229"/>
      <c r="C88" s="1044" t="str">
        <f>[1]!AddBlankChart(FALSE)</f>
        <v>[Real Stats Chart |Tutorial|$C$88]</v>
      </c>
      <c r="D88" s="1045"/>
      <c r="E88" s="1046"/>
      <c r="F88" s="1047" t="str">
        <f xml:space="preserve"> [1]!AddLineSeries(x,y,C88)</f>
        <v>&lt;&lt; Line |$C$25:$C$34|$F$88 &gt;&gt;</v>
      </c>
      <c r="G88" s="1045"/>
      <c r="H88" s="1046"/>
      <c r="I88" s="229"/>
      <c r="J88" s="229"/>
      <c r="K88" s="229"/>
    </row>
    <row r="89" spans="1:11" x14ac:dyDescent="0.25">
      <c r="B89" s="1053" t="s">
        <v>52</v>
      </c>
      <c r="C89" s="229"/>
      <c r="D89" s="229"/>
      <c r="E89" s="229"/>
      <c r="F89" s="229"/>
      <c r="G89" s="229"/>
      <c r="H89" s="229"/>
      <c r="I89" s="229"/>
      <c r="J89" s="229"/>
      <c r="K89" s="229"/>
    </row>
    <row r="90" spans="1:11" ht="15" customHeight="1" x14ac:dyDescent="0.25">
      <c r="B90" s="1053"/>
      <c r="C90" s="229"/>
      <c r="D90" s="229"/>
      <c r="E90" s="229"/>
      <c r="F90" s="229"/>
      <c r="G90" s="229"/>
      <c r="H90" s="229"/>
      <c r="I90" s="229"/>
      <c r="J90" s="229"/>
      <c r="K90" s="229"/>
    </row>
    <row r="91" spans="1:11" x14ac:dyDescent="0.25">
      <c r="B91" s="1053"/>
      <c r="C91" s="229"/>
      <c r="D91" s="229"/>
      <c r="E91" s="229"/>
      <c r="F91" s="229"/>
      <c r="G91" s="229"/>
      <c r="H91" s="229"/>
      <c r="I91" s="229"/>
      <c r="J91" s="229"/>
      <c r="K91" s="229"/>
    </row>
    <row r="92" spans="1:11" x14ac:dyDescent="0.25">
      <c r="B92" s="1053"/>
      <c r="C92" s="229"/>
      <c r="D92" s="229"/>
      <c r="E92" s="229"/>
      <c r="F92" s="229"/>
      <c r="G92" s="229"/>
      <c r="H92" s="229"/>
      <c r="I92" s="229"/>
      <c r="J92" s="229"/>
      <c r="K92" s="229"/>
    </row>
    <row r="93" spans="1:11" x14ac:dyDescent="0.25">
      <c r="B93" s="1053"/>
      <c r="C93" s="229"/>
      <c r="D93" s="229"/>
      <c r="E93" s="229"/>
      <c r="F93" s="229"/>
      <c r="G93" s="229"/>
      <c r="H93" s="229"/>
      <c r="I93" s="229"/>
      <c r="J93" s="229"/>
      <c r="K93" s="229"/>
    </row>
    <row r="94" spans="1:11" x14ac:dyDescent="0.25">
      <c r="B94" s="1053"/>
      <c r="C94" s="229"/>
      <c r="D94" s="229"/>
      <c r="E94" s="229"/>
      <c r="F94" s="229"/>
      <c r="G94" s="229"/>
      <c r="H94" s="229"/>
      <c r="I94" s="229"/>
      <c r="J94" s="229"/>
      <c r="K94" s="229"/>
    </row>
    <row r="95" spans="1:11" x14ac:dyDescent="0.25">
      <c r="B95" s="1053"/>
      <c r="C95" s="229"/>
      <c r="D95" s="229"/>
      <c r="E95" s="229"/>
      <c r="F95" s="229"/>
      <c r="G95" s="229"/>
      <c r="H95" s="229"/>
      <c r="I95" s="229"/>
      <c r="J95" s="229"/>
      <c r="K95" s="229"/>
    </row>
    <row r="96" spans="1:11" x14ac:dyDescent="0.25">
      <c r="B96" s="1053"/>
      <c r="C96" s="229"/>
      <c r="D96" s="229"/>
      <c r="E96" s="229"/>
      <c r="F96" s="229"/>
      <c r="G96" s="229"/>
      <c r="H96" s="229"/>
      <c r="I96" s="229"/>
      <c r="J96" s="229"/>
      <c r="K96" s="229"/>
    </row>
    <row r="97" spans="2:11" x14ac:dyDescent="0.25">
      <c r="B97" s="1053"/>
      <c r="C97" s="229"/>
      <c r="D97" s="229"/>
      <c r="E97" s="229"/>
      <c r="F97" s="229"/>
      <c r="G97" s="229"/>
      <c r="H97" s="229"/>
      <c r="I97" s="229"/>
      <c r="J97" s="229"/>
      <c r="K97" s="229"/>
    </row>
    <row r="98" spans="2:11" x14ac:dyDescent="0.25">
      <c r="B98" s="1053"/>
      <c r="C98" s="229"/>
      <c r="D98" s="229"/>
      <c r="E98" s="229"/>
      <c r="F98" s="229"/>
      <c r="G98" s="229"/>
      <c r="H98" s="229"/>
      <c r="I98" s="229"/>
      <c r="J98" s="229"/>
      <c r="K98" s="229"/>
    </row>
    <row r="99" spans="2:11" x14ac:dyDescent="0.25">
      <c r="B99" s="229"/>
      <c r="C99" s="229"/>
      <c r="D99" s="229"/>
      <c r="E99" s="229"/>
      <c r="F99" s="229"/>
      <c r="G99" s="229"/>
      <c r="H99" s="229"/>
      <c r="I99" s="229"/>
      <c r="J99" s="229"/>
      <c r="K99" s="229"/>
    </row>
    <row r="100" spans="2:11" x14ac:dyDescent="0.25">
      <c r="B100" s="229"/>
      <c r="C100" s="229"/>
      <c r="D100" s="229"/>
      <c r="E100" s="229"/>
      <c r="F100" s="229"/>
      <c r="G100" s="229"/>
      <c r="H100" s="229"/>
      <c r="I100" s="229"/>
      <c r="J100" s="229"/>
      <c r="K100" s="229"/>
    </row>
    <row r="101" spans="2:11" x14ac:dyDescent="0.25">
      <c r="B101" s="229"/>
      <c r="C101" s="229"/>
      <c r="D101" s="229"/>
      <c r="E101" s="229"/>
      <c r="F101" s="229"/>
      <c r="G101" s="229"/>
      <c r="H101" s="229"/>
      <c r="I101" s="229"/>
      <c r="J101" s="229"/>
      <c r="K101" s="229"/>
    </row>
    <row r="102" spans="2:11" x14ac:dyDescent="0.25">
      <c r="B102" s="229"/>
      <c r="C102" s="229"/>
      <c r="D102" s="229"/>
      <c r="E102" s="229"/>
      <c r="F102" s="229"/>
      <c r="G102" s="229"/>
      <c r="H102" s="229"/>
      <c r="I102" s="229"/>
      <c r="J102" s="229"/>
      <c r="K102" s="229"/>
    </row>
    <row r="103" spans="2:11" x14ac:dyDescent="0.25">
      <c r="B103" s="229"/>
      <c r="C103" s="229"/>
      <c r="D103" s="229"/>
      <c r="E103" s="229"/>
      <c r="F103" s="229"/>
      <c r="G103" s="229"/>
      <c r="H103" s="229"/>
      <c r="I103" s="229"/>
      <c r="J103" s="229"/>
      <c r="K103" s="229"/>
    </row>
    <row r="104" spans="2:11" ht="15" customHeight="1" x14ac:dyDescent="0.25">
      <c r="B104" s="1052" t="s">
        <v>53</v>
      </c>
      <c r="C104" s="1052"/>
      <c r="D104" s="1052"/>
      <c r="E104" s="1052"/>
      <c r="F104" s="1052"/>
      <c r="G104" s="1052"/>
      <c r="H104" s="1052"/>
      <c r="I104" s="1052"/>
      <c r="J104" s="1052"/>
      <c r="K104" s="1052"/>
    </row>
    <row r="105" spans="2:11" x14ac:dyDescent="0.25">
      <c r="B105" s="1052"/>
      <c r="C105" s="1052"/>
      <c r="D105" s="1052"/>
      <c r="E105" s="1052"/>
      <c r="F105" s="1052"/>
      <c r="G105" s="1052"/>
      <c r="H105" s="1052"/>
      <c r="I105" s="1052"/>
      <c r="J105" s="1052"/>
      <c r="K105" s="1052"/>
    </row>
    <row r="106" spans="2:11" x14ac:dyDescent="0.25">
      <c r="B106" s="1052"/>
      <c r="C106" s="1052"/>
      <c r="D106" s="1052"/>
      <c r="E106" s="1052"/>
      <c r="F106" s="1052"/>
      <c r="G106" s="1052"/>
      <c r="H106" s="1052"/>
      <c r="I106" s="1052"/>
      <c r="J106" s="1052"/>
      <c r="K106" s="1052"/>
    </row>
    <row r="107" spans="2:11" x14ac:dyDescent="0.25">
      <c r="B107" s="1052"/>
      <c r="C107" s="1052"/>
      <c r="D107" s="1052"/>
      <c r="E107" s="1052"/>
      <c r="F107" s="1052"/>
      <c r="G107" s="1052"/>
      <c r="H107" s="1052"/>
      <c r="I107" s="1052"/>
      <c r="J107" s="1052"/>
      <c r="K107" s="1052"/>
    </row>
    <row r="108" spans="2:11" x14ac:dyDescent="0.25">
      <c r="B108" s="1052"/>
      <c r="C108" s="1052"/>
      <c r="D108" s="1052"/>
      <c r="E108" s="1052"/>
      <c r="F108" s="1052"/>
      <c r="G108" s="1052"/>
      <c r="H108" s="1052"/>
      <c r="I108" s="1052"/>
      <c r="J108" s="1052"/>
      <c r="K108" s="1052"/>
    </row>
    <row r="109" spans="2:11" x14ac:dyDescent="0.25">
      <c r="B109" s="1052"/>
      <c r="C109" s="1052"/>
      <c r="D109" s="1052"/>
      <c r="E109" s="1052"/>
      <c r="F109" s="1052"/>
      <c r="G109" s="1052"/>
      <c r="H109" s="1052"/>
      <c r="I109" s="1052"/>
      <c r="J109" s="1052"/>
      <c r="K109" s="1052"/>
    </row>
    <row r="110" spans="2:11" x14ac:dyDescent="0.25">
      <c r="B110" s="229"/>
      <c r="C110" s="229"/>
      <c r="D110" s="229"/>
      <c r="E110" s="229"/>
      <c r="F110" s="229"/>
      <c r="G110" s="229"/>
      <c r="H110" s="229"/>
      <c r="I110" s="229"/>
      <c r="J110" s="229"/>
      <c r="K110" s="229"/>
    </row>
    <row r="111" spans="2:11" x14ac:dyDescent="0.25">
      <c r="B111" s="999" t="s">
        <v>54</v>
      </c>
      <c r="C111" s="221"/>
      <c r="D111" s="221"/>
      <c r="E111" s="221"/>
      <c r="F111" s="221"/>
      <c r="G111" s="221"/>
      <c r="H111" s="221"/>
      <c r="I111" s="221"/>
      <c r="J111" s="221"/>
      <c r="K111" s="221"/>
    </row>
    <row r="112" spans="2:11" x14ac:dyDescent="0.25">
      <c r="B112" s="261" t="s">
        <v>1515</v>
      </c>
      <c r="C112" s="229"/>
      <c r="D112" s="229"/>
      <c r="E112" s="229"/>
      <c r="F112" s="229"/>
      <c r="G112" s="229"/>
      <c r="H112" s="229"/>
      <c r="I112" s="229"/>
      <c r="J112" s="229"/>
      <c r="K112" s="229"/>
    </row>
    <row r="113" spans="2:11" x14ac:dyDescent="0.25">
      <c r="B113" s="1054" t="str">
        <f>[1]!AddBlankChart(FALSE) &amp; [1]!AddLineSeries(x,y)</f>
        <v>[Real Stats Chart |Tutorial|$B$113]&lt;&lt; Line |$C$25:$C$34|$B$113 &gt;&gt;</v>
      </c>
      <c r="C113" s="1045"/>
      <c r="D113" s="1045"/>
      <c r="E113" s="1045"/>
      <c r="F113" s="1046"/>
      <c r="G113" s="229"/>
      <c r="H113" s="229"/>
      <c r="I113" s="229"/>
      <c r="J113" s="229"/>
      <c r="K113" s="229"/>
    </row>
    <row r="114" spans="2:11" x14ac:dyDescent="0.25">
      <c r="B114" s="229"/>
      <c r="C114" s="229"/>
      <c r="D114" s="229"/>
      <c r="E114" s="229"/>
      <c r="F114" s="229"/>
      <c r="G114" s="229"/>
      <c r="H114" s="229"/>
      <c r="I114" s="229"/>
      <c r="J114" s="229"/>
      <c r="K114" s="229"/>
    </row>
    <row r="115" spans="2:11" x14ac:dyDescent="0.25">
      <c r="B115" s="229"/>
      <c r="C115" s="229"/>
      <c r="D115" s="229"/>
      <c r="E115" s="229"/>
      <c r="F115" s="229"/>
      <c r="G115" s="229"/>
      <c r="H115" s="229"/>
      <c r="I115" s="229"/>
      <c r="J115" s="229"/>
      <c r="K115" s="229"/>
    </row>
    <row r="116" spans="2:11" x14ac:dyDescent="0.25">
      <c r="B116" s="229"/>
      <c r="C116" s="229"/>
      <c r="D116" s="229"/>
      <c r="E116" s="229"/>
      <c r="F116" s="229"/>
      <c r="G116" s="229"/>
      <c r="H116" s="229"/>
      <c r="I116" s="229"/>
      <c r="J116" s="229"/>
      <c r="K116" s="229"/>
    </row>
    <row r="117" spans="2:11" x14ac:dyDescent="0.25">
      <c r="B117" s="229"/>
      <c r="C117" s="229"/>
      <c r="D117" s="229"/>
      <c r="E117" s="229"/>
      <c r="F117" s="229"/>
      <c r="G117" s="229"/>
      <c r="H117" s="229"/>
      <c r="I117" s="229"/>
      <c r="J117" s="229"/>
      <c r="K117" s="229"/>
    </row>
    <row r="118" spans="2:11" x14ac:dyDescent="0.25">
      <c r="B118" s="229"/>
      <c r="C118" s="229"/>
      <c r="D118" s="229"/>
      <c r="E118" s="229"/>
      <c r="F118" s="229"/>
      <c r="G118" s="229"/>
      <c r="H118" s="229"/>
      <c r="I118" s="229"/>
      <c r="J118" s="229"/>
      <c r="K118" s="229"/>
    </row>
    <row r="119" spans="2:11" x14ac:dyDescent="0.25">
      <c r="B119" s="229"/>
      <c r="C119" s="229"/>
      <c r="D119" s="229"/>
      <c r="E119" s="229"/>
      <c r="F119" s="229"/>
      <c r="G119" s="229"/>
      <c r="H119" s="229"/>
      <c r="I119" s="229"/>
      <c r="J119" s="229"/>
      <c r="K119" s="229"/>
    </row>
    <row r="120" spans="2:11" x14ac:dyDescent="0.25">
      <c r="B120" s="229"/>
      <c r="C120" s="229"/>
      <c r="D120" s="229"/>
      <c r="E120" s="229"/>
      <c r="F120" s="229"/>
      <c r="G120" s="229"/>
      <c r="H120" s="229"/>
      <c r="I120" s="229"/>
      <c r="J120" s="229"/>
      <c r="K120" s="229"/>
    </row>
    <row r="121" spans="2:11" x14ac:dyDescent="0.25">
      <c r="B121" s="229"/>
      <c r="C121" s="229"/>
      <c r="D121" s="229"/>
      <c r="E121" s="229"/>
      <c r="F121" s="229"/>
      <c r="G121" s="229"/>
      <c r="H121" s="229"/>
      <c r="I121" s="229"/>
      <c r="J121" s="229"/>
      <c r="K121" s="229"/>
    </row>
    <row r="122" spans="2:11" x14ac:dyDescent="0.25">
      <c r="B122" s="229"/>
      <c r="C122" s="229"/>
      <c r="D122" s="229"/>
      <c r="E122" s="229"/>
      <c r="F122" s="229"/>
      <c r="G122" s="229"/>
      <c r="H122" s="229"/>
      <c r="I122" s="229"/>
      <c r="J122" s="229"/>
      <c r="K122" s="229"/>
    </row>
    <row r="123" spans="2:11" x14ac:dyDescent="0.25">
      <c r="B123" s="229"/>
      <c r="C123" s="229"/>
      <c r="D123" s="229"/>
      <c r="E123" s="229"/>
      <c r="F123" s="229"/>
      <c r="G123" s="229"/>
      <c r="H123" s="229"/>
      <c r="I123" s="229"/>
      <c r="J123" s="229"/>
      <c r="K123" s="229"/>
    </row>
    <row r="124" spans="2:11" x14ac:dyDescent="0.25">
      <c r="B124" s="229"/>
      <c r="C124" s="229"/>
      <c r="D124" s="229"/>
      <c r="E124" s="229"/>
      <c r="F124" s="229"/>
      <c r="G124" s="229"/>
      <c r="H124" s="229"/>
      <c r="I124" s="229"/>
      <c r="J124" s="229"/>
      <c r="K124" s="229"/>
    </row>
    <row r="125" spans="2:11" x14ac:dyDescent="0.25">
      <c r="B125" s="229"/>
      <c r="C125" s="229"/>
      <c r="D125" s="229"/>
      <c r="E125" s="229"/>
      <c r="F125" s="229"/>
      <c r="G125" s="229"/>
      <c r="H125" s="229"/>
      <c r="I125" s="229"/>
      <c r="J125" s="229"/>
      <c r="K125" s="229"/>
    </row>
    <row r="126" spans="2:11" x14ac:dyDescent="0.25">
      <c r="B126" s="229"/>
      <c r="C126" s="229"/>
      <c r="D126" s="229"/>
      <c r="E126" s="229"/>
      <c r="F126" s="229"/>
      <c r="G126" s="229"/>
      <c r="H126" s="229"/>
      <c r="I126" s="229"/>
      <c r="J126" s="229"/>
      <c r="K126" s="229"/>
    </row>
    <row r="127" spans="2:11" x14ac:dyDescent="0.25">
      <c r="B127" s="229"/>
      <c r="C127" s="229"/>
      <c r="D127" s="229"/>
      <c r="E127" s="229"/>
      <c r="F127" s="229"/>
      <c r="G127" s="229"/>
      <c r="H127" s="229"/>
      <c r="I127" s="229"/>
      <c r="J127" s="229"/>
      <c r="K127" s="229"/>
    </row>
    <row r="128" spans="2:11" x14ac:dyDescent="0.25">
      <c r="B128" s="229"/>
      <c r="C128" s="229"/>
      <c r="D128" s="229"/>
      <c r="E128" s="229"/>
      <c r="F128" s="229"/>
      <c r="G128" s="229"/>
      <c r="H128" s="229"/>
      <c r="I128" s="229"/>
      <c r="J128" s="229"/>
      <c r="K128" s="229"/>
    </row>
    <row r="129" spans="2:11" ht="15" customHeight="1" x14ac:dyDescent="0.25">
      <c r="B129" s="1051" t="s">
        <v>55</v>
      </c>
      <c r="C129" s="1051"/>
      <c r="D129" s="1051"/>
      <c r="E129" s="1051"/>
      <c r="F129" s="1051"/>
      <c r="G129" s="1051"/>
      <c r="H129" s="1051"/>
      <c r="I129" s="1051"/>
      <c r="J129" s="1051"/>
      <c r="K129" s="1051"/>
    </row>
    <row r="130" spans="2:11" x14ac:dyDescent="0.25">
      <c r="B130" s="1051"/>
      <c r="C130" s="1051"/>
      <c r="D130" s="1051"/>
      <c r="E130" s="1051"/>
      <c r="F130" s="1051"/>
      <c r="G130" s="1051"/>
      <c r="H130" s="1051"/>
      <c r="I130" s="1051"/>
      <c r="J130" s="1051"/>
      <c r="K130" s="1051"/>
    </row>
    <row r="131" spans="2:11" x14ac:dyDescent="0.25">
      <c r="B131" s="1051"/>
      <c r="C131" s="1051"/>
      <c r="D131" s="1051"/>
      <c r="E131" s="1051"/>
      <c r="F131" s="1051"/>
      <c r="G131" s="1051"/>
      <c r="H131" s="1051"/>
      <c r="I131" s="1051"/>
      <c r="J131" s="1051"/>
      <c r="K131" s="1051"/>
    </row>
    <row r="132" spans="2:11" x14ac:dyDescent="0.25">
      <c r="B132" s="1051"/>
      <c r="C132" s="1051"/>
      <c r="D132" s="1051"/>
      <c r="E132" s="1051"/>
      <c r="F132" s="1051"/>
      <c r="G132" s="1051"/>
      <c r="H132" s="1051"/>
      <c r="I132" s="1051"/>
      <c r="J132" s="1051"/>
      <c r="K132" s="1051"/>
    </row>
    <row r="133" spans="2:11" x14ac:dyDescent="0.25">
      <c r="B133" s="1051"/>
      <c r="C133" s="1051"/>
      <c r="D133" s="1051"/>
      <c r="E133" s="1051"/>
      <c r="F133" s="1051"/>
      <c r="G133" s="1051"/>
      <c r="H133" s="1051"/>
      <c r="I133" s="1051"/>
      <c r="J133" s="1051"/>
      <c r="K133" s="1051"/>
    </row>
    <row r="134" spans="2:11" hidden="1" x14ac:dyDescent="0.25">
      <c r="B134" s="1008"/>
      <c r="C134" s="1008"/>
      <c r="D134" s="1008"/>
      <c r="E134" s="1008"/>
      <c r="F134" s="1008"/>
      <c r="G134" s="1008"/>
      <c r="H134" s="1008"/>
      <c r="I134" s="1008"/>
      <c r="J134" s="1008"/>
      <c r="K134" s="1008"/>
    </row>
    <row r="135" spans="2:11" hidden="1" x14ac:dyDescent="0.25">
      <c r="B135" s="1008"/>
      <c r="C135" s="1008"/>
      <c r="D135" s="1008"/>
      <c r="E135" s="1008"/>
      <c r="F135" s="1008"/>
      <c r="G135" s="1008"/>
      <c r="H135" s="1008"/>
      <c r="I135" s="1008"/>
      <c r="J135" s="1008"/>
      <c r="K135" s="1008"/>
    </row>
    <row r="136" spans="2:11" hidden="1" x14ac:dyDescent="0.25">
      <c r="B136" s="1008"/>
      <c r="C136" s="1008"/>
      <c r="D136" s="1008"/>
      <c r="E136" s="1008"/>
      <c r="F136" s="1008"/>
      <c r="G136" s="1008"/>
      <c r="H136" s="1008"/>
      <c r="I136" s="1008"/>
      <c r="J136" s="1008"/>
      <c r="K136" s="1008"/>
    </row>
    <row r="137" spans="2:11" hidden="1" x14ac:dyDescent="0.25">
      <c r="B137" s="1008"/>
      <c r="C137" s="1008"/>
      <c r="D137" s="1008"/>
      <c r="E137" s="1008"/>
      <c r="F137" s="1008"/>
      <c r="G137" s="1008"/>
      <c r="H137" s="1008"/>
      <c r="I137" s="1008"/>
      <c r="J137" s="1008"/>
      <c r="K137" s="1008"/>
    </row>
    <row r="138" spans="2:11" hidden="1" x14ac:dyDescent="0.25">
      <c r="B138" s="1008"/>
      <c r="C138" s="1008"/>
      <c r="D138" s="1008"/>
      <c r="E138" s="1008"/>
      <c r="F138" s="1008"/>
      <c r="G138" s="1008"/>
      <c r="H138" s="1008"/>
      <c r="I138" s="1008"/>
      <c r="J138" s="1008"/>
      <c r="K138" s="1008"/>
    </row>
    <row r="139" spans="2:11" x14ac:dyDescent="0.25">
      <c r="B139" s="1008"/>
      <c r="C139" s="1008"/>
      <c r="D139" s="1008"/>
      <c r="E139" s="1008"/>
      <c r="F139" s="1008"/>
      <c r="G139" s="1008"/>
      <c r="H139" s="1008"/>
      <c r="I139" s="1008"/>
      <c r="J139" s="1008"/>
      <c r="K139" s="1008"/>
    </row>
    <row r="140" spans="2:11" x14ac:dyDescent="0.25">
      <c r="B140" s="220" t="s">
        <v>56</v>
      </c>
      <c r="C140" s="221"/>
      <c r="D140" s="221"/>
      <c r="E140" s="221"/>
      <c r="F140" s="221"/>
      <c r="G140" s="221"/>
      <c r="H140" s="221"/>
      <c r="I140" s="221"/>
      <c r="J140" s="221"/>
      <c r="K140" s="222"/>
    </row>
    <row r="141" spans="2:11" x14ac:dyDescent="0.25">
      <c r="B141" s="229"/>
      <c r="C141" s="229"/>
      <c r="D141" s="229"/>
      <c r="E141" s="229"/>
      <c r="F141" s="229"/>
      <c r="G141" s="229"/>
      <c r="H141" s="229"/>
      <c r="I141" s="229"/>
      <c r="J141" s="229"/>
      <c r="K141" s="229"/>
    </row>
    <row r="142" spans="2:11" x14ac:dyDescent="0.25">
      <c r="B142" s="1007" t="s">
        <v>57</v>
      </c>
      <c r="C142" s="229"/>
      <c r="D142" s="229"/>
      <c r="E142" s="229"/>
      <c r="F142" s="229"/>
      <c r="G142" s="229"/>
      <c r="H142" s="229"/>
      <c r="I142" s="229"/>
      <c r="J142" s="229"/>
      <c r="K142" s="229"/>
    </row>
    <row r="143" spans="2:11" x14ac:dyDescent="0.25">
      <c r="B143" s="1006" t="s">
        <v>58</v>
      </c>
      <c r="C143" s="229"/>
      <c r="D143" s="261" t="s">
        <v>1516</v>
      </c>
      <c r="E143" s="229"/>
      <c r="F143" s="229"/>
      <c r="G143" s="229"/>
      <c r="H143" s="229"/>
      <c r="I143" s="229"/>
      <c r="J143" s="229"/>
      <c r="K143" s="229"/>
    </row>
    <row r="144" spans="2:11" x14ac:dyDescent="0.25">
      <c r="B144" s="1009">
        <v>0.12886021132744796</v>
      </c>
      <c r="C144" s="229"/>
      <c r="D144" s="1062" t="str">
        <f>[1]!AddBlankChart(FALSE) &amp; [1]!AddLineSeries(x,y)&amp; [1]!AddLineSeries(x,y_1,,,"dodger_blue")</f>
        <v>[Real Stats Chart |Tutorial|$D$144]&lt;&lt; Line |$C$25:$C$34|$D$144 &gt;&gt;&lt;&lt; Line |$B$144:$B$153|$D$144 &gt;&gt;</v>
      </c>
      <c r="E144" s="1063"/>
      <c r="F144" s="1063"/>
      <c r="G144" s="1063"/>
      <c r="H144" s="1063"/>
      <c r="I144" s="1063"/>
      <c r="J144" s="1063"/>
      <c r="K144" s="1063"/>
    </row>
    <row r="145" spans="2:11" x14ac:dyDescent="0.25">
      <c r="B145" s="1010">
        <v>-1.5359296198805543</v>
      </c>
      <c r="C145" s="229"/>
      <c r="D145" s="1064"/>
      <c r="E145" s="1065"/>
      <c r="F145" s="1065"/>
      <c r="G145" s="1065"/>
      <c r="H145" s="1065"/>
      <c r="I145" s="1065"/>
      <c r="J145" s="1065"/>
      <c r="K145" s="1065"/>
    </row>
    <row r="146" spans="2:11" x14ac:dyDescent="0.25">
      <c r="B146" s="1010">
        <v>-0.70236567214330137</v>
      </c>
      <c r="C146" s="229"/>
      <c r="D146" s="229"/>
      <c r="E146" s="229"/>
      <c r="F146" s="229"/>
      <c r="G146" s="229"/>
      <c r="H146" s="229"/>
      <c r="I146" s="229"/>
      <c r="J146" s="229"/>
      <c r="K146" s="229"/>
    </row>
    <row r="147" spans="2:11" x14ac:dyDescent="0.25">
      <c r="B147" s="1010">
        <v>-0.83847298324953723</v>
      </c>
      <c r="C147" s="229"/>
      <c r="D147" s="229"/>
      <c r="E147" s="229"/>
      <c r="F147" s="229"/>
      <c r="G147" s="229"/>
      <c r="H147" s="229"/>
      <c r="I147" s="229"/>
      <c r="J147" s="229"/>
      <c r="K147" s="229"/>
    </row>
    <row r="148" spans="2:11" x14ac:dyDescent="0.25">
      <c r="B148" s="1010">
        <v>-1.5939280240432498</v>
      </c>
      <c r="C148" s="229"/>
      <c r="D148" s="229"/>
      <c r="E148" s="229"/>
      <c r="F148" s="229"/>
      <c r="G148" s="229"/>
      <c r="H148" s="229"/>
      <c r="I148" s="229"/>
      <c r="J148" s="229"/>
      <c r="K148" s="229"/>
    </row>
    <row r="149" spans="2:11" x14ac:dyDescent="0.25">
      <c r="B149" s="1010">
        <v>-1.3525721107857231</v>
      </c>
      <c r="C149" s="229"/>
      <c r="D149" s="229"/>
      <c r="E149" s="229"/>
      <c r="F149" s="229"/>
      <c r="G149" s="229"/>
      <c r="H149" s="229"/>
      <c r="I149" s="229"/>
      <c r="J149" s="229"/>
      <c r="K149" s="229"/>
    </row>
    <row r="150" spans="2:11" x14ac:dyDescent="0.25">
      <c r="B150" s="1010">
        <v>-0.74170887398102292</v>
      </c>
      <c r="C150" s="229"/>
      <c r="D150" s="229"/>
      <c r="E150" s="229"/>
      <c r="F150" s="229"/>
      <c r="G150" s="229"/>
      <c r="H150" s="229"/>
      <c r="I150" s="229"/>
      <c r="J150" s="229"/>
      <c r="K150" s="229"/>
    </row>
    <row r="151" spans="2:11" x14ac:dyDescent="0.25">
      <c r="B151" s="1010">
        <v>-0.54335470012905551</v>
      </c>
      <c r="C151" s="229"/>
      <c r="D151" s="229"/>
      <c r="E151" s="229"/>
      <c r="F151" s="229"/>
      <c r="G151" s="229"/>
      <c r="H151" s="229"/>
      <c r="I151" s="229"/>
      <c r="J151" s="229"/>
      <c r="K151" s="229"/>
    </row>
    <row r="152" spans="2:11" x14ac:dyDescent="0.25">
      <c r="B152" s="1010">
        <v>-1.4435453839411188</v>
      </c>
      <c r="C152" s="229"/>
      <c r="D152" s="229"/>
      <c r="E152" s="229"/>
      <c r="F152" s="229"/>
      <c r="G152" s="229"/>
      <c r="H152" s="229"/>
      <c r="I152" s="229"/>
      <c r="J152" s="229"/>
      <c r="K152" s="229"/>
    </row>
    <row r="153" spans="2:11" x14ac:dyDescent="0.25">
      <c r="B153" s="1011">
        <v>-1.4524556676811251</v>
      </c>
      <c r="C153" s="229"/>
      <c r="D153" s="229"/>
      <c r="E153" s="229"/>
      <c r="F153" s="229"/>
      <c r="G153" s="229"/>
      <c r="H153" s="229"/>
      <c r="I153" s="229"/>
      <c r="J153" s="229"/>
      <c r="K153" s="229"/>
    </row>
    <row r="154" spans="2:11" x14ac:dyDescent="0.25">
      <c r="B154" s="229"/>
      <c r="C154" s="229"/>
      <c r="D154" s="229"/>
      <c r="E154" s="229"/>
      <c r="F154" s="229"/>
      <c r="G154" s="229"/>
      <c r="H154" s="229"/>
      <c r="I154" s="229"/>
      <c r="J154" s="229"/>
      <c r="K154" s="229"/>
    </row>
    <row r="155" spans="2:11" x14ac:dyDescent="0.25">
      <c r="B155" s="229"/>
      <c r="C155" s="229"/>
      <c r="D155" s="229"/>
      <c r="E155" s="229"/>
      <c r="F155" s="229"/>
      <c r="G155" s="229"/>
      <c r="H155" s="229"/>
      <c r="I155" s="229"/>
      <c r="J155" s="229"/>
      <c r="K155" s="229"/>
    </row>
    <row r="156" spans="2:11" x14ac:dyDescent="0.25">
      <c r="B156" s="229"/>
      <c r="C156" s="229"/>
      <c r="D156" s="229"/>
      <c r="E156" s="229"/>
      <c r="F156" s="229"/>
      <c r="G156" s="229"/>
      <c r="H156" s="229"/>
      <c r="I156" s="229"/>
      <c r="J156" s="229"/>
      <c r="K156" s="229"/>
    </row>
    <row r="157" spans="2:11" x14ac:dyDescent="0.25">
      <c r="B157" s="229"/>
      <c r="C157" s="229"/>
      <c r="D157" s="229"/>
      <c r="E157" s="229"/>
      <c r="F157" s="229"/>
      <c r="G157" s="229"/>
      <c r="H157" s="229"/>
      <c r="I157" s="229"/>
      <c r="J157" s="229"/>
      <c r="K157" s="229"/>
    </row>
    <row r="158" spans="2:11" x14ac:dyDescent="0.25">
      <c r="B158" s="229"/>
      <c r="C158" s="229"/>
      <c r="D158" s="229"/>
      <c r="E158" s="229"/>
      <c r="F158" s="229"/>
      <c r="G158" s="229"/>
      <c r="H158" s="229"/>
      <c r="I158" s="229"/>
      <c r="J158" s="229"/>
      <c r="K158" s="229"/>
    </row>
    <row r="159" spans="2:11" x14ac:dyDescent="0.25">
      <c r="B159" s="229"/>
      <c r="C159" s="229"/>
      <c r="D159" s="229"/>
      <c r="E159" s="229"/>
      <c r="F159" s="229"/>
      <c r="G159" s="229"/>
      <c r="H159" s="229"/>
      <c r="I159" s="229"/>
      <c r="J159" s="229"/>
      <c r="K159" s="229"/>
    </row>
    <row r="160" spans="2:11" x14ac:dyDescent="0.25">
      <c r="B160" s="229"/>
      <c r="C160" s="229"/>
      <c r="D160" s="229"/>
      <c r="E160" s="229"/>
      <c r="F160" s="229"/>
      <c r="G160" s="229"/>
      <c r="H160" s="229"/>
      <c r="I160" s="229"/>
      <c r="J160" s="229"/>
      <c r="K160" s="229"/>
    </row>
    <row r="161" spans="2:11" x14ac:dyDescent="0.25">
      <c r="B161" s="229"/>
      <c r="C161" s="229"/>
      <c r="D161" s="229"/>
      <c r="E161" s="229"/>
      <c r="F161" s="229"/>
      <c r="G161" s="229"/>
      <c r="H161" s="229"/>
      <c r="I161" s="229"/>
      <c r="J161" s="229"/>
      <c r="K161" s="229"/>
    </row>
    <row r="162" spans="2:11" x14ac:dyDescent="0.25">
      <c r="B162" s="220" t="s">
        <v>59</v>
      </c>
      <c r="C162" s="221"/>
      <c r="D162" s="221"/>
      <c r="E162" s="221"/>
      <c r="F162" s="221"/>
      <c r="G162" s="221"/>
      <c r="H162" s="221"/>
      <c r="I162" s="221"/>
      <c r="J162" s="221"/>
      <c r="K162" s="222"/>
    </row>
    <row r="163" spans="2:11" x14ac:dyDescent="0.25">
      <c r="B163" s="261" t="s">
        <v>1517</v>
      </c>
      <c r="C163" s="229"/>
      <c r="D163" s="229"/>
      <c r="E163" s="229"/>
      <c r="F163" s="229"/>
      <c r="G163" s="229"/>
      <c r="H163" s="229"/>
      <c r="I163" s="229"/>
      <c r="J163" s="229"/>
      <c r="K163" s="229"/>
    </row>
    <row r="164" spans="2:11" ht="15" customHeight="1" x14ac:dyDescent="0.25">
      <c r="B164" s="1058" t="str">
        <f>[1]!AddBlankChart(FALSE) &amp; [1]!AddLineSeries(x,y,,,"black",0,1,J170,0.3) &amp; [1]!AddLineSeries(x,y_1,,,"black",0,1,J169)</f>
        <v>[Real Stats Chart |Tutorial|$B$164]&lt;&lt; Line |$C$25:$C$34|$B$164 &gt;&gt;&lt;&lt; Line |$B$144:$B$153|$B$164 &gt;&gt;</v>
      </c>
      <c r="C164" s="1059"/>
      <c r="D164" s="1059"/>
      <c r="E164" s="1059"/>
      <c r="F164" s="1059"/>
      <c r="G164" s="1059"/>
      <c r="H164" s="1059"/>
      <c r="I164" s="1059"/>
      <c r="J164" s="1060"/>
      <c r="K164" s="229"/>
    </row>
    <row r="165" spans="2:11" x14ac:dyDescent="0.25">
      <c r="B165" s="232"/>
      <c r="C165" s="232"/>
      <c r="D165" s="232"/>
      <c r="E165" s="232"/>
      <c r="F165" s="232"/>
      <c r="G165" s="232"/>
      <c r="H165" s="232"/>
      <c r="I165" s="232"/>
      <c r="J165" s="229"/>
      <c r="K165" s="229"/>
    </row>
    <row r="166" spans="2:11" x14ac:dyDescent="0.25">
      <c r="B166" s="229"/>
      <c r="C166" s="229"/>
      <c r="D166" s="229"/>
      <c r="E166" s="229"/>
      <c r="F166" s="229"/>
      <c r="G166" s="229"/>
      <c r="H166" s="229"/>
      <c r="I166" s="229"/>
      <c r="J166" s="229"/>
      <c r="K166" s="229"/>
    </row>
    <row r="167" spans="2:11" x14ac:dyDescent="0.25">
      <c r="B167" s="229"/>
      <c r="C167" s="229"/>
      <c r="D167" s="229"/>
      <c r="E167" s="229"/>
      <c r="F167" s="229"/>
      <c r="G167" s="229"/>
      <c r="H167" s="229"/>
      <c r="I167" s="229" t="s">
        <v>60</v>
      </c>
      <c r="J167" s="2"/>
      <c r="K167" s="229"/>
    </row>
    <row r="168" spans="2:11" x14ac:dyDescent="0.25">
      <c r="B168" s="229"/>
      <c r="C168" s="229"/>
      <c r="D168" s="229"/>
      <c r="E168" s="229"/>
      <c r="F168" s="229"/>
      <c r="G168" s="229"/>
      <c r="H168" s="229"/>
      <c r="I168" s="229"/>
      <c r="J168" s="223"/>
      <c r="K168" s="229"/>
    </row>
    <row r="169" spans="2:11" x14ac:dyDescent="0.25">
      <c r="B169" s="229"/>
      <c r="C169" s="229"/>
      <c r="D169" s="229"/>
      <c r="E169" s="229"/>
      <c r="F169" s="229"/>
      <c r="G169" s="229"/>
      <c r="H169" s="229"/>
      <c r="I169" s="229"/>
      <c r="J169" s="188"/>
      <c r="K169" s="229"/>
    </row>
    <row r="170" spans="2:11" x14ac:dyDescent="0.25">
      <c r="B170" s="229"/>
      <c r="C170" s="229"/>
      <c r="D170" s="229"/>
      <c r="E170" s="229"/>
      <c r="F170" s="229"/>
      <c r="G170" s="229"/>
      <c r="H170" s="229"/>
      <c r="I170" s="229"/>
      <c r="J170" s="17" t="s">
        <v>61</v>
      </c>
      <c r="K170" s="229"/>
    </row>
    <row r="171" spans="2:11" x14ac:dyDescent="0.25">
      <c r="B171" s="229"/>
      <c r="C171" s="229"/>
      <c r="D171" s="229"/>
      <c r="E171" s="229"/>
      <c r="F171" s="229"/>
      <c r="G171" s="229"/>
      <c r="H171" s="229"/>
      <c r="I171" s="229"/>
      <c r="J171" s="224">
        <v>17919</v>
      </c>
      <c r="K171" s="229"/>
    </row>
    <row r="172" spans="2:11" x14ac:dyDescent="0.25">
      <c r="B172" s="229"/>
      <c r="C172" s="229"/>
      <c r="D172" s="229"/>
      <c r="E172" s="229"/>
      <c r="F172" s="229"/>
      <c r="G172" s="229"/>
      <c r="H172" s="229"/>
      <c r="I172" s="229"/>
      <c r="J172" s="229"/>
      <c r="K172" s="229"/>
    </row>
    <row r="173" spans="2:11" ht="15" customHeight="1" x14ac:dyDescent="0.25">
      <c r="B173" s="229"/>
      <c r="C173" s="229"/>
      <c r="D173" s="229"/>
      <c r="E173" s="229"/>
      <c r="F173" s="229"/>
      <c r="G173" s="229"/>
      <c r="H173" s="229"/>
      <c r="I173" s="1051" t="s">
        <v>62</v>
      </c>
      <c r="J173" s="1051"/>
      <c r="K173" s="1051"/>
    </row>
    <row r="174" spans="2:11" x14ac:dyDescent="0.25">
      <c r="B174" s="229"/>
      <c r="C174" s="229"/>
      <c r="D174" s="229"/>
      <c r="E174" s="229"/>
      <c r="F174" s="229"/>
      <c r="G174" s="229"/>
      <c r="H174" s="229"/>
      <c r="I174" s="1051"/>
      <c r="J174" s="1051"/>
      <c r="K174" s="1051"/>
    </row>
    <row r="175" spans="2:11" x14ac:dyDescent="0.25">
      <c r="B175" s="229"/>
      <c r="C175" s="229"/>
      <c r="D175" s="229"/>
      <c r="E175" s="229"/>
      <c r="F175" s="229"/>
      <c r="G175" s="229"/>
      <c r="H175" s="229"/>
      <c r="I175" s="1051"/>
      <c r="J175" s="1051"/>
      <c r="K175" s="1051"/>
    </row>
    <row r="176" spans="2:11" x14ac:dyDescent="0.25">
      <c r="B176" s="229"/>
      <c r="C176" s="229"/>
      <c r="D176" s="229"/>
      <c r="E176" s="229"/>
      <c r="F176" s="229"/>
      <c r="G176" s="229"/>
      <c r="H176" s="229"/>
      <c r="I176" s="1051"/>
      <c r="J176" s="1051"/>
      <c r="K176" s="1051"/>
    </row>
    <row r="177" spans="1:11" x14ac:dyDescent="0.25">
      <c r="B177" s="229"/>
      <c r="C177" s="229"/>
      <c r="D177" s="229"/>
      <c r="E177" s="229"/>
      <c r="F177" s="229"/>
      <c r="G177" s="229"/>
      <c r="H177" s="229"/>
      <c r="I177" s="1051"/>
      <c r="J177" s="1051"/>
      <c r="K177" s="1051"/>
    </row>
    <row r="178" spans="1:11" x14ac:dyDescent="0.25">
      <c r="B178" s="229"/>
      <c r="C178" s="229"/>
      <c r="D178" s="229"/>
      <c r="E178" s="229"/>
      <c r="F178" s="229"/>
      <c r="G178" s="229"/>
      <c r="H178" s="229"/>
      <c r="I178" s="1051"/>
      <c r="J178" s="1051"/>
      <c r="K178" s="1051"/>
    </row>
    <row r="179" spans="1:11" x14ac:dyDescent="0.25">
      <c r="B179" s="229"/>
      <c r="C179" s="229"/>
      <c r="D179" s="229"/>
      <c r="E179" s="229"/>
      <c r="F179" s="229"/>
      <c r="G179" s="229"/>
      <c r="H179" s="229"/>
      <c r="I179" s="1051"/>
      <c r="J179" s="1051"/>
      <c r="K179" s="1051"/>
    </row>
    <row r="180" spans="1:11" x14ac:dyDescent="0.25">
      <c r="B180" s="229"/>
      <c r="C180" s="229"/>
      <c r="D180" s="229"/>
      <c r="E180" s="229"/>
      <c r="F180" s="229"/>
      <c r="G180" s="229"/>
      <c r="H180" s="229"/>
      <c r="I180" s="1051"/>
      <c r="J180" s="1051"/>
      <c r="K180" s="1051"/>
    </row>
    <row r="181" spans="1:11" x14ac:dyDescent="0.25">
      <c r="B181" s="229"/>
      <c r="C181" s="229"/>
      <c r="D181" s="229"/>
      <c r="E181" s="229"/>
      <c r="F181" s="229"/>
      <c r="G181" s="229"/>
      <c r="H181" s="229"/>
      <c r="I181" s="1051"/>
      <c r="J181" s="1051"/>
      <c r="K181" s="1051"/>
    </row>
    <row r="182" spans="1:11" x14ac:dyDescent="0.25">
      <c r="B182" s="1051" t="s">
        <v>63</v>
      </c>
      <c r="C182" s="1051"/>
      <c r="D182" s="1051"/>
      <c r="E182" s="1051"/>
      <c r="F182" s="1051"/>
      <c r="G182" s="1051"/>
      <c r="H182" s="1051"/>
      <c r="I182" s="1051"/>
      <c r="J182" s="1051"/>
      <c r="K182" s="1051"/>
    </row>
    <row r="183" spans="1:11" x14ac:dyDescent="0.25">
      <c r="B183" s="1051"/>
      <c r="C183" s="1051"/>
      <c r="D183" s="1051"/>
      <c r="E183" s="1051"/>
      <c r="F183" s="1051"/>
      <c r="G183" s="1051"/>
      <c r="H183" s="1051"/>
      <c r="I183" s="1051"/>
      <c r="J183" s="1051"/>
      <c r="K183" s="1051"/>
    </row>
    <row r="184" spans="1:11" x14ac:dyDescent="0.25">
      <c r="B184" s="1051"/>
      <c r="C184" s="1051"/>
      <c r="D184" s="1051"/>
      <c r="E184" s="1051"/>
      <c r="F184" s="1051"/>
      <c r="G184" s="1051"/>
      <c r="H184" s="1051"/>
      <c r="I184" s="1051"/>
      <c r="J184" s="1051"/>
      <c r="K184" s="1051"/>
    </row>
    <row r="185" spans="1:11" x14ac:dyDescent="0.25">
      <c r="B185" s="1051"/>
      <c r="C185" s="1051"/>
      <c r="D185" s="1051"/>
      <c r="E185" s="1051"/>
      <c r="F185" s="1051"/>
      <c r="G185" s="1051"/>
      <c r="H185" s="1051"/>
      <c r="I185" s="1051"/>
      <c r="J185" s="1051"/>
      <c r="K185" s="1051"/>
    </row>
    <row r="186" spans="1:11" x14ac:dyDescent="0.25">
      <c r="B186" s="1051"/>
      <c r="C186" s="1051"/>
      <c r="D186" s="1051"/>
      <c r="E186" s="1051"/>
      <c r="F186" s="1051"/>
      <c r="G186" s="1051"/>
      <c r="H186" s="1051"/>
      <c r="I186" s="1051"/>
      <c r="J186" s="1051"/>
      <c r="K186" s="1051"/>
    </row>
    <row r="187" spans="1:11" x14ac:dyDescent="0.25">
      <c r="B187" s="1051"/>
      <c r="C187" s="1051"/>
      <c r="D187" s="1051"/>
      <c r="E187" s="1051"/>
      <c r="F187" s="1051"/>
      <c r="G187" s="1051"/>
      <c r="H187" s="1051"/>
      <c r="I187" s="1051"/>
      <c r="J187" s="1051"/>
      <c r="K187" s="1051"/>
    </row>
    <row r="188" spans="1:11" x14ac:dyDescent="0.25">
      <c r="B188" s="1051"/>
      <c r="C188" s="1051"/>
      <c r="D188" s="1051"/>
      <c r="E188" s="1051"/>
      <c r="F188" s="1051"/>
      <c r="G188" s="1051"/>
      <c r="H188" s="1051"/>
      <c r="I188" s="1051"/>
      <c r="J188" s="1051"/>
      <c r="K188" s="1051"/>
    </row>
    <row r="189" spans="1:11" ht="27.75" customHeight="1" x14ac:dyDescent="0.25">
      <c r="B189" s="1051"/>
      <c r="C189" s="1051"/>
      <c r="D189" s="1051"/>
      <c r="E189" s="1051"/>
      <c r="F189" s="1051"/>
      <c r="G189" s="1051"/>
      <c r="H189" s="1051"/>
      <c r="I189" s="1051"/>
      <c r="J189" s="1051"/>
      <c r="K189" s="1051"/>
    </row>
    <row r="190" spans="1:11" ht="19.5" x14ac:dyDescent="0.35">
      <c r="A190" s="1017"/>
      <c r="B190" s="1024" t="s">
        <v>64</v>
      </c>
      <c r="C190" s="1024"/>
      <c r="D190" s="1024"/>
      <c r="E190" s="1024"/>
      <c r="F190" s="1024"/>
      <c r="G190" s="1024"/>
      <c r="H190" s="1024"/>
      <c r="I190" s="1024"/>
      <c r="J190" s="1024"/>
      <c r="K190" s="1024"/>
    </row>
    <row r="191" spans="1:11" x14ac:dyDescent="0.25">
      <c r="B191" s="229"/>
      <c r="C191" s="229"/>
      <c r="D191" s="229"/>
      <c r="E191" s="229"/>
      <c r="F191" s="229"/>
      <c r="G191" s="229"/>
      <c r="H191" s="229"/>
      <c r="I191" s="229"/>
      <c r="J191" s="229"/>
      <c r="K191" s="229"/>
    </row>
    <row r="192" spans="1:11" x14ac:dyDescent="0.25">
      <c r="B192" s="1061" t="s">
        <v>65</v>
      </c>
      <c r="C192" s="1061"/>
      <c r="D192" s="1061"/>
      <c r="E192" s="1061"/>
      <c r="F192" s="1061"/>
      <c r="G192" s="1061"/>
      <c r="H192" s="1061"/>
      <c r="I192" s="1061"/>
      <c r="J192" s="1061"/>
      <c r="K192" s="1061"/>
    </row>
    <row r="193" spans="2:12" x14ac:dyDescent="0.25">
      <c r="B193" s="1000"/>
      <c r="C193" s="225"/>
      <c r="D193" s="225"/>
      <c r="E193" s="225"/>
      <c r="F193" s="225"/>
      <c r="G193" s="225"/>
      <c r="H193" s="225"/>
      <c r="I193" s="225"/>
      <c r="J193" s="225"/>
      <c r="K193" s="1000"/>
    </row>
    <row r="194" spans="2:12" x14ac:dyDescent="0.25">
      <c r="B194" s="225" t="s">
        <v>66</v>
      </c>
      <c r="C194" s="225">
        <v>0.01</v>
      </c>
      <c r="D194" s="225">
        <v>0.05</v>
      </c>
      <c r="E194" s="225">
        <v>0.1</v>
      </c>
      <c r="F194" s="225">
        <v>0.3</v>
      </c>
      <c r="G194" s="225">
        <v>0.7</v>
      </c>
      <c r="H194" s="225">
        <v>0.9</v>
      </c>
      <c r="I194" s="225">
        <v>0.95</v>
      </c>
      <c r="J194" s="225">
        <v>0.99</v>
      </c>
      <c r="K194" s="1001"/>
    </row>
    <row r="195" spans="2:12" x14ac:dyDescent="0.25">
      <c r="B195" s="1002">
        <v>10</v>
      </c>
      <c r="C195" s="236">
        <v>-2.3847943930030837</v>
      </c>
      <c r="D195" s="236">
        <v>-2.3847943930030837</v>
      </c>
      <c r="E195" s="236">
        <v>-2.3847943930030837</v>
      </c>
      <c r="F195" s="236">
        <v>-2.3847943930030837</v>
      </c>
      <c r="G195" s="236">
        <v>-2.3847943930030837</v>
      </c>
      <c r="H195" s="236">
        <v>-2.3847943930030837</v>
      </c>
      <c r="I195" s="236">
        <v>-2.3847943930030837</v>
      </c>
      <c r="J195" s="236">
        <v>-2.3847943930030837</v>
      </c>
      <c r="K195" s="229"/>
    </row>
    <row r="196" spans="2:12" x14ac:dyDescent="0.25">
      <c r="B196" s="1003">
        <v>11</v>
      </c>
      <c r="C196" s="230">
        <v>-3.6049693808647136</v>
      </c>
      <c r="D196" s="230">
        <v>-3.226948705343835</v>
      </c>
      <c r="E196" s="230">
        <v>-2.769195284870356</v>
      </c>
      <c r="F196" s="230">
        <v>-2.1570881492319289</v>
      </c>
      <c r="G196" s="230">
        <v>-1.6298660206385158</v>
      </c>
      <c r="H196" s="230">
        <v>-1.0177588850000889</v>
      </c>
      <c r="I196" s="230">
        <v>-0.56000546452661015</v>
      </c>
      <c r="J196" s="230">
        <v>-0.18198478900573156</v>
      </c>
      <c r="K196" s="1004"/>
    </row>
    <row r="197" spans="2:12" x14ac:dyDescent="0.25">
      <c r="B197" s="1005">
        <v>12</v>
      </c>
      <c r="C197" s="252">
        <v>-3.6931504971148752</v>
      </c>
      <c r="D197" s="252">
        <v>-3.2167802167625279</v>
      </c>
      <c r="E197" s="252">
        <v>-2.6399331304418405</v>
      </c>
      <c r="F197" s="252">
        <v>-1.8685741368948212</v>
      </c>
      <c r="G197" s="252">
        <v>-1.2041846749693879</v>
      </c>
      <c r="H197" s="252">
        <v>-0.43282568142236832</v>
      </c>
      <c r="I197" s="252">
        <v>0.14402140489831905</v>
      </c>
      <c r="J197" s="252">
        <v>0.62039168525066613</v>
      </c>
      <c r="K197" s="229"/>
      <c r="L197" s="1"/>
    </row>
    <row r="198" spans="2:12" x14ac:dyDescent="0.25">
      <c r="B198" s="1005">
        <v>13</v>
      </c>
      <c r="C198" s="252">
        <v>-3.6519747087918191</v>
      </c>
      <c r="D198" s="252">
        <v>-3.1207010568912676</v>
      </c>
      <c r="E198" s="252">
        <v>-2.4773702892558291</v>
      </c>
      <c r="F198" s="252">
        <v>-1.6171094242729236</v>
      </c>
      <c r="G198" s="252">
        <v>-0.87614671043550363</v>
      </c>
      <c r="H198" s="252">
        <v>-1.588584545259808E-2</v>
      </c>
      <c r="I198" s="252">
        <v>0.62744492218284043</v>
      </c>
      <c r="J198" s="252">
        <v>1.1587185740833919</v>
      </c>
      <c r="K198" s="229"/>
      <c r="L198" s="1"/>
    </row>
    <row r="199" spans="2:12" x14ac:dyDescent="0.25">
      <c r="B199" s="1005">
        <v>14</v>
      </c>
      <c r="C199" s="252">
        <v>-3.5673615913270176</v>
      </c>
      <c r="D199" s="252">
        <v>-3.0028482605955804</v>
      </c>
      <c r="E199" s="252">
        <v>-2.3192668461950885</v>
      </c>
      <c r="F199" s="252">
        <v>-1.4051828812701512</v>
      </c>
      <c r="G199" s="252">
        <v>-0.61786107820346259</v>
      </c>
      <c r="H199" s="252">
        <v>0.29622288672147468</v>
      </c>
      <c r="I199" s="252">
        <v>0.97980430112196659</v>
      </c>
      <c r="J199" s="252">
        <v>1.5443176318534038</v>
      </c>
      <c r="K199" s="229"/>
      <c r="L199" s="1"/>
    </row>
    <row r="200" spans="2:12" x14ac:dyDescent="0.25">
      <c r="B200" s="1005">
        <v>15</v>
      </c>
      <c r="C200" s="252">
        <v>-3.4710154697095064</v>
      </c>
      <c r="D200" s="252">
        <v>-2.8856473059010828</v>
      </c>
      <c r="E200" s="252">
        <v>-2.176812322601906</v>
      </c>
      <c r="F200" s="252">
        <v>-1.2289593260720648</v>
      </c>
      <c r="G200" s="252">
        <v>-0.41255146978577706</v>
      </c>
      <c r="H200" s="252">
        <v>0.53530152674406406</v>
      </c>
      <c r="I200" s="252">
        <v>1.2441365100432407</v>
      </c>
      <c r="J200" s="252">
        <v>1.8295046738516643</v>
      </c>
      <c r="K200" s="229"/>
      <c r="L200" s="1"/>
    </row>
    <row r="201" spans="2:12" x14ac:dyDescent="0.25">
      <c r="B201" s="1005">
        <v>16</v>
      </c>
      <c r="C201" s="252">
        <v>-3.3765958827693145</v>
      </c>
      <c r="D201" s="252">
        <v>-2.7778937583961292</v>
      </c>
      <c r="E201" s="252">
        <v>-2.0529123935569276</v>
      </c>
      <c r="F201" s="252">
        <v>-1.0834684816710261</v>
      </c>
      <c r="G201" s="252">
        <v>-0.24846386725279868</v>
      </c>
      <c r="H201" s="252">
        <v>0.72098004463310261</v>
      </c>
      <c r="I201" s="252">
        <v>1.4459614094723041</v>
      </c>
      <c r="J201" s="252">
        <v>2.0446635338454895</v>
      </c>
      <c r="K201" s="229"/>
      <c r="L201" s="1"/>
    </row>
    <row r="202" spans="2:12" x14ac:dyDescent="0.25">
      <c r="B202" s="1005">
        <v>17</v>
      </c>
      <c r="C202" s="252">
        <v>-3.2900216078658038</v>
      </c>
      <c r="D202" s="252">
        <v>-2.6827004650418815</v>
      </c>
      <c r="E202" s="252">
        <v>-1.9472821441512345</v>
      </c>
      <c r="F202" s="252">
        <v>-0.96388195146501487</v>
      </c>
      <c r="G202" s="252">
        <v>-0.11685646742709765</v>
      </c>
      <c r="H202" s="252">
        <v>0.86654372525912204</v>
      </c>
      <c r="I202" s="252">
        <v>1.6019620461497692</v>
      </c>
      <c r="J202" s="252">
        <v>2.2092831889736915</v>
      </c>
      <c r="K202" s="229"/>
      <c r="L202" s="1"/>
    </row>
    <row r="203" spans="2:12" x14ac:dyDescent="0.25">
      <c r="B203" s="1005">
        <v>18</v>
      </c>
      <c r="C203" s="252">
        <v>-3.2135036476351164</v>
      </c>
      <c r="D203" s="252">
        <v>-2.6005740752072279</v>
      </c>
      <c r="E203" s="252">
        <v>-1.8583643854816276</v>
      </c>
      <c r="F203" s="252">
        <v>-0.86588278534174545</v>
      </c>
      <c r="G203" s="252">
        <v>-1.1035273607074958E-2</v>
      </c>
      <c r="H203" s="252">
        <v>0.98144632653280728</v>
      </c>
      <c r="I203" s="252">
        <v>1.7236560162584074</v>
      </c>
      <c r="J203" s="252">
        <v>2.3365855886862965</v>
      </c>
      <c r="K203" s="229"/>
      <c r="L203" s="1"/>
    </row>
    <row r="204" spans="2:12" x14ac:dyDescent="0.25">
      <c r="B204" s="1005">
        <v>19</v>
      </c>
      <c r="C204" s="252">
        <v>-3.1474047293329566</v>
      </c>
      <c r="D204" s="252">
        <v>-2.5308105258328042</v>
      </c>
      <c r="E204" s="252">
        <v>-1.7841632549992645</v>
      </c>
      <c r="F204" s="252">
        <v>-0.78574772855833008</v>
      </c>
      <c r="G204" s="252">
        <v>7.421081206851976E-2</v>
      </c>
      <c r="H204" s="252">
        <v>1.0726263385094541</v>
      </c>
      <c r="I204" s="252">
        <v>1.819273609342994</v>
      </c>
      <c r="J204" s="252">
        <v>2.4358678128431466</v>
      </c>
      <c r="K204" s="229"/>
      <c r="L204" s="1"/>
    </row>
    <row r="205" spans="2:12" x14ac:dyDescent="0.25">
      <c r="B205" s="1005">
        <v>20</v>
      </c>
      <c r="C205" s="252">
        <v>-3.0911790653302011</v>
      </c>
      <c r="D205" s="252">
        <v>-2.4721839848645946</v>
      </c>
      <c r="E205" s="252">
        <v>-1.7226294401324562</v>
      </c>
      <c r="F205" s="252">
        <v>-0.72032631172287442</v>
      </c>
      <c r="G205" s="252">
        <v>0.14298071100081688</v>
      </c>
      <c r="H205" s="252">
        <v>1.1452838394103986</v>
      </c>
      <c r="I205" s="252">
        <v>1.8948383841425371</v>
      </c>
      <c r="J205" s="252">
        <v>2.5138334646081439</v>
      </c>
      <c r="K205" s="229"/>
      <c r="L205" s="1"/>
    </row>
    <row r="206" spans="2:12" x14ac:dyDescent="0.25">
      <c r="B206" s="229"/>
      <c r="C206" s="2"/>
      <c r="D206" s="2"/>
      <c r="E206" s="2"/>
      <c r="F206" s="2"/>
      <c r="G206" s="2"/>
      <c r="H206" s="2"/>
      <c r="I206" s="2"/>
      <c r="J206" s="2"/>
      <c r="K206" s="229"/>
      <c r="L206" s="1"/>
    </row>
    <row r="207" spans="2:12" x14ac:dyDescent="0.25">
      <c r="B207" s="229"/>
      <c r="C207" s="229"/>
      <c r="D207" s="229"/>
      <c r="E207" s="229"/>
      <c r="F207" s="229"/>
      <c r="G207" s="229"/>
      <c r="H207" s="229"/>
      <c r="I207" s="229"/>
      <c r="J207" s="229"/>
      <c r="K207" s="229"/>
      <c r="L207" s="1"/>
    </row>
    <row r="208" spans="2:12" x14ac:dyDescent="0.25">
      <c r="B208" s="261" t="s">
        <v>1518</v>
      </c>
      <c r="C208" s="229"/>
      <c r="D208" s="229"/>
      <c r="E208" s="229"/>
      <c r="F208" s="229"/>
      <c r="G208" s="229"/>
      <c r="H208" s="229"/>
      <c r="I208" s="229"/>
      <c r="J208" s="229"/>
      <c r="K208" s="229"/>
    </row>
    <row r="209" spans="2:11" x14ac:dyDescent="0.25">
      <c r="B209" s="1055" t="str">
        <f ca="1">[1]!AddBlankChart(FALSE,,,)  &amp; [1]!AddLineSeries(x,y,,,"black",0,1,J170,0.3) &amp; [1]!AddConfidence(Confidence_X,Confidence_Bounds)</f>
        <v>[Real Stats Chart |Tutorial|$B$209]&lt;&lt; Line |$C$25:$C$34|$B$209 &gt;&gt;&lt;&lt;Confidence bounds $C$195:$J$205|$B$209 &gt;&gt;</v>
      </c>
      <c r="C209" s="1056"/>
      <c r="D209" s="1056"/>
      <c r="E209" s="1056"/>
      <c r="F209" s="1056"/>
      <c r="G209" s="1056"/>
      <c r="H209" s="1056"/>
      <c r="I209" s="1056"/>
      <c r="J209" s="1057"/>
      <c r="K209" s="265"/>
    </row>
    <row r="210" spans="2:11" x14ac:dyDescent="0.25">
      <c r="B210" s="265"/>
      <c r="C210" s="265"/>
      <c r="D210" s="265"/>
      <c r="E210" s="265"/>
      <c r="F210" s="265"/>
      <c r="G210" s="265"/>
      <c r="H210" s="265"/>
      <c r="I210" s="265"/>
      <c r="J210" s="265"/>
      <c r="K210" s="265"/>
    </row>
    <row r="211" spans="2:11" x14ac:dyDescent="0.25">
      <c r="B211" s="229"/>
      <c r="C211" s="229"/>
      <c r="D211" s="229"/>
      <c r="E211" s="229"/>
      <c r="F211" s="229"/>
      <c r="G211" s="229"/>
      <c r="H211" s="229"/>
      <c r="I211" s="1051" t="s">
        <v>1530</v>
      </c>
      <c r="J211" s="1051"/>
      <c r="K211" s="1051"/>
    </row>
    <row r="212" spans="2:11" x14ac:dyDescent="0.25">
      <c r="B212" s="229"/>
      <c r="C212" s="229"/>
      <c r="D212" s="229"/>
      <c r="E212" s="229"/>
      <c r="F212" s="229"/>
      <c r="G212" s="229"/>
      <c r="H212" s="229"/>
      <c r="I212" s="1051"/>
      <c r="J212" s="1051"/>
      <c r="K212" s="1051"/>
    </row>
    <row r="213" spans="2:11" x14ac:dyDescent="0.25">
      <c r="B213" s="229"/>
      <c r="C213" s="229"/>
      <c r="D213" s="229"/>
      <c r="E213" s="229"/>
      <c r="F213" s="229"/>
      <c r="G213" s="229"/>
      <c r="H213" s="229"/>
      <c r="I213" s="1051"/>
      <c r="J213" s="1051"/>
      <c r="K213" s="1051"/>
    </row>
    <row r="214" spans="2:11" x14ac:dyDescent="0.25">
      <c r="B214" s="229"/>
      <c r="C214" s="229"/>
      <c r="D214" s="229"/>
      <c r="E214" s="229"/>
      <c r="F214" s="229"/>
      <c r="G214" s="229"/>
      <c r="H214" s="229"/>
      <c r="I214" s="1051"/>
      <c r="J214" s="1051"/>
      <c r="K214" s="1051"/>
    </row>
    <row r="215" spans="2:11" x14ac:dyDescent="0.25">
      <c r="B215" s="229"/>
      <c r="C215" s="229"/>
      <c r="D215" s="229"/>
      <c r="E215" s="229"/>
      <c r="F215" s="229"/>
      <c r="G215" s="229"/>
      <c r="H215" s="229"/>
      <c r="I215" s="1051"/>
      <c r="J215" s="1051"/>
      <c r="K215" s="1051"/>
    </row>
    <row r="216" spans="2:11" x14ac:dyDescent="0.25">
      <c r="B216" s="229"/>
      <c r="C216" s="229"/>
      <c r="D216" s="229"/>
      <c r="E216" s="229"/>
      <c r="F216" s="229"/>
      <c r="G216" s="229"/>
      <c r="H216" s="229"/>
      <c r="I216" s="1051"/>
      <c r="J216" s="1051"/>
      <c r="K216" s="1051"/>
    </row>
    <row r="217" spans="2:11" x14ac:dyDescent="0.25">
      <c r="B217" s="229"/>
      <c r="C217" s="229"/>
      <c r="D217" s="229"/>
      <c r="E217" s="229"/>
      <c r="F217" s="229"/>
      <c r="G217" s="229"/>
      <c r="H217" s="229"/>
      <c r="I217" s="1051"/>
      <c r="J217" s="1051"/>
      <c r="K217" s="1051"/>
    </row>
    <row r="218" spans="2:11" x14ac:dyDescent="0.25">
      <c r="B218" s="229"/>
      <c r="C218" s="229"/>
      <c r="D218" s="229"/>
      <c r="E218" s="229"/>
      <c r="F218" s="229"/>
      <c r="G218" s="229"/>
      <c r="H218" s="229"/>
      <c r="I218" s="1051"/>
      <c r="J218" s="1051"/>
      <c r="K218" s="1051"/>
    </row>
    <row r="219" spans="2:11" x14ac:dyDescent="0.25">
      <c r="B219" s="229"/>
      <c r="C219" s="229"/>
      <c r="D219" s="229"/>
      <c r="E219" s="229"/>
      <c r="F219" s="229"/>
      <c r="G219" s="229"/>
      <c r="H219" s="229"/>
      <c r="I219" s="1051"/>
      <c r="J219" s="1051"/>
      <c r="K219" s="1051"/>
    </row>
    <row r="220" spans="2:11" x14ac:dyDescent="0.25">
      <c r="B220" s="229"/>
      <c r="C220" s="229"/>
      <c r="D220" s="229"/>
      <c r="E220" s="229"/>
      <c r="F220" s="229"/>
      <c r="G220" s="229"/>
      <c r="H220" s="229"/>
      <c r="I220" s="1051"/>
      <c r="J220" s="1051"/>
      <c r="K220" s="1051"/>
    </row>
    <row r="221" spans="2:11" x14ac:dyDescent="0.25">
      <c r="B221" s="229"/>
      <c r="C221" s="229"/>
      <c r="D221" s="229"/>
      <c r="E221" s="229"/>
      <c r="F221" s="229"/>
      <c r="G221" s="229"/>
      <c r="H221" s="229"/>
      <c r="I221" s="1051"/>
      <c r="J221" s="1051"/>
      <c r="K221" s="1051"/>
    </row>
    <row r="222" spans="2:11" x14ac:dyDescent="0.25">
      <c r="B222" s="229"/>
      <c r="C222" s="229"/>
      <c r="D222" s="229"/>
      <c r="E222" s="229"/>
      <c r="F222" s="229"/>
      <c r="G222" s="229"/>
      <c r="H222" s="229"/>
      <c r="I222" s="1051"/>
      <c r="J222" s="1051"/>
      <c r="K222" s="1051"/>
    </row>
    <row r="223" spans="2:11" x14ac:dyDescent="0.25">
      <c r="B223" s="229"/>
      <c r="C223" s="229"/>
      <c r="D223" s="229"/>
      <c r="E223" s="229"/>
      <c r="F223" s="229"/>
      <c r="G223" s="229"/>
      <c r="H223" s="229"/>
      <c r="I223" s="1051"/>
      <c r="J223" s="1051"/>
      <c r="K223" s="1051"/>
    </row>
    <row r="224" spans="2:11" x14ac:dyDescent="0.25">
      <c r="B224" s="229"/>
      <c r="C224" s="229"/>
      <c r="D224" s="229"/>
      <c r="E224" s="229"/>
      <c r="F224" s="229"/>
      <c r="G224" s="229"/>
      <c r="H224" s="229"/>
      <c r="I224" s="1051"/>
      <c r="J224" s="1051"/>
      <c r="K224" s="1051"/>
    </row>
    <row r="225" spans="1:11" ht="15" customHeight="1" x14ac:dyDescent="0.25">
      <c r="B225" s="1051" t="s">
        <v>1528</v>
      </c>
      <c r="C225" s="1051"/>
      <c r="D225" s="1051"/>
      <c r="E225" s="1051"/>
      <c r="F225" s="1051"/>
      <c r="G225" s="1051"/>
      <c r="H225" s="1051"/>
      <c r="I225" s="1051"/>
      <c r="J225" s="1051"/>
      <c r="K225" s="1051"/>
    </row>
    <row r="226" spans="1:11" x14ac:dyDescent="0.25">
      <c r="B226" s="1051"/>
      <c r="C226" s="1051"/>
      <c r="D226" s="1051"/>
      <c r="E226" s="1051"/>
      <c r="F226" s="1051"/>
      <c r="G226" s="1051"/>
      <c r="H226" s="1051"/>
      <c r="I226" s="1051"/>
      <c r="J226" s="1051"/>
      <c r="K226" s="1051"/>
    </row>
    <row r="227" spans="1:11" x14ac:dyDescent="0.25">
      <c r="B227" s="1051"/>
      <c r="C227" s="1051"/>
      <c r="D227" s="1051"/>
      <c r="E227" s="1051"/>
      <c r="F227" s="1051"/>
      <c r="G227" s="1051"/>
      <c r="H227" s="1051"/>
      <c r="I227" s="1051"/>
      <c r="J227" s="1051"/>
      <c r="K227" s="1051"/>
    </row>
    <row r="228" spans="1:11" x14ac:dyDescent="0.25">
      <c r="B228" s="1051"/>
      <c r="C228" s="1051"/>
      <c r="D228" s="1051"/>
      <c r="E228" s="1051"/>
      <c r="F228" s="1051"/>
      <c r="G228" s="1051"/>
      <c r="H228" s="1051"/>
      <c r="I228" s="1051"/>
      <c r="J228" s="1051"/>
      <c r="K228" s="1051"/>
    </row>
    <row r="229" spans="1:11" x14ac:dyDescent="0.25">
      <c r="B229" s="1051"/>
      <c r="C229" s="1051"/>
      <c r="D229" s="1051"/>
      <c r="E229" s="1051"/>
      <c r="F229" s="1051"/>
      <c r="G229" s="1051"/>
      <c r="H229" s="1051"/>
      <c r="I229" s="1051"/>
      <c r="J229" s="1051"/>
      <c r="K229" s="1051"/>
    </row>
    <row r="230" spans="1:11" x14ac:dyDescent="0.25">
      <c r="B230" s="1051"/>
      <c r="C230" s="1051"/>
      <c r="D230" s="1051"/>
      <c r="E230" s="1051"/>
      <c r="F230" s="1051"/>
      <c r="G230" s="1051"/>
      <c r="H230" s="1051"/>
      <c r="I230" s="1051"/>
      <c r="J230" s="1051"/>
      <c r="K230" s="1051"/>
    </row>
    <row r="231" spans="1:11" x14ac:dyDescent="0.25">
      <c r="B231" s="1051"/>
      <c r="C231" s="1051"/>
      <c r="D231" s="1051"/>
      <c r="E231" s="1051"/>
      <c r="F231" s="1051"/>
      <c r="G231" s="1051"/>
      <c r="H231" s="1051"/>
      <c r="I231" s="1051"/>
      <c r="J231" s="1051"/>
      <c r="K231" s="1051"/>
    </row>
    <row r="232" spans="1:11" x14ac:dyDescent="0.25">
      <c r="B232" s="1051"/>
      <c r="C232" s="1051"/>
      <c r="D232" s="1051"/>
      <c r="E232" s="1051"/>
      <c r="F232" s="1051"/>
      <c r="G232" s="1051"/>
      <c r="H232" s="1051"/>
      <c r="I232" s="1051"/>
      <c r="J232" s="1051"/>
      <c r="K232" s="1051"/>
    </row>
    <row r="233" spans="1:11" x14ac:dyDescent="0.25">
      <c r="B233" s="229"/>
      <c r="C233" s="229"/>
      <c r="D233" s="229"/>
      <c r="E233" s="229"/>
      <c r="F233" s="229"/>
      <c r="G233" s="229"/>
      <c r="H233" s="229"/>
      <c r="I233" s="229"/>
      <c r="J233" s="229"/>
      <c r="K233" s="229"/>
    </row>
    <row r="234" spans="1:11" x14ac:dyDescent="0.25">
      <c r="B234" s="229"/>
      <c r="C234" s="229"/>
      <c r="D234" s="229"/>
      <c r="E234" s="229"/>
      <c r="F234" s="229"/>
      <c r="G234" s="229"/>
      <c r="H234" s="229"/>
      <c r="I234" s="229"/>
      <c r="J234" s="229"/>
      <c r="K234" s="229"/>
    </row>
    <row r="235" spans="1:11" x14ac:dyDescent="0.25">
      <c r="B235" s="229"/>
      <c r="C235" s="229"/>
      <c r="D235" s="229"/>
      <c r="E235" s="229"/>
      <c r="F235" s="229"/>
      <c r="G235" s="229"/>
      <c r="H235" s="229"/>
      <c r="I235" s="229"/>
      <c r="J235" s="229"/>
      <c r="K235" s="229"/>
    </row>
    <row r="236" spans="1:11" x14ac:dyDescent="0.25">
      <c r="B236" s="229"/>
      <c r="C236" s="229"/>
      <c r="D236" s="229"/>
      <c r="E236" s="229"/>
      <c r="F236" s="229"/>
      <c r="G236" s="229"/>
      <c r="H236" s="229"/>
      <c r="I236" s="229"/>
      <c r="J236" s="229"/>
      <c r="K236" s="229"/>
    </row>
    <row r="237" spans="1:11" x14ac:dyDescent="0.25">
      <c r="B237" s="229"/>
      <c r="C237" s="229"/>
      <c r="D237" s="229"/>
      <c r="E237" s="229"/>
      <c r="F237" s="229"/>
      <c r="G237" s="229"/>
      <c r="H237" s="229"/>
      <c r="I237" s="229"/>
      <c r="J237" s="229"/>
      <c r="K237" s="229"/>
    </row>
    <row r="238" spans="1:11" x14ac:dyDescent="0.25">
      <c r="B238" s="229"/>
      <c r="C238" s="229"/>
      <c r="D238" s="229"/>
      <c r="E238" s="229"/>
      <c r="F238" s="229"/>
      <c r="G238" s="229"/>
      <c r="H238" s="229"/>
      <c r="I238" s="229"/>
      <c r="J238" s="229"/>
      <c r="K238" s="229"/>
    </row>
    <row r="239" spans="1:11" ht="30.75" customHeight="1" x14ac:dyDescent="0.25">
      <c r="B239" s="229"/>
      <c r="C239" s="229"/>
      <c r="D239" s="229"/>
      <c r="E239" s="229"/>
      <c r="F239" s="229"/>
      <c r="G239" s="229"/>
      <c r="H239" s="229"/>
      <c r="I239" s="229"/>
      <c r="J239" s="229"/>
      <c r="K239" s="229"/>
    </row>
    <row r="240" spans="1:11" ht="19.5" x14ac:dyDescent="0.35">
      <c r="A240" s="1106"/>
      <c r="B240" s="1107" t="s">
        <v>67</v>
      </c>
      <c r="C240" s="1107"/>
      <c r="D240" s="1107"/>
      <c r="E240" s="1107"/>
      <c r="F240" s="1107"/>
      <c r="G240" s="1107"/>
      <c r="H240" s="1107"/>
      <c r="I240" s="1107"/>
      <c r="J240" s="1107"/>
      <c r="K240" s="1107"/>
    </row>
    <row r="241" spans="2:11" x14ac:dyDescent="0.25">
      <c r="B241" s="229"/>
      <c r="C241" s="229"/>
      <c r="D241" s="229"/>
      <c r="E241" s="229"/>
      <c r="F241" s="229"/>
      <c r="G241" s="229"/>
      <c r="H241" s="229"/>
      <c r="I241" s="229"/>
      <c r="J241" s="229"/>
      <c r="K241" s="229"/>
    </row>
    <row r="242" spans="2:11" x14ac:dyDescent="0.25">
      <c r="B242" s="994" t="s">
        <v>16</v>
      </c>
      <c r="C242" s="229"/>
      <c r="D242" s="229"/>
      <c r="E242" s="229"/>
      <c r="F242" s="229"/>
      <c r="G242" s="229"/>
      <c r="H242" s="229"/>
      <c r="I242" s="229"/>
      <c r="J242" s="229"/>
      <c r="K242" s="229"/>
    </row>
    <row r="243" spans="2:11" x14ac:dyDescent="0.25">
      <c r="B243" s="1032" t="s">
        <v>68</v>
      </c>
      <c r="C243" s="1032"/>
      <c r="D243" s="1032"/>
      <c r="E243" s="1032"/>
      <c r="F243" s="1032"/>
      <c r="G243" s="1032"/>
      <c r="H243" s="1032"/>
      <c r="I243" s="1032"/>
      <c r="J243" s="1032"/>
      <c r="K243" s="229"/>
    </row>
    <row r="244" spans="2:11" x14ac:dyDescent="0.25">
      <c r="B244" s="1032"/>
      <c r="C244" s="1032"/>
      <c r="D244" s="1032"/>
      <c r="E244" s="1032"/>
      <c r="F244" s="1032"/>
      <c r="G244" s="1032"/>
      <c r="H244" s="1032"/>
      <c r="I244" s="1032"/>
      <c r="J244" s="1032"/>
      <c r="K244" s="229"/>
    </row>
    <row r="245" spans="2:11" x14ac:dyDescent="0.25">
      <c r="B245" s="1032"/>
      <c r="C245" s="1032"/>
      <c r="D245" s="1032"/>
      <c r="E245" s="1032"/>
      <c r="F245" s="1032"/>
      <c r="G245" s="1032"/>
      <c r="H245" s="1032"/>
      <c r="I245" s="1032"/>
      <c r="J245" s="1032"/>
      <c r="K245" s="229"/>
    </row>
    <row r="246" spans="2:11" x14ac:dyDescent="0.25">
      <c r="B246" s="229"/>
      <c r="C246" s="229"/>
      <c r="D246" s="229"/>
      <c r="E246" s="229"/>
      <c r="F246" s="229"/>
      <c r="G246" s="229"/>
      <c r="H246" s="229"/>
      <c r="I246" s="229"/>
      <c r="J246" s="229"/>
      <c r="K246" s="229"/>
    </row>
    <row r="247" spans="2:11" x14ac:dyDescent="0.25">
      <c r="B247" s="995" t="s">
        <v>18</v>
      </c>
      <c r="C247" s="217" t="s">
        <v>19</v>
      </c>
      <c r="D247" s="217" t="s">
        <v>20</v>
      </c>
      <c r="E247" s="218" t="s">
        <v>21</v>
      </c>
      <c r="F247" s="218" t="s">
        <v>22</v>
      </c>
      <c r="G247" s="212"/>
      <c r="H247" s="212"/>
      <c r="I247" s="212"/>
      <c r="J247" s="212"/>
      <c r="K247" s="229"/>
    </row>
    <row r="248" spans="2:11" x14ac:dyDescent="0.25">
      <c r="B248" s="1025" t="s">
        <v>23</v>
      </c>
      <c r="C248" s="1026" t="s">
        <v>24</v>
      </c>
      <c r="D248" s="1028" t="s">
        <v>25</v>
      </c>
      <c r="E248" s="1028" t="s">
        <v>26</v>
      </c>
      <c r="F248" s="1033" t="s">
        <v>69</v>
      </c>
      <c r="G248" s="1033"/>
      <c r="H248" s="1033"/>
      <c r="I248" s="1033"/>
      <c r="J248" s="1033"/>
      <c r="K248" s="229"/>
    </row>
    <row r="249" spans="2:11" x14ac:dyDescent="0.25">
      <c r="B249" s="1025"/>
      <c r="C249" s="1026"/>
      <c r="D249" s="1028"/>
      <c r="E249" s="1028"/>
      <c r="F249" s="1028"/>
      <c r="G249" s="1028"/>
      <c r="H249" s="1028"/>
      <c r="I249" s="1028"/>
      <c r="J249" s="1028"/>
      <c r="K249" s="229"/>
    </row>
    <row r="250" spans="2:11" ht="23.25" customHeight="1" x14ac:dyDescent="0.25">
      <c r="B250" s="1030" t="s">
        <v>70</v>
      </c>
      <c r="C250" s="1026" t="s">
        <v>24</v>
      </c>
      <c r="D250" s="1027" t="s">
        <v>25</v>
      </c>
      <c r="E250" s="1028" t="s">
        <v>26</v>
      </c>
      <c r="F250" s="1031" t="s">
        <v>71</v>
      </c>
      <c r="G250" s="1031"/>
      <c r="H250" s="1031"/>
      <c r="I250" s="1031"/>
      <c r="J250" s="1031"/>
      <c r="K250" s="229"/>
    </row>
    <row r="251" spans="2:11" ht="23.25" customHeight="1" x14ac:dyDescent="0.25">
      <c r="B251" s="1030"/>
      <c r="C251" s="1026"/>
      <c r="D251" s="1027"/>
      <c r="E251" s="1028"/>
      <c r="F251" s="1031"/>
      <c r="G251" s="1031"/>
      <c r="H251" s="1031"/>
      <c r="I251" s="1031"/>
      <c r="J251" s="1031"/>
      <c r="K251" s="229"/>
    </row>
    <row r="252" spans="2:11" ht="32.25" customHeight="1" x14ac:dyDescent="0.25">
      <c r="B252" s="1025" t="s">
        <v>30</v>
      </c>
      <c r="C252" s="1026" t="s">
        <v>31</v>
      </c>
      <c r="D252" s="1027" t="s">
        <v>32</v>
      </c>
      <c r="E252" s="1028" t="s">
        <v>26</v>
      </c>
      <c r="F252" s="1029" t="s">
        <v>370</v>
      </c>
      <c r="G252" s="1029"/>
      <c r="H252" s="1029"/>
      <c r="I252" s="1029"/>
      <c r="J252" s="1029"/>
      <c r="K252" s="229"/>
    </row>
    <row r="253" spans="2:11" ht="32.25" customHeight="1" x14ac:dyDescent="0.25">
      <c r="B253" s="1025"/>
      <c r="C253" s="1026"/>
      <c r="D253" s="1027"/>
      <c r="E253" s="1028"/>
      <c r="F253" s="1029"/>
      <c r="G253" s="1029"/>
      <c r="H253" s="1029"/>
      <c r="I253" s="1029"/>
      <c r="J253" s="1029"/>
      <c r="K253" s="229"/>
    </row>
    <row r="254" spans="2:11" ht="41.25" customHeight="1" x14ac:dyDescent="0.25">
      <c r="B254" s="1025" t="s">
        <v>72</v>
      </c>
      <c r="C254" s="1026" t="s">
        <v>31</v>
      </c>
      <c r="D254" s="1027" t="s">
        <v>32</v>
      </c>
      <c r="E254" s="1028" t="s">
        <v>73</v>
      </c>
      <c r="F254" s="1029" t="s">
        <v>373</v>
      </c>
      <c r="G254" s="1029"/>
      <c r="H254" s="1029"/>
      <c r="I254" s="1029"/>
      <c r="J254" s="1029"/>
      <c r="K254" s="229"/>
    </row>
    <row r="255" spans="2:11" ht="41.25" customHeight="1" x14ac:dyDescent="0.25">
      <c r="B255" s="1025"/>
      <c r="C255" s="1026"/>
      <c r="D255" s="1027"/>
      <c r="E255" s="1028"/>
      <c r="F255" s="1029"/>
      <c r="G255" s="1029"/>
      <c r="H255" s="1029"/>
      <c r="I255" s="1029"/>
      <c r="J255" s="1029"/>
      <c r="K255" s="229"/>
    </row>
    <row r="256" spans="2:11" ht="101.25" customHeight="1" x14ac:dyDescent="0.25">
      <c r="B256" s="996" t="s">
        <v>74</v>
      </c>
      <c r="C256" s="989" t="s">
        <v>36</v>
      </c>
      <c r="D256" s="262" t="s">
        <v>32</v>
      </c>
      <c r="E256" s="263" t="s">
        <v>75</v>
      </c>
      <c r="F256" s="1031" t="s">
        <v>76</v>
      </c>
      <c r="G256" s="1031"/>
      <c r="H256" s="1031"/>
      <c r="I256" s="1031"/>
      <c r="J256" s="1031"/>
      <c r="K256" s="229"/>
    </row>
    <row r="257" spans="2:11" ht="104.25" customHeight="1" x14ac:dyDescent="0.25">
      <c r="B257" s="997" t="s">
        <v>77</v>
      </c>
      <c r="C257" s="989" t="s">
        <v>36</v>
      </c>
      <c r="D257" s="264" t="s">
        <v>32</v>
      </c>
      <c r="E257" s="264" t="s">
        <v>78</v>
      </c>
      <c r="F257" s="1031" t="s">
        <v>79</v>
      </c>
      <c r="G257" s="1031"/>
      <c r="H257" s="1031"/>
      <c r="I257" s="1031"/>
      <c r="J257" s="1031"/>
      <c r="K257" s="229"/>
    </row>
    <row r="258" spans="2:11" x14ac:dyDescent="0.25">
      <c r="B258" s="997" t="s">
        <v>80</v>
      </c>
      <c r="C258" s="989" t="s">
        <v>40</v>
      </c>
      <c r="D258" s="264" t="s">
        <v>32</v>
      </c>
      <c r="E258" s="266">
        <v>0.3</v>
      </c>
      <c r="F258" s="264" t="s">
        <v>81</v>
      </c>
      <c r="G258" s="264"/>
      <c r="H258" s="264"/>
      <c r="I258" s="264"/>
      <c r="J258" s="229"/>
      <c r="K258" s="229"/>
    </row>
    <row r="259" spans="2:11" x14ac:dyDescent="0.25">
      <c r="B259" s="998" t="s">
        <v>82</v>
      </c>
      <c r="C259" s="989" t="s">
        <v>40</v>
      </c>
      <c r="D259" s="990" t="s">
        <v>32</v>
      </c>
      <c r="E259" s="990">
        <v>0.3</v>
      </c>
      <c r="F259" s="1031" t="s">
        <v>83</v>
      </c>
      <c r="G259" s="1031"/>
      <c r="H259" s="1031"/>
      <c r="I259" s="1031"/>
      <c r="J259" s="1031"/>
      <c r="K259" s="1031"/>
    </row>
    <row r="260" spans="2:11" ht="60.75" customHeight="1" x14ac:dyDescent="0.25">
      <c r="B260" s="998" t="s">
        <v>84</v>
      </c>
      <c r="C260" s="989" t="s">
        <v>36</v>
      </c>
      <c r="D260" s="990" t="s">
        <v>32</v>
      </c>
      <c r="E260" s="990" t="s">
        <v>46</v>
      </c>
      <c r="F260" s="1031" t="s">
        <v>374</v>
      </c>
      <c r="G260" s="1031"/>
      <c r="H260" s="1031"/>
      <c r="I260" s="1031"/>
      <c r="J260" s="1031"/>
      <c r="K260" s="1031"/>
    </row>
    <row r="261" spans="2:11" ht="56.25" customHeight="1" x14ac:dyDescent="0.25">
      <c r="B261" s="229"/>
      <c r="C261" s="229"/>
      <c r="D261" s="229"/>
      <c r="E261" s="229"/>
      <c r="F261" s="229"/>
      <c r="G261" s="229"/>
      <c r="H261" s="229"/>
      <c r="I261" s="229"/>
      <c r="J261" s="229"/>
      <c r="K261" s="229"/>
    </row>
    <row r="262" spans="2:11" ht="56.25" customHeight="1" x14ac:dyDescent="0.25">
      <c r="B262" s="229"/>
      <c r="C262" s="229"/>
      <c r="D262" s="229"/>
      <c r="E262" s="229"/>
      <c r="F262" s="229"/>
      <c r="G262" s="229"/>
      <c r="H262" s="229"/>
      <c r="I262" s="229"/>
      <c r="J262" s="229"/>
      <c r="K262" s="229"/>
    </row>
    <row r="263" spans="2:11" x14ac:dyDescent="0.25">
      <c r="B263" s="1066" t="s">
        <v>85</v>
      </c>
      <c r="C263" s="1066"/>
      <c r="D263" s="1066"/>
      <c r="E263" s="1066"/>
      <c r="F263" s="1066"/>
      <c r="G263" s="1066"/>
      <c r="H263" s="1066"/>
      <c r="I263" s="1066"/>
      <c r="J263" s="1066"/>
      <c r="K263" s="1066"/>
    </row>
    <row r="264" spans="2:11" x14ac:dyDescent="0.25">
      <c r="B264" s="229"/>
      <c r="C264" s="229"/>
      <c r="D264" s="229"/>
      <c r="E264" s="229"/>
      <c r="F264" s="229"/>
      <c r="G264" s="229"/>
      <c r="H264" s="229"/>
      <c r="I264" s="229"/>
      <c r="J264" s="229"/>
      <c r="K264" s="229"/>
    </row>
    <row r="265" spans="2:11" x14ac:dyDescent="0.25">
      <c r="B265" s="220" t="s">
        <v>86</v>
      </c>
      <c r="C265" s="221"/>
      <c r="D265" s="221"/>
      <c r="E265" s="222"/>
      <c r="F265" s="220" t="s">
        <v>87</v>
      </c>
      <c r="G265" s="220"/>
      <c r="H265" s="221"/>
      <c r="I265" s="221"/>
      <c r="J265" s="221"/>
      <c r="K265" s="222"/>
    </row>
    <row r="266" spans="2:11" x14ac:dyDescent="0.25">
      <c r="B266" s="213"/>
      <c r="C266" s="229"/>
      <c r="D266" s="229"/>
      <c r="E266" s="214"/>
      <c r="F266" s="213"/>
      <c r="G266" s="229"/>
      <c r="H266" s="229"/>
      <c r="I266" s="229"/>
      <c r="J266" s="229"/>
      <c r="K266" s="214"/>
    </row>
    <row r="267" spans="2:11" ht="33" customHeight="1" x14ac:dyDescent="0.25">
      <c r="B267" s="1078" t="s">
        <v>1519</v>
      </c>
      <c r="C267" s="1079"/>
      <c r="D267" s="1079"/>
      <c r="E267" s="1080"/>
      <c r="F267" s="1081" t="s">
        <v>1520</v>
      </c>
      <c r="G267" s="1082"/>
      <c r="H267" s="1082"/>
      <c r="I267" s="1082"/>
      <c r="J267" s="1082"/>
      <c r="K267" s="1083"/>
    </row>
    <row r="268" spans="2:11" x14ac:dyDescent="0.25">
      <c r="B268" s="1070" t="str">
        <f ca="1">[1]!AddBlankChart(FALSE,250,150,)  &amp; [1]!AddLineSeries(x,y) &amp; [1]!AddConfidence(Confidence_X,Confidence_Bounds)</f>
        <v>[Real Stats Chart |Tutorial|$B$268]&lt;&lt; Line |$C$25:$C$34|$B$268 &gt;&gt;&lt;&lt;Confidence bounds $C$195:$J$205|$B$268 &gt;&gt;</v>
      </c>
      <c r="C268" s="1071"/>
      <c r="D268" s="1071"/>
      <c r="E268" s="1072"/>
      <c r="F268" s="1067" t="str">
        <f ca="1">[1]!AddBlankChart(FALSE,250,150,)  &amp; [1]!AddLineSeries(x,y) &amp; [1]!AddConfidence(Confidence_X,Confidence_Bounds,,,"dodger blue 1","dodger blue 1",0,0,"black")</f>
        <v>[Real Stats Chart |Tutorial|$F$268]&lt;&lt; Line |$C$25:$C$34|$F$268 &gt;&gt;&lt;&lt;Confidence bounds $C$195:$J$205|$F$268 &gt;&gt;</v>
      </c>
      <c r="G268" s="1068"/>
      <c r="H268" s="1068"/>
      <c r="I268" s="1068"/>
      <c r="J268" s="1068"/>
      <c r="K268" s="1069"/>
    </row>
    <row r="269" spans="2:11" x14ac:dyDescent="0.25">
      <c r="B269" s="213"/>
      <c r="C269" s="229"/>
      <c r="D269" s="229"/>
      <c r="E269" s="214"/>
      <c r="F269" s="213"/>
      <c r="G269" s="229"/>
      <c r="H269" s="229"/>
      <c r="I269" s="229"/>
      <c r="J269" s="229"/>
      <c r="K269" s="214"/>
    </row>
    <row r="270" spans="2:11" x14ac:dyDescent="0.25">
      <c r="B270" s="213"/>
      <c r="C270" s="229"/>
      <c r="D270" s="229"/>
      <c r="E270" s="214"/>
      <c r="F270" s="213"/>
      <c r="G270" s="229"/>
      <c r="H270" s="229"/>
      <c r="I270" s="229"/>
      <c r="J270" s="229"/>
      <c r="K270" s="214"/>
    </row>
    <row r="271" spans="2:11" x14ac:dyDescent="0.25">
      <c r="B271" s="213"/>
      <c r="C271" s="229"/>
      <c r="D271" s="229"/>
      <c r="E271" s="214"/>
      <c r="F271" s="213"/>
      <c r="G271" s="229"/>
      <c r="H271" s="229"/>
      <c r="I271" s="229"/>
      <c r="J271" s="229"/>
      <c r="K271" s="214"/>
    </row>
    <row r="272" spans="2:11" x14ac:dyDescent="0.25">
      <c r="B272" s="213"/>
      <c r="C272" s="229"/>
      <c r="D272" s="229"/>
      <c r="E272" s="214"/>
      <c r="F272" s="213"/>
      <c r="G272" s="229"/>
      <c r="H272" s="229"/>
      <c r="I272" s="229"/>
      <c r="J272" s="229"/>
      <c r="K272" s="214"/>
    </row>
    <row r="273" spans="2:11" x14ac:dyDescent="0.25">
      <c r="B273" s="213"/>
      <c r="C273" s="229"/>
      <c r="D273" s="229"/>
      <c r="E273" s="214"/>
      <c r="F273" s="213"/>
      <c r="G273" s="229"/>
      <c r="H273" s="229"/>
      <c r="I273" s="229"/>
      <c r="J273" s="229"/>
      <c r="K273" s="214"/>
    </row>
    <row r="274" spans="2:11" x14ac:dyDescent="0.25">
      <c r="B274" s="213"/>
      <c r="C274" s="229"/>
      <c r="D274" s="229"/>
      <c r="E274" s="214"/>
      <c r="F274" s="213"/>
      <c r="G274" s="229"/>
      <c r="H274" s="229"/>
      <c r="I274" s="229"/>
      <c r="J274" s="229"/>
      <c r="K274" s="214"/>
    </row>
    <row r="275" spans="2:11" x14ac:dyDescent="0.25">
      <c r="B275" s="213"/>
      <c r="C275" s="229"/>
      <c r="D275" s="229"/>
      <c r="E275" s="214"/>
      <c r="F275" s="213"/>
      <c r="G275" s="229"/>
      <c r="H275" s="229"/>
      <c r="I275" s="229"/>
      <c r="J275" s="229"/>
      <c r="K275" s="214"/>
    </row>
    <row r="276" spans="2:11" x14ac:dyDescent="0.25">
      <c r="B276" s="213"/>
      <c r="C276" s="229"/>
      <c r="D276" s="229"/>
      <c r="E276" s="214"/>
      <c r="F276" s="213"/>
      <c r="G276" s="229"/>
      <c r="H276" s="229"/>
      <c r="I276" s="229"/>
      <c r="J276" s="229"/>
      <c r="K276" s="214"/>
    </row>
    <row r="277" spans="2:11" x14ac:dyDescent="0.25">
      <c r="B277" s="213"/>
      <c r="C277" s="229"/>
      <c r="D277" s="229"/>
      <c r="E277" s="214"/>
      <c r="F277" s="213"/>
      <c r="G277" s="229"/>
      <c r="H277" s="229"/>
      <c r="I277" s="229"/>
      <c r="J277" s="229"/>
      <c r="K277" s="214"/>
    </row>
    <row r="278" spans="2:11" x14ac:dyDescent="0.25">
      <c r="B278" s="215"/>
      <c r="C278" s="212"/>
      <c r="D278" s="212"/>
      <c r="E278" s="216"/>
      <c r="F278" s="215"/>
      <c r="G278" s="212"/>
      <c r="H278" s="212"/>
      <c r="I278" s="212"/>
      <c r="J278" s="212"/>
      <c r="K278" s="216"/>
    </row>
    <row r="279" spans="2:11" x14ac:dyDescent="0.25">
      <c r="B279" s="1035" t="s">
        <v>88</v>
      </c>
      <c r="C279" s="1036"/>
      <c r="D279" s="1036"/>
      <c r="E279" s="1036"/>
      <c r="F279" s="1036"/>
      <c r="G279" s="1036"/>
      <c r="H279" s="1036"/>
      <c r="I279" s="1036"/>
      <c r="J279" s="1036"/>
      <c r="K279" s="1037"/>
    </row>
    <row r="280" spans="2:11" x14ac:dyDescent="0.25">
      <c r="B280" s="229"/>
      <c r="C280" s="229"/>
      <c r="D280" s="229"/>
      <c r="E280" s="229"/>
      <c r="F280" s="229"/>
      <c r="G280" s="229"/>
      <c r="H280" s="229"/>
      <c r="I280" s="229"/>
      <c r="J280" s="229"/>
      <c r="K280" s="229"/>
    </row>
    <row r="281" spans="2:11" ht="33" customHeight="1" x14ac:dyDescent="0.25">
      <c r="B281" s="1077" t="s">
        <v>1521</v>
      </c>
      <c r="C281" s="1077"/>
      <c r="D281" s="1077"/>
      <c r="E281" s="1077"/>
      <c r="F281" s="1077"/>
      <c r="G281" s="1077"/>
      <c r="H281" s="1077"/>
      <c r="I281" s="1077"/>
      <c r="J281" s="1077"/>
      <c r="K281" s="1077"/>
    </row>
    <row r="282" spans="2:11" x14ac:dyDescent="0.25">
      <c r="B282" s="1076" t="str">
        <f ca="1">[1]!AddBlankChart(FALSE,550,300,)  &amp; [1]!AddLineSeries(x,y,,,"black",0,1,'Cols to choose for tutorial'!B2,0.3) &amp; [1]!AddLineSeries(x,y_1,,,"black",0,1,'Cols to choose for tutorial'!B4) &amp;  [1]!AddConfidence(Confidence_X,Confidence_Bounds,,,'Cols to choose for tutorial'!B6,'Cols to choose for tutorial'!B8,0,0.7,"yellow")</f>
        <v>[Real Stats Chart |Tutorial|$B$282]&lt;&lt; Line |$C$25:$C$34|$B$282 &gt;&gt;&lt;&lt; Line |$B$144:$B$153|$B$282 &gt;&gt;&lt;&lt;Confidence bounds $C$195:$J$205|$B$282 &gt;&gt;</v>
      </c>
      <c r="C282" s="1063"/>
      <c r="D282" s="1063"/>
      <c r="E282" s="1063"/>
      <c r="F282" s="1063"/>
      <c r="G282" s="1063"/>
      <c r="H282" s="1063"/>
      <c r="I282" s="1063"/>
      <c r="J282" s="1063"/>
      <c r="K282" s="1063"/>
    </row>
    <row r="283" spans="2:11" x14ac:dyDescent="0.25">
      <c r="B283" s="1065"/>
      <c r="C283" s="1065"/>
      <c r="D283" s="1065"/>
      <c r="E283" s="1065"/>
      <c r="F283" s="1065"/>
      <c r="G283" s="1065"/>
      <c r="H283" s="1065"/>
      <c r="I283" s="1065"/>
      <c r="J283" s="1065"/>
      <c r="K283" s="1065"/>
    </row>
    <row r="284" spans="2:11" x14ac:dyDescent="0.25">
      <c r="B284" s="229"/>
      <c r="C284" s="229"/>
      <c r="D284" s="229"/>
      <c r="E284" s="229"/>
      <c r="F284" s="229"/>
      <c r="G284" s="229"/>
      <c r="H284" s="229"/>
      <c r="I284" s="229"/>
      <c r="J284" s="229"/>
      <c r="K284" s="229"/>
    </row>
    <row r="285" spans="2:11" x14ac:dyDescent="0.25">
      <c r="B285" s="229"/>
      <c r="C285" s="229"/>
      <c r="D285" s="229"/>
      <c r="E285" s="229"/>
      <c r="F285" s="229"/>
      <c r="G285" s="229"/>
      <c r="H285" s="229"/>
      <c r="I285" s="229"/>
      <c r="J285" s="229"/>
      <c r="K285" s="229"/>
    </row>
    <row r="286" spans="2:11" x14ac:dyDescent="0.25">
      <c r="B286" s="229"/>
      <c r="C286" s="229"/>
      <c r="D286" s="229"/>
      <c r="E286" s="229"/>
      <c r="F286" s="229"/>
      <c r="G286" s="229"/>
      <c r="H286" s="229"/>
      <c r="I286" s="229"/>
      <c r="J286" s="229"/>
      <c r="K286" s="229"/>
    </row>
    <row r="287" spans="2:11" x14ac:dyDescent="0.25">
      <c r="B287" s="229"/>
      <c r="C287" s="229"/>
      <c r="D287" s="229"/>
      <c r="E287" s="229"/>
      <c r="F287" s="229"/>
      <c r="G287" s="229"/>
      <c r="H287" s="229"/>
      <c r="I287" s="229"/>
      <c r="J287" s="229"/>
      <c r="K287" s="229"/>
    </row>
    <row r="288" spans="2:11" x14ac:dyDescent="0.25">
      <c r="B288" s="229"/>
      <c r="C288" s="229"/>
      <c r="D288" s="229"/>
      <c r="E288" s="229"/>
      <c r="F288" s="229"/>
      <c r="G288" s="229"/>
      <c r="H288" s="229"/>
      <c r="I288" s="229"/>
      <c r="J288" s="229"/>
      <c r="K288" s="229"/>
    </row>
    <row r="289" spans="2:11" x14ac:dyDescent="0.25">
      <c r="B289" s="229"/>
      <c r="C289" s="229"/>
      <c r="D289" s="229"/>
      <c r="E289" s="229"/>
      <c r="F289" s="229"/>
      <c r="G289" s="229"/>
      <c r="H289" s="229"/>
      <c r="I289" s="229"/>
      <c r="J289" s="229"/>
      <c r="K289" s="229"/>
    </row>
    <row r="290" spans="2:11" x14ac:dyDescent="0.25">
      <c r="B290" s="229"/>
      <c r="C290" s="229"/>
      <c r="D290" s="229"/>
      <c r="E290" s="229"/>
      <c r="F290" s="229"/>
      <c r="G290" s="229"/>
      <c r="H290" s="229"/>
      <c r="I290" s="229"/>
      <c r="J290" s="229"/>
      <c r="K290" s="229"/>
    </row>
    <row r="291" spans="2:11" x14ac:dyDescent="0.25">
      <c r="B291" s="229"/>
      <c r="C291" s="229"/>
      <c r="D291" s="229"/>
      <c r="E291" s="229"/>
      <c r="F291" s="229"/>
      <c r="G291" s="229"/>
      <c r="H291" s="229"/>
      <c r="I291" s="229"/>
      <c r="J291" s="229"/>
      <c r="K291" s="229"/>
    </row>
    <row r="292" spans="2:11" x14ac:dyDescent="0.25">
      <c r="B292" s="229"/>
      <c r="C292" s="229"/>
      <c r="D292" s="229"/>
      <c r="E292" s="229"/>
      <c r="F292" s="229"/>
      <c r="G292" s="229"/>
      <c r="H292" s="229"/>
      <c r="I292" s="229"/>
      <c r="J292" s="229"/>
      <c r="K292" s="229"/>
    </row>
    <row r="293" spans="2:11" x14ac:dyDescent="0.25">
      <c r="B293" s="229"/>
      <c r="C293" s="229"/>
      <c r="D293" s="229"/>
      <c r="E293" s="229"/>
      <c r="F293" s="229"/>
      <c r="G293" s="229"/>
      <c r="H293" s="229"/>
      <c r="I293" s="229"/>
      <c r="J293" s="229"/>
      <c r="K293" s="229"/>
    </row>
    <row r="294" spans="2:11" x14ac:dyDescent="0.25">
      <c r="B294" s="229"/>
      <c r="C294" s="229"/>
      <c r="D294" s="229"/>
      <c r="E294" s="229"/>
      <c r="F294" s="229"/>
      <c r="G294" s="229"/>
      <c r="H294" s="229"/>
      <c r="I294" s="229"/>
      <c r="J294" s="229"/>
      <c r="K294" s="229"/>
    </row>
    <row r="295" spans="2:11" x14ac:dyDescent="0.25">
      <c r="B295" s="229"/>
      <c r="C295" s="229"/>
      <c r="D295" s="229"/>
      <c r="E295" s="229"/>
      <c r="F295" s="229"/>
      <c r="G295" s="229"/>
      <c r="H295" s="229"/>
      <c r="I295" s="229"/>
      <c r="J295" s="229"/>
      <c r="K295" s="229"/>
    </row>
    <row r="296" spans="2:11" x14ac:dyDescent="0.25">
      <c r="B296" s="229"/>
      <c r="C296" s="229"/>
      <c r="D296" s="229"/>
      <c r="E296" s="229"/>
      <c r="F296" s="229"/>
      <c r="G296" s="229"/>
      <c r="H296" s="229"/>
      <c r="I296" s="229"/>
      <c r="J296" s="229"/>
      <c r="K296" s="229"/>
    </row>
    <row r="297" spans="2:11" x14ac:dyDescent="0.25">
      <c r="B297" s="229"/>
      <c r="C297" s="229"/>
      <c r="D297" s="229"/>
      <c r="E297" s="229"/>
      <c r="F297" s="229"/>
      <c r="G297" s="229"/>
      <c r="H297" s="229"/>
      <c r="I297" s="229"/>
      <c r="J297" s="229"/>
      <c r="K297" s="229"/>
    </row>
    <row r="298" spans="2:11" x14ac:dyDescent="0.25">
      <c r="B298" s="229"/>
      <c r="C298" s="229"/>
      <c r="D298" s="229"/>
      <c r="E298" s="229"/>
      <c r="F298" s="229"/>
      <c r="G298" s="229"/>
      <c r="H298" s="229"/>
      <c r="I298" s="229"/>
      <c r="J298" s="229"/>
      <c r="K298" s="229"/>
    </row>
    <row r="299" spans="2:11" x14ac:dyDescent="0.25">
      <c r="B299" s="229"/>
      <c r="C299" s="229"/>
      <c r="D299" s="229"/>
      <c r="E299" s="229"/>
      <c r="F299" s="229"/>
      <c r="G299" s="229"/>
      <c r="H299" s="229"/>
      <c r="I299" s="229"/>
      <c r="J299" s="229"/>
      <c r="K299" s="229"/>
    </row>
    <row r="300" spans="2:11" x14ac:dyDescent="0.25">
      <c r="B300" s="229"/>
      <c r="C300" s="229"/>
      <c r="D300" s="229"/>
      <c r="E300" s="229"/>
      <c r="F300" s="229"/>
      <c r="G300" s="229"/>
      <c r="H300" s="229"/>
      <c r="I300" s="229"/>
      <c r="J300" s="229"/>
      <c r="K300" s="229"/>
    </row>
    <row r="301" spans="2:11" x14ac:dyDescent="0.25">
      <c r="B301" s="229"/>
      <c r="C301" s="229"/>
      <c r="D301" s="229"/>
      <c r="E301" s="229"/>
      <c r="F301" s="229"/>
      <c r="G301" s="229"/>
      <c r="H301" s="229"/>
      <c r="I301" s="229"/>
      <c r="J301" s="229"/>
      <c r="K301" s="229"/>
    </row>
    <row r="302" spans="2:11" x14ac:dyDescent="0.25">
      <c r="B302" s="229"/>
      <c r="C302" s="229"/>
      <c r="D302" s="229"/>
      <c r="E302" s="229"/>
      <c r="F302" s="229"/>
      <c r="G302" s="229"/>
      <c r="H302" s="229"/>
      <c r="I302" s="229"/>
      <c r="J302" s="229"/>
      <c r="K302" s="229"/>
    </row>
    <row r="303" spans="2:11" x14ac:dyDescent="0.25">
      <c r="B303" s="229"/>
      <c r="C303" s="229"/>
      <c r="D303" s="229"/>
      <c r="E303" s="229"/>
      <c r="F303" s="229"/>
      <c r="G303" s="229"/>
      <c r="H303" s="229"/>
      <c r="I303" s="229"/>
      <c r="J303" s="229"/>
      <c r="K303" s="229"/>
    </row>
    <row r="304" spans="2:11" ht="18" customHeight="1" x14ac:dyDescent="0.25">
      <c r="B304" s="1051" t="s">
        <v>89</v>
      </c>
      <c r="C304" s="1051"/>
      <c r="D304" s="1051"/>
      <c r="E304" s="1051"/>
      <c r="F304" s="1051"/>
      <c r="G304" s="1051"/>
      <c r="H304" s="1051"/>
      <c r="I304" s="1051"/>
      <c r="J304" s="1051"/>
      <c r="K304" s="1051"/>
    </row>
    <row r="305" spans="2:11" ht="18" customHeight="1" x14ac:dyDescent="0.25">
      <c r="B305" s="1051"/>
      <c r="C305" s="1051"/>
      <c r="D305" s="1051"/>
      <c r="E305" s="1051"/>
      <c r="F305" s="1051"/>
      <c r="G305" s="1051"/>
      <c r="H305" s="1051"/>
      <c r="I305" s="1051"/>
      <c r="J305" s="1051"/>
      <c r="K305" s="1051"/>
    </row>
    <row r="306" spans="2:11" x14ac:dyDescent="0.25">
      <c r="B306" s="229"/>
      <c r="C306" s="229"/>
      <c r="D306" s="229"/>
      <c r="E306" s="229"/>
      <c r="F306" s="229"/>
      <c r="G306" s="229"/>
      <c r="H306" s="229"/>
      <c r="I306" s="229"/>
      <c r="J306" s="229"/>
      <c r="K306" s="229"/>
    </row>
    <row r="307" spans="2:11" x14ac:dyDescent="0.25">
      <c r="B307" s="1035" t="s">
        <v>90</v>
      </c>
      <c r="C307" s="1036"/>
      <c r="D307" s="1036"/>
      <c r="E307" s="1036"/>
      <c r="F307" s="1036"/>
      <c r="G307" s="1036"/>
      <c r="H307" s="1036"/>
      <c r="I307" s="1036"/>
      <c r="J307" s="1036"/>
      <c r="K307" s="1037"/>
    </row>
    <row r="308" spans="2:11" ht="15" customHeight="1" x14ac:dyDescent="0.25">
      <c r="B308" s="229"/>
      <c r="C308" s="229"/>
      <c r="D308" s="229"/>
      <c r="E308" s="229"/>
      <c r="F308" s="229"/>
      <c r="G308" s="229"/>
      <c r="H308" s="229"/>
      <c r="I308" s="229"/>
      <c r="J308" s="229"/>
      <c r="K308" s="229"/>
    </row>
    <row r="309" spans="2:11" ht="35.25" customHeight="1" x14ac:dyDescent="0.25">
      <c r="B309" s="1039" t="s">
        <v>1522</v>
      </c>
      <c r="C309" s="1039"/>
      <c r="D309" s="1039"/>
      <c r="E309" s="1039"/>
      <c r="F309" s="1039"/>
      <c r="G309" s="1039"/>
      <c r="H309" s="1039"/>
      <c r="I309" s="1039"/>
      <c r="J309" s="1039"/>
      <c r="K309" s="1039"/>
    </row>
    <row r="310" spans="2:11" x14ac:dyDescent="0.25">
      <c r="B310" s="1073" t="str">
        <f ca="1">[1]!AddBlankChart(FALSE,540,200,)  &amp; [1]!AddLineSeries(DATA!H4:H122,DATA!V4:V122,,,"white",,2,) &amp;  [1]!AddConfidence(confidence_bix_X,Confidence_data,,,'Cols to choose for tutorial'!B4,'Cols to choose for tutorial'!B8,0.2,0.8,"white")</f>
        <v>[Real Stats Chart |Tutorial|$B$310]&lt;&lt; Line |$V$4:$V$122|$B$310 &gt;&gt;&lt;&lt;Confidence bounds $I$4:$T$137|$B$310 &gt;&gt;</v>
      </c>
      <c r="C310" s="1074"/>
      <c r="D310" s="1074"/>
      <c r="E310" s="1074"/>
      <c r="F310" s="1074"/>
      <c r="G310" s="1074"/>
      <c r="H310" s="1074"/>
      <c r="I310" s="1074"/>
      <c r="J310" s="1074"/>
      <c r="K310" s="1075"/>
    </row>
    <row r="311" spans="2:11" x14ac:dyDescent="0.25">
      <c r="B311" s="229"/>
      <c r="C311" s="229"/>
      <c r="D311" s="229"/>
      <c r="E311" s="229"/>
      <c r="F311" s="229"/>
      <c r="G311" s="229"/>
      <c r="H311" s="229"/>
      <c r="I311" s="229"/>
      <c r="J311" s="229"/>
      <c r="K311" s="229"/>
    </row>
    <row r="312" spans="2:11" x14ac:dyDescent="0.25">
      <c r="B312" s="229"/>
      <c r="C312" s="229"/>
      <c r="D312" s="229"/>
      <c r="E312" s="229"/>
      <c r="F312" s="229"/>
      <c r="G312" s="229"/>
      <c r="H312" s="229"/>
      <c r="I312" s="229"/>
      <c r="J312" s="229"/>
      <c r="K312" s="229"/>
    </row>
    <row r="313" spans="2:11" ht="31.5" customHeight="1" x14ac:dyDescent="0.25">
      <c r="B313" s="229"/>
      <c r="C313" s="229"/>
      <c r="D313" s="229"/>
      <c r="E313" s="229"/>
      <c r="F313" s="229"/>
      <c r="G313" s="229"/>
      <c r="H313" s="229"/>
      <c r="I313" s="229"/>
      <c r="J313" s="229"/>
      <c r="K313" s="229"/>
    </row>
    <row r="314" spans="2:11" x14ac:dyDescent="0.25">
      <c r="B314" s="229"/>
      <c r="C314" s="229"/>
      <c r="D314" s="229"/>
      <c r="E314" s="229"/>
      <c r="F314" s="229"/>
      <c r="G314" s="229"/>
      <c r="H314" s="229"/>
      <c r="I314" s="229"/>
      <c r="J314" s="229"/>
      <c r="K314" s="229"/>
    </row>
    <row r="315" spans="2:11" x14ac:dyDescent="0.25">
      <c r="B315" s="229"/>
      <c r="C315" s="229"/>
      <c r="D315" s="229"/>
      <c r="E315" s="229"/>
      <c r="F315" s="229"/>
      <c r="G315" s="229"/>
      <c r="H315" s="229"/>
      <c r="I315" s="229"/>
      <c r="J315" s="229"/>
      <c r="K315" s="229"/>
    </row>
    <row r="316" spans="2:11" x14ac:dyDescent="0.25">
      <c r="B316" s="229"/>
      <c r="C316" s="229"/>
      <c r="D316" s="229"/>
      <c r="E316" s="229"/>
      <c r="F316" s="229"/>
      <c r="G316" s="229"/>
      <c r="H316" s="229"/>
      <c r="I316" s="229"/>
      <c r="J316" s="229"/>
      <c r="K316" s="229"/>
    </row>
    <row r="317" spans="2:11" x14ac:dyDescent="0.25">
      <c r="B317" s="229"/>
      <c r="C317" s="229"/>
      <c r="D317" s="229"/>
      <c r="E317" s="229"/>
      <c r="F317" s="229"/>
      <c r="G317" s="229"/>
      <c r="H317" s="229"/>
      <c r="I317" s="229"/>
      <c r="J317" s="229"/>
      <c r="K317" s="229"/>
    </row>
    <row r="318" spans="2:11" x14ac:dyDescent="0.25">
      <c r="B318" s="229"/>
      <c r="C318" s="229"/>
      <c r="D318" s="229"/>
      <c r="E318" s="229"/>
      <c r="F318" s="229"/>
      <c r="G318" s="229"/>
      <c r="H318" s="229"/>
      <c r="I318" s="229"/>
      <c r="J318" s="229"/>
      <c r="K318" s="229"/>
    </row>
    <row r="319" spans="2:11" x14ac:dyDescent="0.25">
      <c r="B319" s="229"/>
      <c r="C319" s="229"/>
      <c r="D319" s="229"/>
      <c r="E319" s="229"/>
      <c r="F319" s="229"/>
      <c r="G319" s="229"/>
      <c r="H319" s="229"/>
      <c r="I319" s="229"/>
      <c r="J319" s="229"/>
      <c r="K319" s="229"/>
    </row>
    <row r="320" spans="2:11" x14ac:dyDescent="0.25">
      <c r="B320" s="229"/>
      <c r="C320" s="229"/>
      <c r="D320" s="229"/>
      <c r="E320" s="229"/>
      <c r="F320" s="229"/>
      <c r="G320" s="229"/>
      <c r="H320" s="229"/>
      <c r="I320" s="229"/>
      <c r="J320" s="229"/>
      <c r="K320" s="229"/>
    </row>
    <row r="321" spans="1:11" x14ac:dyDescent="0.25">
      <c r="B321" s="229"/>
      <c r="C321" s="229"/>
      <c r="D321" s="229"/>
      <c r="E321" s="229"/>
      <c r="F321" s="229"/>
      <c r="G321" s="229"/>
      <c r="H321" s="229"/>
      <c r="I321" s="229"/>
      <c r="J321" s="229"/>
      <c r="K321" s="229"/>
    </row>
    <row r="322" spans="1:11" x14ac:dyDescent="0.25">
      <c r="B322" s="229"/>
      <c r="C322" s="229"/>
      <c r="D322" s="229"/>
      <c r="E322" s="229"/>
      <c r="F322" s="229"/>
      <c r="G322" s="229"/>
      <c r="H322" s="229"/>
      <c r="I322" s="229"/>
      <c r="J322" s="229"/>
      <c r="K322" s="229"/>
    </row>
    <row r="323" spans="1:11" x14ac:dyDescent="0.25">
      <c r="B323" s="229"/>
      <c r="C323" s="229"/>
      <c r="D323" s="229"/>
      <c r="E323" s="229"/>
      <c r="F323" s="229"/>
      <c r="G323" s="229"/>
      <c r="H323" s="229"/>
      <c r="I323" s="229"/>
      <c r="J323" s="229"/>
      <c r="K323" s="229"/>
    </row>
    <row r="324" spans="1:11" x14ac:dyDescent="0.25">
      <c r="B324" s="229"/>
      <c r="C324" s="229"/>
      <c r="D324" s="229"/>
      <c r="E324" s="229"/>
      <c r="F324" s="229"/>
      <c r="G324" s="229"/>
      <c r="H324" s="229"/>
      <c r="I324" s="229"/>
      <c r="J324" s="229"/>
      <c r="K324" s="229"/>
    </row>
    <row r="325" spans="1:11" ht="19.5" x14ac:dyDescent="0.35">
      <c r="A325" s="1017"/>
      <c r="B325" s="1024" t="s">
        <v>91</v>
      </c>
      <c r="C325" s="1024"/>
      <c r="D325" s="1024"/>
      <c r="E325" s="1024"/>
      <c r="F325" s="1024"/>
      <c r="G325" s="1024"/>
      <c r="H325" s="1024"/>
      <c r="I325" s="1024"/>
      <c r="J325" s="1024"/>
      <c r="K325" s="1024"/>
    </row>
    <row r="326" spans="1:11" x14ac:dyDescent="0.25">
      <c r="B326" s="229"/>
      <c r="C326" s="229"/>
      <c r="D326" s="229"/>
      <c r="E326" s="229"/>
      <c r="F326" s="229"/>
      <c r="G326" s="229"/>
      <c r="H326" s="229"/>
      <c r="I326" s="229"/>
      <c r="J326" s="229"/>
      <c r="K326" s="229"/>
    </row>
    <row r="327" spans="1:11" x14ac:dyDescent="0.25">
      <c r="B327" s="1034" t="s">
        <v>92</v>
      </c>
      <c r="C327" s="1034"/>
      <c r="D327" s="1034"/>
      <c r="E327" s="1034"/>
      <c r="F327" s="1034"/>
      <c r="G327" s="1034"/>
      <c r="H327" s="1034"/>
      <c r="I327" s="1034"/>
      <c r="J327" s="1034"/>
      <c r="K327" s="1034"/>
    </row>
    <row r="328" spans="1:11" x14ac:dyDescent="0.25">
      <c r="B328" s="1034"/>
      <c r="C328" s="1034"/>
      <c r="D328" s="1034"/>
      <c r="E328" s="1034"/>
      <c r="F328" s="1034"/>
      <c r="G328" s="1034"/>
      <c r="H328" s="1034"/>
      <c r="I328" s="1034"/>
      <c r="J328" s="1034"/>
      <c r="K328" s="1034"/>
    </row>
    <row r="329" spans="1:11" ht="50.25" customHeight="1" x14ac:dyDescent="0.25">
      <c r="B329" s="1039" t="s">
        <v>1523</v>
      </c>
      <c r="C329" s="1039"/>
      <c r="D329" s="1039"/>
      <c r="E329" s="1039"/>
      <c r="F329" s="1039"/>
      <c r="G329" s="1039"/>
      <c r="H329" s="1039"/>
      <c r="I329" s="1039"/>
      <c r="J329" s="1039"/>
      <c r="K329" s="1039"/>
    </row>
    <row r="330" spans="1:11" x14ac:dyDescent="0.25">
      <c r="B330" s="1040" t="str">
        <f>[1]!AddBlankChart(FALSE,550,200) &amp; [1]!AddLineSeries(DATA!A4:A2517,DATA!B4:B2517) &amp;[1]!AddSquare(DATA!A1937,DATA!A2350,,0.7,'Cols to choose for tutorial'!B3)</f>
        <v>[Real Stats Chart |Tutorial|$B$330]&lt;&lt; Line |$B$4:$B$2517|$B$330 &gt;&gt;&lt;&lt;Rectangle $B$330&gt;&gt;</v>
      </c>
      <c r="C330" s="1041"/>
      <c r="D330" s="1041"/>
      <c r="E330" s="1041"/>
      <c r="F330" s="1041"/>
      <c r="G330" s="1041"/>
      <c r="H330" s="1041"/>
      <c r="I330" s="1041"/>
      <c r="J330" s="1041"/>
      <c r="K330" s="1042"/>
    </row>
    <row r="331" spans="1:11" x14ac:dyDescent="0.25">
      <c r="B331" s="229"/>
      <c r="C331" s="229"/>
      <c r="D331" s="229"/>
      <c r="E331" s="229"/>
      <c r="F331" s="229"/>
      <c r="G331" s="229"/>
      <c r="H331" s="229"/>
      <c r="I331" s="229"/>
      <c r="J331" s="229"/>
      <c r="K331" s="229"/>
    </row>
    <row r="332" spans="1:11" x14ac:dyDescent="0.25">
      <c r="B332" s="229"/>
      <c r="C332" s="229"/>
      <c r="D332" s="229"/>
      <c r="E332" s="229"/>
      <c r="F332" s="229"/>
      <c r="G332" s="229"/>
      <c r="H332" s="229"/>
      <c r="I332" s="229"/>
      <c r="J332" s="229"/>
      <c r="K332" s="229"/>
    </row>
    <row r="333" spans="1:11" x14ac:dyDescent="0.25">
      <c r="B333" s="229"/>
      <c r="C333" s="229"/>
      <c r="D333" s="229"/>
      <c r="E333" s="229"/>
      <c r="F333" s="229"/>
      <c r="G333" s="229"/>
      <c r="H333" s="229"/>
      <c r="I333" s="229"/>
      <c r="J333" s="229"/>
      <c r="K333" s="229"/>
    </row>
    <row r="334" spans="1:11" x14ac:dyDescent="0.25">
      <c r="B334" s="229"/>
      <c r="C334" s="229"/>
      <c r="D334" s="229"/>
      <c r="E334" s="229"/>
      <c r="F334" s="229"/>
      <c r="G334" s="229"/>
      <c r="H334" s="229"/>
      <c r="I334" s="229"/>
      <c r="J334" s="229"/>
      <c r="K334" s="229"/>
    </row>
    <row r="335" spans="1:11" x14ac:dyDescent="0.25">
      <c r="B335" s="229"/>
      <c r="C335" s="229"/>
      <c r="D335" s="229"/>
      <c r="E335" s="229"/>
      <c r="F335" s="229"/>
      <c r="G335" s="229"/>
      <c r="H335" s="229"/>
      <c r="I335" s="229"/>
      <c r="J335" s="229"/>
      <c r="K335" s="229"/>
    </row>
    <row r="336" spans="1:11" x14ac:dyDescent="0.25">
      <c r="B336" s="229"/>
      <c r="C336" s="229"/>
      <c r="D336" s="229"/>
      <c r="E336" s="229"/>
      <c r="F336" s="229"/>
      <c r="G336" s="229"/>
      <c r="H336" s="229"/>
      <c r="I336" s="229"/>
      <c r="J336" s="229"/>
      <c r="K336" s="229"/>
    </row>
    <row r="337" spans="2:11" x14ac:dyDescent="0.25">
      <c r="B337" s="229"/>
      <c r="C337" s="229"/>
      <c r="D337" s="229"/>
      <c r="E337" s="229"/>
      <c r="F337" s="229"/>
      <c r="G337" s="229"/>
      <c r="H337" s="229"/>
      <c r="I337" s="229"/>
      <c r="J337" s="229"/>
      <c r="K337" s="229"/>
    </row>
    <row r="338" spans="2:11" x14ac:dyDescent="0.25">
      <c r="B338" s="229"/>
      <c r="C338" s="229"/>
      <c r="D338" s="229"/>
      <c r="E338" s="229"/>
      <c r="F338" s="229"/>
      <c r="G338" s="229"/>
      <c r="H338" s="229"/>
      <c r="I338" s="229"/>
      <c r="J338" s="229"/>
      <c r="K338" s="229"/>
    </row>
    <row r="339" spans="2:11" x14ac:dyDescent="0.25">
      <c r="B339" s="229"/>
      <c r="C339" s="229"/>
      <c r="D339" s="229"/>
      <c r="E339" s="229"/>
      <c r="F339" s="229"/>
      <c r="G339" s="229"/>
      <c r="H339" s="229"/>
      <c r="I339" s="229"/>
      <c r="J339" s="229"/>
      <c r="K339" s="229"/>
    </row>
    <row r="340" spans="2:11" x14ac:dyDescent="0.25">
      <c r="B340" s="229"/>
      <c r="C340" s="229"/>
      <c r="D340" s="229"/>
      <c r="E340" s="229"/>
      <c r="F340" s="229"/>
      <c r="G340" s="229"/>
      <c r="H340" s="229"/>
      <c r="I340" s="229"/>
      <c r="J340" s="229"/>
      <c r="K340" s="229"/>
    </row>
    <row r="341" spans="2:11" x14ac:dyDescent="0.25">
      <c r="B341" s="229"/>
      <c r="C341" s="229"/>
      <c r="D341" s="229"/>
      <c r="E341" s="229"/>
      <c r="F341" s="229"/>
      <c r="G341" s="229"/>
      <c r="H341" s="229"/>
      <c r="I341" s="229"/>
      <c r="J341" s="229"/>
      <c r="K341" s="229"/>
    </row>
    <row r="342" spans="2:11" x14ac:dyDescent="0.25">
      <c r="B342" s="229"/>
      <c r="C342" s="229"/>
      <c r="D342" s="229"/>
      <c r="E342" s="229"/>
      <c r="F342" s="229"/>
      <c r="G342" s="229"/>
      <c r="H342" s="229"/>
      <c r="I342" s="229"/>
      <c r="J342" s="229"/>
      <c r="K342" s="229"/>
    </row>
    <row r="343" spans="2:11" x14ac:dyDescent="0.25">
      <c r="B343" s="229"/>
      <c r="C343" s="229"/>
      <c r="D343" s="229"/>
      <c r="E343" s="229"/>
      <c r="F343" s="229"/>
      <c r="G343" s="229"/>
      <c r="H343" s="229"/>
      <c r="I343" s="229"/>
      <c r="J343" s="229"/>
      <c r="K343" s="229"/>
    </row>
    <row r="344" spans="2:11" x14ac:dyDescent="0.25">
      <c r="B344" s="229"/>
      <c r="C344" s="229"/>
      <c r="D344" s="229"/>
      <c r="E344" s="229"/>
      <c r="F344" s="229"/>
      <c r="G344" s="229"/>
      <c r="H344" s="229"/>
      <c r="I344" s="229"/>
      <c r="J344" s="229"/>
      <c r="K344" s="229"/>
    </row>
    <row r="345" spans="2:11" x14ac:dyDescent="0.25">
      <c r="B345" s="265" t="s">
        <v>93</v>
      </c>
      <c r="C345" s="229"/>
      <c r="D345" s="229"/>
      <c r="E345" s="229"/>
      <c r="F345" s="229"/>
      <c r="G345" s="229"/>
      <c r="H345" s="229"/>
      <c r="I345" s="229"/>
      <c r="J345" s="229"/>
      <c r="K345" s="229"/>
    </row>
    <row r="346" spans="2:11" x14ac:dyDescent="0.25">
      <c r="B346" s="229"/>
      <c r="C346" s="229"/>
      <c r="D346" s="229"/>
      <c r="E346" s="229"/>
      <c r="F346" s="229"/>
      <c r="G346" s="229"/>
      <c r="H346" s="229"/>
      <c r="I346" s="229"/>
      <c r="J346" s="229"/>
      <c r="K346" s="229"/>
    </row>
    <row r="347" spans="2:11" x14ac:dyDescent="0.25">
      <c r="B347" s="1035" t="s">
        <v>1513</v>
      </c>
      <c r="C347" s="1036"/>
      <c r="D347" s="1036"/>
      <c r="E347" s="1036"/>
      <c r="F347" s="1036"/>
      <c r="G347" s="1036"/>
      <c r="H347" s="1036"/>
      <c r="I347" s="1036"/>
      <c r="J347" s="1036"/>
      <c r="K347" s="1037"/>
    </row>
    <row r="348" spans="2:11" x14ac:dyDescent="0.25">
      <c r="B348" s="229"/>
      <c r="C348" s="229"/>
      <c r="D348" s="229"/>
      <c r="E348" s="229"/>
      <c r="F348" s="229"/>
      <c r="G348" s="229"/>
      <c r="H348" s="229"/>
      <c r="I348" s="229"/>
      <c r="J348" s="229"/>
      <c r="K348" s="229"/>
    </row>
    <row r="349" spans="2:11" ht="65.25" customHeight="1" x14ac:dyDescent="0.25">
      <c r="B349" s="1038" t="s">
        <v>1525</v>
      </c>
      <c r="C349" s="1038"/>
      <c r="D349" s="1038"/>
      <c r="E349" s="1038"/>
      <c r="F349" s="1038"/>
      <c r="G349" s="1038"/>
      <c r="H349" s="1038"/>
      <c r="I349" s="1038"/>
      <c r="J349" s="1038"/>
      <c r="K349" s="1038"/>
    </row>
    <row r="350" spans="2:11" ht="30" customHeight="1" x14ac:dyDescent="0.25">
      <c r="B350" s="1022" t="str">
        <f ca="1">[1]!AddBlankChart(TRUE,542,200) &amp; [1]!AddLineSeries(DATA!H60:H122,DATA!V4:V122,,,'Cols to choose for tutorial'!B6,,,,,0) &amp;[1]!AddConfidence(DATA!H123:H137,DATA!I123:T137,,,'Cols to choose for tutorial'!B7,'Cols to choose for tutorial'!B9,0,0.1) &amp; [1]!AddSquare(DATA!H123,DATA!H137,,0.8,'Cols to choose for tutorial'!B7)</f>
        <v>[Real Stats Chart |Tutorial|$B$350]&lt;&lt; Line |$V$4:$V$122|$B$350 &gt;&gt;&lt;&lt;Confidence bounds $I$123:$T$137|$B$350 &gt;&gt;&lt;&lt;Rectangle $B$350&gt;&gt;</v>
      </c>
      <c r="C350" s="1023"/>
      <c r="D350" s="1023"/>
      <c r="E350" s="1023"/>
      <c r="F350" s="1023"/>
      <c r="G350" s="1023"/>
      <c r="H350" s="1023"/>
      <c r="I350" s="1023"/>
      <c r="J350" s="1023"/>
      <c r="K350" s="1023"/>
    </row>
    <row r="351" spans="2:11" x14ac:dyDescent="0.25">
      <c r="B351" s="229"/>
      <c r="C351" s="229"/>
      <c r="D351" s="229"/>
      <c r="E351" s="229"/>
      <c r="F351" s="229"/>
      <c r="G351" s="229"/>
      <c r="H351" s="229"/>
      <c r="I351" s="229"/>
      <c r="J351" s="229"/>
      <c r="K351" s="229"/>
    </row>
    <row r="352" spans="2:11" x14ac:dyDescent="0.25">
      <c r="B352" s="229"/>
      <c r="C352" s="229"/>
      <c r="D352" s="229"/>
      <c r="E352" s="229"/>
      <c r="F352" s="229"/>
      <c r="G352" s="229"/>
      <c r="H352" s="229"/>
      <c r="I352" s="229"/>
      <c r="J352" s="229"/>
      <c r="K352" s="229"/>
    </row>
    <row r="353" spans="2:11" x14ac:dyDescent="0.25">
      <c r="B353" s="229"/>
      <c r="C353" s="229"/>
      <c r="D353" s="229"/>
      <c r="E353" s="229"/>
      <c r="F353" s="229"/>
      <c r="G353" s="229"/>
      <c r="H353" s="229"/>
      <c r="I353" s="229"/>
      <c r="J353" s="229"/>
      <c r="K353" s="229"/>
    </row>
    <row r="354" spans="2:11" x14ac:dyDescent="0.25">
      <c r="B354" s="229"/>
      <c r="C354" s="229"/>
      <c r="D354" s="229"/>
      <c r="E354" s="229"/>
      <c r="F354" s="229"/>
      <c r="G354" s="229"/>
      <c r="H354" s="229"/>
      <c r="I354" s="229"/>
      <c r="J354" s="229"/>
      <c r="K354" s="229"/>
    </row>
    <row r="355" spans="2:11" x14ac:dyDescent="0.25">
      <c r="B355" s="229"/>
      <c r="C355" s="229"/>
      <c r="D355" s="229"/>
      <c r="E355" s="229"/>
      <c r="F355" s="229"/>
      <c r="G355" s="229"/>
      <c r="H355" s="229"/>
      <c r="I355" s="229"/>
      <c r="J355" s="229"/>
      <c r="K355" s="229"/>
    </row>
    <row r="356" spans="2:11" x14ac:dyDescent="0.25">
      <c r="B356" s="229"/>
      <c r="C356" s="229"/>
      <c r="D356" s="229"/>
      <c r="E356" s="229"/>
      <c r="F356" s="229"/>
      <c r="G356" s="229"/>
      <c r="H356" s="229"/>
      <c r="I356" s="229"/>
      <c r="J356" s="229"/>
      <c r="K356" s="229"/>
    </row>
    <row r="357" spans="2:11" x14ac:dyDescent="0.25">
      <c r="B357" s="229"/>
      <c r="C357" s="229"/>
      <c r="D357" s="229"/>
      <c r="E357" s="229"/>
      <c r="F357" s="229"/>
      <c r="G357" s="229"/>
      <c r="H357" s="229"/>
      <c r="I357" s="229"/>
      <c r="J357" s="229"/>
      <c r="K357" s="229"/>
    </row>
    <row r="358" spans="2:11" x14ac:dyDescent="0.25">
      <c r="B358" s="229"/>
      <c r="C358" s="229"/>
      <c r="D358" s="229"/>
      <c r="E358" s="229"/>
      <c r="F358" s="229"/>
      <c r="G358" s="229"/>
      <c r="H358" s="229"/>
      <c r="I358" s="229"/>
      <c r="J358" s="229"/>
      <c r="K358" s="229"/>
    </row>
    <row r="359" spans="2:11" x14ac:dyDescent="0.25">
      <c r="B359" s="229"/>
      <c r="C359" s="229"/>
      <c r="D359" s="229"/>
      <c r="E359" s="229"/>
      <c r="F359" s="229"/>
      <c r="G359" s="229"/>
      <c r="H359" s="229"/>
      <c r="I359" s="229"/>
      <c r="J359" s="229"/>
      <c r="K359" s="229"/>
    </row>
    <row r="360" spans="2:11" x14ac:dyDescent="0.25">
      <c r="B360" s="229"/>
      <c r="C360" s="229"/>
      <c r="D360" s="229"/>
      <c r="E360" s="229"/>
      <c r="F360" s="229"/>
      <c r="G360" s="229"/>
      <c r="H360" s="229"/>
      <c r="I360" s="229"/>
      <c r="J360" s="229"/>
      <c r="K360" s="229"/>
    </row>
    <row r="361" spans="2:11" x14ac:dyDescent="0.25">
      <c r="B361" s="229"/>
      <c r="C361" s="229"/>
      <c r="D361" s="229"/>
      <c r="E361" s="229"/>
      <c r="F361" s="229"/>
      <c r="G361" s="229"/>
      <c r="H361" s="229"/>
      <c r="I361" s="229"/>
      <c r="J361" s="229"/>
      <c r="K361" s="229"/>
    </row>
    <row r="362" spans="2:11" x14ac:dyDescent="0.25">
      <c r="B362" s="229"/>
      <c r="C362" s="229"/>
      <c r="D362" s="229"/>
      <c r="E362" s="229"/>
      <c r="F362" s="229"/>
      <c r="G362" s="229"/>
      <c r="H362" s="229"/>
      <c r="I362" s="229"/>
      <c r="J362" s="229"/>
      <c r="K362" s="229"/>
    </row>
    <row r="363" spans="2:11" x14ac:dyDescent="0.25">
      <c r="B363" s="229"/>
      <c r="C363" s="229"/>
      <c r="D363" s="229"/>
      <c r="E363" s="229"/>
      <c r="F363" s="229"/>
      <c r="G363" s="229"/>
      <c r="H363" s="229"/>
      <c r="I363" s="229"/>
      <c r="J363" s="229"/>
      <c r="K363" s="229"/>
    </row>
    <row r="364" spans="2:11" x14ac:dyDescent="0.25">
      <c r="B364" s="229"/>
      <c r="C364" s="229"/>
      <c r="D364" s="229"/>
      <c r="E364" s="229"/>
      <c r="F364" s="229"/>
      <c r="G364" s="229"/>
      <c r="H364" s="229"/>
      <c r="I364" s="229"/>
      <c r="J364" s="229"/>
      <c r="K364" s="229"/>
    </row>
    <row r="365" spans="2:11" x14ac:dyDescent="0.25">
      <c r="B365" s="229"/>
      <c r="C365" s="229"/>
      <c r="D365" s="229"/>
      <c r="E365" s="229"/>
      <c r="F365" s="229"/>
      <c r="G365" s="229"/>
      <c r="H365" s="229"/>
      <c r="I365" s="229"/>
      <c r="J365" s="229"/>
      <c r="K365" s="229"/>
    </row>
    <row r="366" spans="2:11" x14ac:dyDescent="0.25">
      <c r="B366" s="229"/>
      <c r="C366" s="229"/>
      <c r="D366" s="229"/>
      <c r="E366" s="229"/>
      <c r="F366" s="229"/>
      <c r="G366" s="229"/>
      <c r="H366" s="229"/>
      <c r="I366" s="229"/>
      <c r="J366" s="229"/>
      <c r="K366" s="229"/>
    </row>
    <row r="367" spans="2:11" x14ac:dyDescent="0.25">
      <c r="B367" s="229"/>
      <c r="C367" s="229"/>
      <c r="D367" s="229"/>
      <c r="E367" s="229"/>
      <c r="F367" s="229"/>
      <c r="G367" s="229"/>
      <c r="H367" s="229"/>
      <c r="I367" s="229"/>
      <c r="J367" s="229"/>
      <c r="K367" s="229"/>
    </row>
    <row r="368" spans="2:11" ht="7.5" customHeight="1" x14ac:dyDescent="0.25">
      <c r="B368" s="229"/>
      <c r="C368" s="229"/>
      <c r="D368" s="229"/>
      <c r="E368" s="229"/>
      <c r="F368" s="229"/>
      <c r="G368" s="229"/>
      <c r="H368" s="229"/>
      <c r="I368" s="229"/>
      <c r="J368" s="229"/>
      <c r="K368" s="229"/>
    </row>
    <row r="369" spans="1:11" ht="7.5" hidden="1" customHeight="1" x14ac:dyDescent="0.25">
      <c r="B369" s="229"/>
      <c r="C369" s="229"/>
      <c r="D369" s="229"/>
      <c r="E369" s="229"/>
      <c r="F369" s="229"/>
      <c r="G369" s="229"/>
      <c r="H369" s="229"/>
      <c r="I369" s="229"/>
      <c r="J369" s="229"/>
      <c r="K369" s="229"/>
    </row>
    <row r="370" spans="1:11" ht="7.5" hidden="1" customHeight="1" x14ac:dyDescent="0.25">
      <c r="B370" s="229"/>
      <c r="C370" s="229"/>
      <c r="D370" s="229"/>
      <c r="E370" s="229"/>
      <c r="F370" s="229"/>
      <c r="G370" s="229"/>
      <c r="H370" s="229"/>
      <c r="I370" s="229"/>
      <c r="J370" s="229"/>
      <c r="K370" s="229"/>
    </row>
    <row r="371" spans="1:11" ht="7.5" hidden="1" customHeight="1" x14ac:dyDescent="0.25">
      <c r="B371" s="229"/>
      <c r="C371" s="229"/>
      <c r="D371" s="229"/>
      <c r="E371" s="229"/>
      <c r="F371" s="229"/>
      <c r="G371" s="229"/>
      <c r="H371" s="229"/>
      <c r="I371" s="229"/>
      <c r="J371" s="229"/>
      <c r="K371" s="229"/>
    </row>
    <row r="372" spans="1:11" ht="7.5" hidden="1" customHeight="1" x14ac:dyDescent="0.25">
      <c r="B372" s="229"/>
      <c r="C372" s="229"/>
      <c r="D372" s="229"/>
      <c r="E372" s="229"/>
      <c r="F372" s="229"/>
      <c r="G372" s="229"/>
      <c r="H372" s="229"/>
      <c r="I372" s="229"/>
      <c r="J372" s="229"/>
      <c r="K372" s="229"/>
    </row>
    <row r="373" spans="1:11" ht="7.5" hidden="1" customHeight="1" x14ac:dyDescent="0.25">
      <c r="B373" s="229"/>
      <c r="C373" s="229"/>
      <c r="D373" s="229"/>
      <c r="E373" s="229"/>
      <c r="F373" s="229"/>
      <c r="G373" s="229"/>
      <c r="H373" s="229"/>
      <c r="I373" s="229"/>
      <c r="J373" s="229"/>
      <c r="K373" s="229"/>
    </row>
    <row r="374" spans="1:11" hidden="1" x14ac:dyDescent="0.25">
      <c r="B374" s="229"/>
      <c r="C374" s="229"/>
      <c r="D374" s="229"/>
      <c r="E374" s="229"/>
      <c r="F374" s="229"/>
      <c r="G374" s="229"/>
      <c r="H374" s="229"/>
      <c r="I374" s="229"/>
      <c r="J374" s="229"/>
      <c r="K374" s="229"/>
    </row>
    <row r="375" spans="1:11" ht="19.5" x14ac:dyDescent="0.35">
      <c r="A375" s="1104"/>
      <c r="B375" s="1024" t="s">
        <v>94</v>
      </c>
      <c r="C375" s="1024"/>
      <c r="D375" s="1024"/>
      <c r="E375" s="1024"/>
      <c r="F375" s="1024"/>
      <c r="G375" s="1024"/>
      <c r="H375" s="1024"/>
      <c r="I375" s="1024"/>
      <c r="J375" s="1024"/>
      <c r="K375" s="1024"/>
    </row>
    <row r="376" spans="1:11" x14ac:dyDescent="0.25">
      <c r="B376" s="229"/>
      <c r="C376" s="229"/>
      <c r="D376" s="229"/>
      <c r="E376" s="229"/>
      <c r="F376" s="229"/>
      <c r="G376" s="229"/>
      <c r="H376" s="229"/>
      <c r="I376" s="229"/>
      <c r="J376" s="229"/>
      <c r="K376" s="229"/>
    </row>
    <row r="377" spans="1:11" x14ac:dyDescent="0.25">
      <c r="B377" s="994" t="s">
        <v>16</v>
      </c>
      <c r="C377" s="229"/>
      <c r="D377" s="229"/>
      <c r="E377" s="229"/>
      <c r="F377" s="229"/>
      <c r="G377" s="229"/>
      <c r="H377" s="229"/>
      <c r="I377" s="229"/>
      <c r="J377" s="229"/>
      <c r="K377" s="229"/>
    </row>
    <row r="378" spans="1:11" x14ac:dyDescent="0.25">
      <c r="B378" s="1032" t="s">
        <v>95</v>
      </c>
      <c r="C378" s="1032"/>
      <c r="D378" s="1032"/>
      <c r="E378" s="1032"/>
      <c r="F378" s="1032"/>
      <c r="G378" s="1032"/>
      <c r="H378" s="1032"/>
      <c r="I378" s="1032"/>
      <c r="J378" s="1032"/>
      <c r="K378" s="229"/>
    </row>
    <row r="379" spans="1:11" x14ac:dyDescent="0.25">
      <c r="B379" s="1032"/>
      <c r="C379" s="1032"/>
      <c r="D379" s="1032"/>
      <c r="E379" s="1032"/>
      <c r="F379" s="1032"/>
      <c r="G379" s="1032"/>
      <c r="H379" s="1032"/>
      <c r="I379" s="1032"/>
      <c r="J379" s="1032"/>
      <c r="K379" s="229"/>
    </row>
    <row r="380" spans="1:11" x14ac:dyDescent="0.25">
      <c r="B380" s="1032"/>
      <c r="C380" s="1032"/>
      <c r="D380" s="1032"/>
      <c r="E380" s="1032"/>
      <c r="F380" s="1032"/>
      <c r="G380" s="1032"/>
      <c r="H380" s="1032"/>
      <c r="I380" s="1032"/>
      <c r="J380" s="1032"/>
      <c r="K380" s="229"/>
    </row>
    <row r="381" spans="1:11" x14ac:dyDescent="0.25">
      <c r="B381" s="229"/>
      <c r="C381" s="229"/>
      <c r="D381" s="229"/>
      <c r="E381" s="229"/>
      <c r="F381" s="229"/>
      <c r="G381" s="229"/>
      <c r="H381" s="229"/>
      <c r="I381" s="229"/>
      <c r="J381" s="229"/>
      <c r="K381" s="229"/>
    </row>
    <row r="382" spans="1:11" x14ac:dyDescent="0.25">
      <c r="B382" s="995" t="s">
        <v>18</v>
      </c>
      <c r="C382" s="217" t="s">
        <v>19</v>
      </c>
      <c r="D382" s="217" t="s">
        <v>20</v>
      </c>
      <c r="E382" s="218" t="s">
        <v>21</v>
      </c>
      <c r="F382" s="218" t="s">
        <v>22</v>
      </c>
      <c r="G382" s="212"/>
      <c r="H382" s="212"/>
      <c r="I382" s="212"/>
      <c r="J382" s="212"/>
      <c r="K382" s="229"/>
    </row>
    <row r="383" spans="1:11" x14ac:dyDescent="0.25">
      <c r="B383" s="1025" t="s">
        <v>96</v>
      </c>
      <c r="C383" s="1026" t="s">
        <v>24</v>
      </c>
      <c r="D383" s="1028" t="s">
        <v>25</v>
      </c>
      <c r="E383" s="1028" t="s">
        <v>26</v>
      </c>
      <c r="F383" s="1033" t="s">
        <v>97</v>
      </c>
      <c r="G383" s="1033"/>
      <c r="H383" s="1033"/>
      <c r="I383" s="1033"/>
      <c r="J383" s="1033"/>
      <c r="K383" s="229"/>
    </row>
    <row r="384" spans="1:11" x14ac:dyDescent="0.25">
      <c r="B384" s="1025"/>
      <c r="C384" s="1026"/>
      <c r="D384" s="1028"/>
      <c r="E384" s="1028"/>
      <c r="F384" s="1028"/>
      <c r="G384" s="1028"/>
      <c r="H384" s="1028"/>
      <c r="I384" s="1028"/>
      <c r="J384" s="1028"/>
      <c r="K384" s="229"/>
    </row>
    <row r="385" spans="2:11" x14ac:dyDescent="0.25">
      <c r="B385" s="1030" t="s">
        <v>98</v>
      </c>
      <c r="C385" s="1026" t="s">
        <v>24</v>
      </c>
      <c r="D385" s="1027" t="s">
        <v>25</v>
      </c>
      <c r="E385" s="1028" t="s">
        <v>26</v>
      </c>
      <c r="F385" s="1031" t="s">
        <v>99</v>
      </c>
      <c r="G385" s="1031"/>
      <c r="H385" s="1031"/>
      <c r="I385" s="1031"/>
      <c r="J385" s="1031"/>
      <c r="K385" s="229"/>
    </row>
    <row r="386" spans="2:11" x14ac:dyDescent="0.25">
      <c r="B386" s="1030"/>
      <c r="C386" s="1026"/>
      <c r="D386" s="1027"/>
      <c r="E386" s="1028"/>
      <c r="F386" s="1031"/>
      <c r="G386" s="1031"/>
      <c r="H386" s="1031"/>
      <c r="I386" s="1031"/>
      <c r="J386" s="1031"/>
      <c r="K386" s="229"/>
    </row>
    <row r="387" spans="2:11" x14ac:dyDescent="0.25">
      <c r="B387" s="1025" t="s">
        <v>30</v>
      </c>
      <c r="C387" s="1026" t="s">
        <v>31</v>
      </c>
      <c r="D387" s="1027" t="s">
        <v>32</v>
      </c>
      <c r="E387" s="1028" t="s">
        <v>26</v>
      </c>
      <c r="F387" s="1029" t="s">
        <v>370</v>
      </c>
      <c r="G387" s="1029"/>
      <c r="H387" s="1029"/>
      <c r="I387" s="1029"/>
      <c r="J387" s="1029"/>
      <c r="K387" s="229"/>
    </row>
    <row r="388" spans="2:11" ht="53.25" customHeight="1" x14ac:dyDescent="0.25">
      <c r="B388" s="1025"/>
      <c r="C388" s="1026"/>
      <c r="D388" s="1027"/>
      <c r="E388" s="1028"/>
      <c r="F388" s="1029"/>
      <c r="G388" s="1029"/>
      <c r="H388" s="1029"/>
      <c r="I388" s="1029"/>
      <c r="J388" s="1029"/>
      <c r="K388" s="229"/>
    </row>
    <row r="389" spans="2:11" ht="15" customHeight="1" x14ac:dyDescent="0.25">
      <c r="B389" s="997" t="s">
        <v>100</v>
      </c>
      <c r="C389" s="989" t="s">
        <v>40</v>
      </c>
      <c r="D389" s="264" t="s">
        <v>32</v>
      </c>
      <c r="E389" s="266">
        <v>0.3</v>
      </c>
      <c r="F389" s="264" t="s">
        <v>101</v>
      </c>
      <c r="G389" s="264"/>
      <c r="H389" s="264"/>
      <c r="I389" s="264"/>
      <c r="J389" s="229"/>
      <c r="K389" s="229"/>
    </row>
    <row r="390" spans="2:11" ht="28.5" customHeight="1" x14ac:dyDescent="0.25">
      <c r="B390" s="998" t="s">
        <v>102</v>
      </c>
      <c r="C390" s="989" t="s">
        <v>36</v>
      </c>
      <c r="D390" s="990" t="s">
        <v>32</v>
      </c>
      <c r="E390" s="990" t="s">
        <v>46</v>
      </c>
      <c r="F390" s="1021" t="s">
        <v>103</v>
      </c>
      <c r="G390" s="1021"/>
      <c r="H390" s="1021"/>
      <c r="I390" s="1021"/>
      <c r="J390" s="1021"/>
      <c r="K390" s="1021"/>
    </row>
    <row r="391" spans="2:11" x14ac:dyDescent="0.25">
      <c r="B391" s="229"/>
      <c r="C391" s="229"/>
      <c r="D391" s="229"/>
      <c r="E391" s="229"/>
      <c r="F391" s="229"/>
      <c r="G391" s="229"/>
      <c r="H391" s="229"/>
      <c r="I391" s="229"/>
      <c r="J391" s="229"/>
      <c r="K391" s="229"/>
    </row>
    <row r="392" spans="2:11" x14ac:dyDescent="0.25">
      <c r="B392" s="229"/>
      <c r="C392" s="229"/>
      <c r="D392" s="229"/>
      <c r="E392" s="229"/>
      <c r="F392" s="229"/>
      <c r="G392" s="229"/>
      <c r="H392" s="229"/>
      <c r="I392" s="229"/>
      <c r="J392" s="229"/>
      <c r="K392" s="229"/>
    </row>
    <row r="393" spans="2:11" x14ac:dyDescent="0.25">
      <c r="B393" s="229"/>
      <c r="C393" s="229"/>
      <c r="D393" s="229"/>
      <c r="E393" s="229"/>
      <c r="F393" s="229"/>
      <c r="G393" s="229"/>
      <c r="H393" s="229"/>
      <c r="I393" s="229"/>
      <c r="J393" s="229"/>
      <c r="K393" s="229"/>
    </row>
    <row r="394" spans="2:11" x14ac:dyDescent="0.25">
      <c r="B394" s="229"/>
      <c r="C394" s="229"/>
      <c r="D394" s="229"/>
      <c r="E394" s="229"/>
      <c r="F394" s="229"/>
      <c r="G394" s="229"/>
      <c r="H394" s="229"/>
      <c r="I394" s="229"/>
      <c r="J394" s="229"/>
      <c r="K394" s="229"/>
    </row>
    <row r="395" spans="2:11" x14ac:dyDescent="0.25">
      <c r="B395" s="229"/>
      <c r="C395" s="229"/>
      <c r="D395" s="229"/>
      <c r="E395" s="229"/>
      <c r="F395" s="229"/>
      <c r="G395" s="229"/>
      <c r="H395" s="229"/>
      <c r="I395" s="229"/>
      <c r="J395" s="229"/>
      <c r="K395" s="229"/>
    </row>
    <row r="396" spans="2:11" x14ac:dyDescent="0.25">
      <c r="B396" s="1035" t="s">
        <v>357</v>
      </c>
      <c r="C396" s="1036"/>
      <c r="D396" s="1036"/>
      <c r="E396" s="1036"/>
      <c r="F396" s="1036"/>
      <c r="G396" s="1036"/>
      <c r="H396" s="1036"/>
      <c r="I396" s="1036"/>
      <c r="J396" s="1036"/>
      <c r="K396" s="1037"/>
    </row>
    <row r="397" spans="2:11" x14ac:dyDescent="0.25">
      <c r="B397" s="229"/>
      <c r="C397" s="229"/>
      <c r="D397" s="229"/>
      <c r="E397" s="229"/>
      <c r="F397" s="229"/>
      <c r="G397" s="229"/>
      <c r="H397" s="229"/>
      <c r="I397" s="229"/>
      <c r="J397" s="229"/>
      <c r="K397" s="229"/>
    </row>
    <row r="398" spans="2:11" x14ac:dyDescent="0.25">
      <c r="B398" s="261" t="s">
        <v>1515</v>
      </c>
      <c r="C398" s="229"/>
      <c r="D398" s="229"/>
      <c r="E398" s="229"/>
      <c r="F398" s="229"/>
      <c r="G398" s="229"/>
      <c r="H398" s="229"/>
      <c r="I398" s="229"/>
      <c r="J398" s="229"/>
      <c r="K398" s="229"/>
    </row>
    <row r="399" spans="2:11" x14ac:dyDescent="0.25">
      <c r="B399" s="1084" t="str">
        <f>[1]!AddBlankChart(FALSE) &amp; [1]!AddPointsSeries(x,y)</f>
        <v>[Real Stats Chart |Tutorial|$B$399]&lt;&lt; Points |$C$25:$C$34|$B$399 &gt;&gt;</v>
      </c>
      <c r="C399" s="1084"/>
      <c r="D399" s="1084"/>
      <c r="E399" s="1084"/>
      <c r="F399" s="1084"/>
      <c r="G399" s="1084"/>
      <c r="H399" s="1084"/>
      <c r="I399" s="229"/>
      <c r="J399" s="229"/>
      <c r="K399" s="229"/>
    </row>
    <row r="400" spans="2:11" x14ac:dyDescent="0.25">
      <c r="B400" s="229"/>
      <c r="C400" s="229"/>
      <c r="D400" s="229"/>
      <c r="E400" s="229"/>
      <c r="F400" s="229"/>
      <c r="G400" s="229"/>
      <c r="H400" s="229"/>
      <c r="I400" s="229"/>
      <c r="J400" s="229"/>
      <c r="K400" s="229"/>
    </row>
    <row r="401" spans="1:11" x14ac:dyDescent="0.25">
      <c r="B401" s="229"/>
      <c r="C401" s="229"/>
      <c r="D401" s="229"/>
      <c r="E401" s="229"/>
      <c r="F401" s="229"/>
      <c r="G401" s="229"/>
      <c r="H401" s="229"/>
      <c r="I401" s="229"/>
      <c r="J401" s="229"/>
      <c r="K401" s="229"/>
    </row>
    <row r="402" spans="1:11" x14ac:dyDescent="0.25">
      <c r="B402" s="229"/>
      <c r="C402" s="229"/>
      <c r="D402" s="229"/>
      <c r="E402" s="229"/>
      <c r="F402" s="229"/>
      <c r="G402" s="229"/>
      <c r="H402" s="229"/>
      <c r="I402" s="229"/>
      <c r="J402" s="229"/>
      <c r="K402" s="229"/>
    </row>
    <row r="403" spans="1:11" x14ac:dyDescent="0.25">
      <c r="B403" s="229"/>
      <c r="C403" s="229"/>
      <c r="D403" s="229"/>
      <c r="E403" s="229"/>
      <c r="F403" s="229"/>
      <c r="G403" s="229"/>
      <c r="H403" s="229"/>
      <c r="I403" s="229"/>
      <c r="J403" s="229"/>
      <c r="K403" s="229"/>
    </row>
    <row r="404" spans="1:11" x14ac:dyDescent="0.25">
      <c r="B404" s="229"/>
      <c r="C404" s="229"/>
      <c r="D404" s="229"/>
      <c r="E404" s="229"/>
      <c r="F404" s="229"/>
      <c r="G404" s="229"/>
      <c r="H404" s="229"/>
      <c r="I404" s="229"/>
      <c r="J404" s="229"/>
      <c r="K404" s="229"/>
    </row>
    <row r="405" spans="1:11" x14ac:dyDescent="0.25">
      <c r="B405" s="229"/>
      <c r="C405" s="229"/>
      <c r="D405" s="229"/>
      <c r="E405" s="229"/>
      <c r="F405" s="229"/>
      <c r="G405" s="229"/>
      <c r="H405" s="229"/>
      <c r="I405" s="229"/>
      <c r="J405" s="229"/>
      <c r="K405" s="229"/>
    </row>
    <row r="406" spans="1:11" x14ac:dyDescent="0.25">
      <c r="B406" s="229"/>
      <c r="C406" s="229"/>
      <c r="D406" s="229"/>
      <c r="E406" s="229"/>
      <c r="F406" s="229"/>
      <c r="G406" s="229"/>
      <c r="H406" s="229"/>
      <c r="I406" s="229"/>
      <c r="J406" s="229"/>
      <c r="K406" s="229"/>
    </row>
    <row r="407" spans="1:11" x14ac:dyDescent="0.25">
      <c r="B407" s="229"/>
      <c r="C407" s="229"/>
      <c r="D407" s="229"/>
      <c r="E407" s="229"/>
      <c r="F407" s="229"/>
      <c r="G407" s="229"/>
      <c r="H407" s="229"/>
      <c r="I407" s="229"/>
      <c r="J407" s="229"/>
      <c r="K407" s="229"/>
    </row>
    <row r="408" spans="1:11" x14ac:dyDescent="0.25">
      <c r="B408" s="229"/>
      <c r="C408" s="229"/>
      <c r="D408" s="229"/>
      <c r="E408" s="229"/>
      <c r="F408" s="229"/>
      <c r="G408" s="229"/>
      <c r="H408" s="229"/>
      <c r="I408" s="229"/>
      <c r="J408" s="229"/>
      <c r="K408" s="229"/>
    </row>
    <row r="409" spans="1:11" x14ac:dyDescent="0.25">
      <c r="B409" s="229"/>
      <c r="C409" s="229"/>
      <c r="D409" s="229"/>
      <c r="E409" s="229"/>
      <c r="F409" s="229"/>
      <c r="G409" s="229"/>
      <c r="H409" s="229"/>
      <c r="I409" s="229"/>
      <c r="J409" s="229"/>
      <c r="K409" s="229"/>
    </row>
    <row r="410" spans="1:11" x14ac:dyDescent="0.25">
      <c r="B410" s="229"/>
      <c r="C410" s="229"/>
      <c r="D410" s="229"/>
      <c r="E410" s="229"/>
      <c r="F410" s="229"/>
      <c r="G410" s="229"/>
      <c r="H410" s="229"/>
      <c r="I410" s="229"/>
      <c r="J410" s="229"/>
      <c r="K410" s="229"/>
    </row>
    <row r="411" spans="1:11" x14ac:dyDescent="0.25">
      <c r="B411" s="229"/>
      <c r="C411" s="229"/>
      <c r="D411" s="229"/>
      <c r="E411" s="229"/>
      <c r="F411" s="229"/>
      <c r="G411" s="229"/>
      <c r="H411" s="229"/>
      <c r="I411" s="229"/>
      <c r="J411" s="229"/>
      <c r="K411" s="229"/>
    </row>
    <row r="412" spans="1:11" x14ac:dyDescent="0.25">
      <c r="B412" s="229"/>
      <c r="C412" s="229"/>
      <c r="D412" s="229"/>
      <c r="E412" s="229"/>
      <c r="F412" s="229"/>
      <c r="G412" s="229"/>
      <c r="H412" s="229"/>
      <c r="I412" s="229"/>
      <c r="J412" s="229"/>
      <c r="K412" s="229"/>
    </row>
    <row r="413" spans="1:11" x14ac:dyDescent="0.25">
      <c r="B413" s="229"/>
      <c r="C413" s="229"/>
      <c r="D413" s="229"/>
      <c r="E413" s="229"/>
      <c r="F413" s="229"/>
      <c r="G413" s="229"/>
      <c r="H413" s="229"/>
      <c r="I413" s="229"/>
      <c r="J413" s="229"/>
      <c r="K413" s="229"/>
    </row>
    <row r="414" spans="1:11" x14ac:dyDescent="0.25">
      <c r="B414" s="229"/>
      <c r="C414" s="229"/>
      <c r="D414" s="229"/>
      <c r="E414" s="229"/>
      <c r="F414" s="229"/>
      <c r="G414" s="229"/>
      <c r="H414" s="229"/>
      <c r="I414" s="229"/>
      <c r="J414" s="229"/>
      <c r="K414" s="229"/>
    </row>
    <row r="415" spans="1:11" x14ac:dyDescent="0.25">
      <c r="B415" s="229"/>
      <c r="C415" s="229"/>
      <c r="D415" s="229"/>
      <c r="E415" s="229"/>
      <c r="F415" s="229"/>
      <c r="G415" s="229"/>
      <c r="H415" s="229"/>
      <c r="I415" s="229"/>
      <c r="J415" s="229"/>
      <c r="K415" s="229"/>
    </row>
    <row r="416" spans="1:11" ht="19.5" x14ac:dyDescent="0.35">
      <c r="A416" s="1017"/>
      <c r="B416" s="1024" t="s">
        <v>358</v>
      </c>
      <c r="C416" s="1024"/>
      <c r="D416" s="1024"/>
      <c r="E416" s="1024"/>
      <c r="F416" s="1024"/>
      <c r="G416" s="1024"/>
      <c r="H416" s="1024"/>
      <c r="I416" s="1024"/>
      <c r="J416" s="1024"/>
      <c r="K416" s="1024"/>
    </row>
    <row r="417" spans="2:11" x14ac:dyDescent="0.25">
      <c r="B417" s="229"/>
      <c r="C417" s="229"/>
      <c r="D417" s="229"/>
      <c r="E417" s="229"/>
      <c r="F417" s="229"/>
      <c r="G417" s="229"/>
      <c r="H417" s="229"/>
      <c r="I417" s="229"/>
      <c r="J417" s="229"/>
      <c r="K417" s="229"/>
    </row>
    <row r="418" spans="2:11" x14ac:dyDescent="0.25">
      <c r="B418" s="994" t="s">
        <v>16</v>
      </c>
      <c r="C418" s="229"/>
      <c r="D418" s="229"/>
      <c r="E418" s="229"/>
      <c r="F418" s="229"/>
      <c r="G418" s="229"/>
      <c r="H418" s="229"/>
      <c r="I418" s="229"/>
      <c r="J418" s="229"/>
      <c r="K418" s="229"/>
    </row>
    <row r="419" spans="2:11" s="267" customFormat="1" ht="15.75" customHeight="1" x14ac:dyDescent="0.25">
      <c r="B419" s="1085" t="s">
        <v>359</v>
      </c>
      <c r="C419" s="1085"/>
      <c r="D419" s="1085"/>
      <c r="E419" s="1085"/>
      <c r="F419" s="1085"/>
      <c r="G419" s="1085"/>
      <c r="H419" s="1085"/>
      <c r="I419" s="1085"/>
      <c r="J419" s="1085"/>
      <c r="K419" s="992"/>
    </row>
    <row r="420" spans="2:11" s="267" customFormat="1" ht="15.75" customHeight="1" x14ac:dyDescent="0.25">
      <c r="B420" s="1085"/>
      <c r="C420" s="1085"/>
      <c r="D420" s="1085"/>
      <c r="E420" s="1085"/>
      <c r="F420" s="1085"/>
      <c r="G420" s="1085"/>
      <c r="H420" s="1085"/>
      <c r="I420" s="1085"/>
      <c r="J420" s="1085"/>
      <c r="K420" s="992"/>
    </row>
    <row r="421" spans="2:11" s="267" customFormat="1" ht="15.75" customHeight="1" x14ac:dyDescent="0.25">
      <c r="B421" s="1085"/>
      <c r="C421" s="1085"/>
      <c r="D421" s="1085"/>
      <c r="E421" s="1085"/>
      <c r="F421" s="1085"/>
      <c r="G421" s="1085"/>
      <c r="H421" s="1085"/>
      <c r="I421" s="1085"/>
      <c r="J421" s="1085"/>
      <c r="K421" s="992"/>
    </row>
    <row r="422" spans="2:11" x14ac:dyDescent="0.25">
      <c r="B422" s="229"/>
      <c r="C422" s="229"/>
      <c r="D422" s="229"/>
      <c r="E422" s="229"/>
      <c r="F422" s="229"/>
      <c r="G422" s="229"/>
      <c r="H422" s="229"/>
      <c r="I422" s="229"/>
      <c r="J422" s="229"/>
      <c r="K422" s="229"/>
    </row>
    <row r="423" spans="2:11" x14ac:dyDescent="0.25">
      <c r="B423" s="995" t="s">
        <v>18</v>
      </c>
      <c r="C423" s="217" t="s">
        <v>19</v>
      </c>
      <c r="D423" s="217" t="s">
        <v>20</v>
      </c>
      <c r="E423" s="218" t="s">
        <v>21</v>
      </c>
      <c r="F423" s="218" t="s">
        <v>22</v>
      </c>
      <c r="G423" s="212"/>
      <c r="H423" s="212"/>
      <c r="I423" s="212"/>
      <c r="J423" s="212"/>
      <c r="K423" s="229"/>
    </row>
    <row r="424" spans="2:11" x14ac:dyDescent="0.25">
      <c r="B424" s="1025" t="s">
        <v>23</v>
      </c>
      <c r="C424" s="1026" t="s">
        <v>24</v>
      </c>
      <c r="D424" s="1028" t="s">
        <v>25</v>
      </c>
      <c r="E424" s="1028" t="s">
        <v>26</v>
      </c>
      <c r="F424" s="1033" t="s">
        <v>27</v>
      </c>
      <c r="G424" s="1033"/>
      <c r="H424" s="1033"/>
      <c r="I424" s="1033"/>
      <c r="J424" s="1033"/>
      <c r="K424" s="229"/>
    </row>
    <row r="425" spans="2:11" x14ac:dyDescent="0.25">
      <c r="B425" s="1025"/>
      <c r="C425" s="1026"/>
      <c r="D425" s="1028"/>
      <c r="E425" s="1028"/>
      <c r="F425" s="1028"/>
      <c r="G425" s="1028"/>
      <c r="H425" s="1028"/>
      <c r="I425" s="1028"/>
      <c r="J425" s="1028"/>
      <c r="K425" s="229"/>
    </row>
    <row r="426" spans="2:11" x14ac:dyDescent="0.25">
      <c r="B426" s="1025" t="s">
        <v>28</v>
      </c>
      <c r="C426" s="1026" t="s">
        <v>24</v>
      </c>
      <c r="D426" s="1027" t="s">
        <v>25</v>
      </c>
      <c r="E426" s="1028" t="s">
        <v>26</v>
      </c>
      <c r="F426" s="1031" t="s">
        <v>29</v>
      </c>
      <c r="G426" s="1031"/>
      <c r="H426" s="1031"/>
      <c r="I426" s="1031"/>
      <c r="J426" s="1031"/>
      <c r="K426" s="229"/>
    </row>
    <row r="427" spans="2:11" x14ac:dyDescent="0.25">
      <c r="B427" s="1025"/>
      <c r="C427" s="1026"/>
      <c r="D427" s="1027"/>
      <c r="E427" s="1028"/>
      <c r="F427" s="1031"/>
      <c r="G427" s="1031"/>
      <c r="H427" s="1031"/>
      <c r="I427" s="1031"/>
      <c r="J427" s="1031"/>
      <c r="K427" s="229"/>
    </row>
    <row r="428" spans="2:11" ht="33.75" customHeight="1" x14ac:dyDescent="0.25">
      <c r="B428" s="1025" t="s">
        <v>30</v>
      </c>
      <c r="C428" s="1026" t="s">
        <v>31</v>
      </c>
      <c r="D428" s="1027" t="s">
        <v>32</v>
      </c>
      <c r="E428" s="1028" t="s">
        <v>26</v>
      </c>
      <c r="F428" s="1029" t="s">
        <v>370</v>
      </c>
      <c r="G428" s="1029"/>
      <c r="H428" s="1029"/>
      <c r="I428" s="1029"/>
      <c r="J428" s="1029"/>
      <c r="K428" s="229"/>
    </row>
    <row r="429" spans="2:11" ht="33.75" customHeight="1" x14ac:dyDescent="0.25">
      <c r="B429" s="1025"/>
      <c r="C429" s="1026"/>
      <c r="D429" s="1027"/>
      <c r="E429" s="1028"/>
      <c r="F429" s="1029"/>
      <c r="G429" s="1029"/>
      <c r="H429" s="1029"/>
      <c r="I429" s="1029"/>
      <c r="J429" s="1029"/>
      <c r="K429" s="229"/>
    </row>
    <row r="430" spans="2:11" ht="27" customHeight="1" x14ac:dyDescent="0.25">
      <c r="B430" s="1025" t="s">
        <v>33</v>
      </c>
      <c r="C430" s="1026" t="s">
        <v>31</v>
      </c>
      <c r="D430" s="1027" t="s">
        <v>32</v>
      </c>
      <c r="E430" s="1028" t="s">
        <v>34</v>
      </c>
      <c r="F430" s="1029" t="s">
        <v>371</v>
      </c>
      <c r="G430" s="1029"/>
      <c r="H430" s="1029"/>
      <c r="I430" s="1029"/>
      <c r="J430" s="1029"/>
      <c r="K430" s="229"/>
    </row>
    <row r="431" spans="2:11" ht="27" customHeight="1" x14ac:dyDescent="0.25">
      <c r="B431" s="1025"/>
      <c r="C431" s="1026"/>
      <c r="D431" s="1027"/>
      <c r="E431" s="1028"/>
      <c r="F431" s="1029"/>
      <c r="G431" s="1029"/>
      <c r="H431" s="1029"/>
      <c r="I431" s="1029"/>
      <c r="J431" s="1029"/>
      <c r="K431" s="229"/>
    </row>
    <row r="432" spans="2:11" ht="51" customHeight="1" x14ac:dyDescent="0.25">
      <c r="B432" s="996" t="s">
        <v>360</v>
      </c>
      <c r="C432" s="989" t="s">
        <v>376</v>
      </c>
      <c r="D432" s="262" t="s">
        <v>32</v>
      </c>
      <c r="E432" s="1109">
        <v>8</v>
      </c>
      <c r="F432" s="1031" t="s">
        <v>375</v>
      </c>
      <c r="G432" s="1031"/>
      <c r="H432" s="1031"/>
      <c r="I432" s="1031"/>
      <c r="J432" s="1031"/>
      <c r="K432" s="229"/>
    </row>
    <row r="433" spans="2:11" ht="27.75" customHeight="1" x14ac:dyDescent="0.25">
      <c r="B433" s="997" t="s">
        <v>361</v>
      </c>
      <c r="C433" s="989" t="s">
        <v>40</v>
      </c>
      <c r="D433" s="262" t="s">
        <v>32</v>
      </c>
      <c r="E433" s="1109">
        <v>7</v>
      </c>
      <c r="F433" s="1031" t="s">
        <v>377</v>
      </c>
      <c r="G433" s="1031"/>
      <c r="H433" s="1031"/>
      <c r="I433" s="1031"/>
      <c r="J433" s="1031"/>
      <c r="K433" s="991"/>
    </row>
    <row r="434" spans="2:11" ht="27.75" customHeight="1" x14ac:dyDescent="0.25">
      <c r="B434" s="997" t="s">
        <v>362</v>
      </c>
      <c r="C434" s="989" t="s">
        <v>36</v>
      </c>
      <c r="D434" s="262" t="s">
        <v>32</v>
      </c>
      <c r="E434" s="1109" t="s">
        <v>37</v>
      </c>
      <c r="F434" s="1031" t="s">
        <v>385</v>
      </c>
      <c r="G434" s="1031"/>
      <c r="H434" s="1031"/>
      <c r="I434" s="1031"/>
      <c r="J434" s="1031"/>
      <c r="K434" s="991"/>
    </row>
    <row r="435" spans="2:11" ht="25.5" customHeight="1" x14ac:dyDescent="0.25">
      <c r="B435" s="998" t="s">
        <v>363</v>
      </c>
      <c r="C435" s="989" t="s">
        <v>40</v>
      </c>
      <c r="D435" s="262" t="s">
        <v>32</v>
      </c>
      <c r="E435" s="1109">
        <v>0</v>
      </c>
      <c r="F435" s="1031" t="s">
        <v>378</v>
      </c>
      <c r="G435" s="1031"/>
      <c r="H435" s="1031"/>
      <c r="I435" s="1031"/>
      <c r="J435" s="1031"/>
      <c r="K435" s="991"/>
    </row>
    <row r="436" spans="2:11" ht="25.5" customHeight="1" x14ac:dyDescent="0.25">
      <c r="B436" s="998" t="s">
        <v>364</v>
      </c>
      <c r="C436" s="989" t="s">
        <v>40</v>
      </c>
      <c r="D436" s="262" t="s">
        <v>32</v>
      </c>
      <c r="E436" s="1109" t="s">
        <v>37</v>
      </c>
      <c r="F436" s="1031" t="s">
        <v>379</v>
      </c>
      <c r="G436" s="1031"/>
      <c r="H436" s="1031"/>
      <c r="I436" s="1031"/>
      <c r="J436" s="1031"/>
      <c r="K436" s="991"/>
    </row>
    <row r="437" spans="2:11" ht="56.25" customHeight="1" x14ac:dyDescent="0.25">
      <c r="B437" s="996" t="s">
        <v>365</v>
      </c>
      <c r="C437" s="989" t="s">
        <v>40</v>
      </c>
      <c r="D437" s="262" t="s">
        <v>32</v>
      </c>
      <c r="E437" s="1109">
        <v>1</v>
      </c>
      <c r="F437" s="1031" t="s">
        <v>380</v>
      </c>
      <c r="G437" s="1031"/>
      <c r="H437" s="1031"/>
      <c r="I437" s="1031"/>
      <c r="J437" s="1031"/>
      <c r="K437" s="991"/>
    </row>
    <row r="438" spans="2:11" ht="27.75" customHeight="1" x14ac:dyDescent="0.25">
      <c r="B438" s="996" t="s">
        <v>366</v>
      </c>
      <c r="C438" s="989" t="s">
        <v>40</v>
      </c>
      <c r="D438" s="262" t="s">
        <v>32</v>
      </c>
      <c r="E438" s="1108">
        <v>0</v>
      </c>
      <c r="F438" s="1031" t="s">
        <v>381</v>
      </c>
      <c r="G438" s="1031"/>
      <c r="H438" s="1031"/>
      <c r="I438" s="1031"/>
      <c r="J438" s="1031"/>
      <c r="K438" s="991"/>
    </row>
    <row r="439" spans="2:11" ht="27.75" customHeight="1" x14ac:dyDescent="0.25">
      <c r="B439" s="996" t="s">
        <v>367</v>
      </c>
      <c r="C439" s="989" t="s">
        <v>36</v>
      </c>
      <c r="D439" s="262" t="s">
        <v>32</v>
      </c>
      <c r="E439" s="1108" t="s">
        <v>26</v>
      </c>
      <c r="F439" s="1031" t="s">
        <v>382</v>
      </c>
      <c r="G439" s="1031"/>
      <c r="H439" s="1031"/>
      <c r="I439" s="1031"/>
      <c r="J439" s="1031"/>
      <c r="K439" s="991"/>
    </row>
    <row r="440" spans="2:11" ht="27.75" customHeight="1" x14ac:dyDescent="0.25">
      <c r="B440" s="996" t="s">
        <v>368</v>
      </c>
      <c r="C440" s="989" t="s">
        <v>40</v>
      </c>
      <c r="D440" s="990" t="s">
        <v>32</v>
      </c>
      <c r="E440" s="1109" t="s">
        <v>26</v>
      </c>
      <c r="F440" s="1031" t="s">
        <v>383</v>
      </c>
      <c r="G440" s="1031"/>
      <c r="H440" s="1031"/>
      <c r="I440" s="1031"/>
      <c r="J440" s="1031"/>
      <c r="K440" s="991"/>
    </row>
    <row r="441" spans="2:11" ht="27.75" customHeight="1" x14ac:dyDescent="0.25">
      <c r="B441" s="996" t="s">
        <v>369</v>
      </c>
      <c r="C441" s="989" t="s">
        <v>376</v>
      </c>
      <c r="D441" s="990" t="s">
        <v>32</v>
      </c>
      <c r="E441" s="1109" t="s">
        <v>26</v>
      </c>
      <c r="F441" s="1031" t="s">
        <v>384</v>
      </c>
      <c r="G441" s="1031"/>
      <c r="H441" s="1031"/>
      <c r="I441" s="1031"/>
      <c r="J441" s="1031"/>
      <c r="K441" s="991"/>
    </row>
    <row r="442" spans="2:11" x14ac:dyDescent="0.25">
      <c r="B442" s="229"/>
      <c r="C442" s="229"/>
      <c r="D442" s="229"/>
      <c r="E442" s="229"/>
      <c r="F442" s="229"/>
      <c r="G442" s="229"/>
      <c r="H442" s="229"/>
      <c r="I442" s="229"/>
      <c r="J442" s="229"/>
      <c r="K442" s="229"/>
    </row>
    <row r="443" spans="2:11" x14ac:dyDescent="0.25">
      <c r="B443" s="229"/>
      <c r="C443" s="229"/>
      <c r="D443" s="229"/>
      <c r="E443" s="229"/>
      <c r="F443" s="229"/>
      <c r="G443" s="229"/>
      <c r="H443" s="229"/>
      <c r="I443" s="229"/>
      <c r="J443" s="229"/>
      <c r="K443" s="229"/>
    </row>
    <row r="444" spans="2:11" x14ac:dyDescent="0.25">
      <c r="B444" s="1086" t="s">
        <v>386</v>
      </c>
      <c r="C444" s="1087"/>
      <c r="D444" s="1087"/>
      <c r="E444" s="1087"/>
      <c r="F444" s="1087"/>
      <c r="G444" s="1087"/>
      <c r="H444" s="1087"/>
      <c r="I444" s="1087"/>
      <c r="J444" s="1087"/>
      <c r="K444" s="1088"/>
    </row>
    <row r="445" spans="2:11" x14ac:dyDescent="0.25">
      <c r="B445" s="229"/>
      <c r="C445" s="229"/>
      <c r="D445" s="229"/>
      <c r="E445" s="229"/>
      <c r="F445" s="229"/>
      <c r="G445" s="229"/>
      <c r="H445" s="229"/>
      <c r="I445" s="229"/>
      <c r="J445" s="229"/>
      <c r="K445" s="229"/>
    </row>
    <row r="446" spans="2:11" x14ac:dyDescent="0.25">
      <c r="B446" s="229"/>
      <c r="C446" s="229"/>
      <c r="D446" s="229"/>
      <c r="E446" s="229"/>
      <c r="F446" s="229"/>
      <c r="G446" s="229"/>
      <c r="H446" s="229"/>
      <c r="I446" s="229"/>
      <c r="J446" s="229"/>
      <c r="K446" s="229"/>
    </row>
    <row r="447" spans="2:11" x14ac:dyDescent="0.25">
      <c r="B447" s="261" t="s">
        <v>1524</v>
      </c>
      <c r="C447" s="229"/>
      <c r="D447" s="229"/>
      <c r="E447" s="229"/>
      <c r="F447" s="229"/>
      <c r="G447" s="229"/>
      <c r="H447" s="229"/>
      <c r="I447" s="229"/>
      <c r="J447" s="229"/>
      <c r="K447" s="2"/>
    </row>
    <row r="448" spans="2:11" x14ac:dyDescent="0.25">
      <c r="B448" s="1076" t="str">
        <f>[1]!AddBlankChart(FALSE) &amp; [1]!AddPointsSeries(x,y) &amp; [1]!AddPointsSeries(x,y_1)</f>
        <v>[Real Stats Chart |Tutorial|$B$448]&lt;&lt; Points |$C$25:$C$34|$B$448 &gt;&gt;&lt;&lt; Points |$B$144:$B$153|$B$448 &gt;&gt;</v>
      </c>
      <c r="C448" s="1063"/>
      <c r="D448" s="1063"/>
      <c r="E448" s="1063"/>
      <c r="F448" s="1063"/>
      <c r="G448" s="1063"/>
      <c r="H448" s="1063"/>
      <c r="I448" s="1089"/>
      <c r="J448" s="229"/>
      <c r="K448" s="229"/>
    </row>
    <row r="449" spans="2:12" x14ac:dyDescent="0.25">
      <c r="B449" s="1065"/>
      <c r="C449" s="1065"/>
      <c r="D449" s="1065"/>
      <c r="E449" s="1065"/>
      <c r="F449" s="1065"/>
      <c r="G449" s="1065"/>
      <c r="H449" s="1065"/>
      <c r="I449" s="1090"/>
      <c r="J449" s="229"/>
      <c r="K449" s="229"/>
    </row>
    <row r="450" spans="2:12" x14ac:dyDescent="0.25">
      <c r="B450" s="229"/>
      <c r="C450" s="229"/>
      <c r="D450" s="229"/>
      <c r="E450" s="229"/>
      <c r="F450" s="229"/>
      <c r="G450" s="229"/>
      <c r="H450" s="229"/>
      <c r="I450" s="229"/>
      <c r="J450" s="229"/>
      <c r="K450" s="229"/>
    </row>
    <row r="451" spans="2:12" x14ac:dyDescent="0.25">
      <c r="B451" s="229"/>
      <c r="C451" s="229"/>
      <c r="D451" s="229"/>
      <c r="E451" s="229"/>
      <c r="F451" s="229"/>
      <c r="G451" s="229"/>
      <c r="H451" s="229"/>
      <c r="I451" s="229"/>
      <c r="J451" s="229"/>
      <c r="K451" s="229"/>
    </row>
    <row r="452" spans="2:12" x14ac:dyDescent="0.25">
      <c r="B452" s="229"/>
      <c r="C452" s="229"/>
      <c r="D452" s="229"/>
      <c r="E452" s="229"/>
      <c r="F452" s="229"/>
      <c r="G452" s="229"/>
      <c r="H452" s="229"/>
      <c r="I452" s="229"/>
      <c r="J452" s="229"/>
      <c r="K452" s="229"/>
    </row>
    <row r="453" spans="2:12" x14ac:dyDescent="0.25">
      <c r="B453" s="229"/>
      <c r="C453" s="229"/>
      <c r="D453" s="229"/>
      <c r="E453" s="229"/>
      <c r="F453" s="229"/>
      <c r="G453" s="229"/>
      <c r="H453" s="229"/>
      <c r="I453" s="229"/>
      <c r="J453" s="229"/>
      <c r="K453" s="229"/>
    </row>
    <row r="454" spans="2:12" x14ac:dyDescent="0.25">
      <c r="B454" s="229"/>
      <c r="C454" s="229"/>
      <c r="D454" s="229"/>
      <c r="E454" s="229"/>
      <c r="F454" s="229"/>
      <c r="G454" s="229"/>
      <c r="H454" s="229"/>
      <c r="I454" s="229"/>
      <c r="J454" s="229"/>
      <c r="K454" s="229"/>
      <c r="L454" s="988"/>
    </row>
    <row r="455" spans="2:12" x14ac:dyDescent="0.25">
      <c r="B455" s="229"/>
      <c r="C455" s="229"/>
      <c r="D455" s="229"/>
      <c r="E455" s="229"/>
      <c r="F455" s="229"/>
      <c r="G455" s="229"/>
      <c r="H455" s="229"/>
      <c r="I455" s="229"/>
      <c r="J455" s="229"/>
      <c r="K455" s="229"/>
    </row>
    <row r="456" spans="2:12" x14ac:dyDescent="0.25">
      <c r="B456" s="229"/>
      <c r="C456" s="229"/>
      <c r="D456" s="229"/>
      <c r="E456" s="229"/>
      <c r="F456" s="229"/>
      <c r="G456" s="229"/>
      <c r="H456" s="229"/>
      <c r="I456" s="229"/>
      <c r="J456" s="229"/>
      <c r="K456" s="229"/>
    </row>
    <row r="457" spans="2:12" x14ac:dyDescent="0.25">
      <c r="B457" s="229"/>
      <c r="C457" s="229"/>
      <c r="D457" s="229"/>
      <c r="E457" s="229"/>
      <c r="F457" s="229"/>
      <c r="G457" s="229"/>
      <c r="H457" s="229"/>
      <c r="I457" s="229"/>
      <c r="J457" s="229"/>
      <c r="K457" s="229"/>
    </row>
    <row r="458" spans="2:12" x14ac:dyDescent="0.25">
      <c r="B458" s="229"/>
      <c r="C458" s="229"/>
      <c r="D458" s="229"/>
      <c r="E458" s="229"/>
      <c r="F458" s="229"/>
      <c r="G458" s="229"/>
      <c r="H458" s="229"/>
      <c r="I458" s="229"/>
      <c r="J458" s="229"/>
      <c r="K458" s="229"/>
    </row>
    <row r="459" spans="2:12" x14ac:dyDescent="0.25">
      <c r="B459" s="229"/>
      <c r="C459" s="229"/>
      <c r="D459" s="229"/>
      <c r="E459" s="229"/>
      <c r="F459" s="229"/>
      <c r="G459" s="229"/>
      <c r="H459" s="229"/>
      <c r="I459" s="229"/>
      <c r="J459" s="229"/>
      <c r="K459" s="229"/>
    </row>
    <row r="460" spans="2:12" x14ac:dyDescent="0.25">
      <c r="B460" s="229"/>
      <c r="C460" s="229"/>
      <c r="D460" s="229"/>
      <c r="E460" s="229"/>
      <c r="F460" s="229"/>
      <c r="G460" s="229"/>
      <c r="H460" s="229"/>
      <c r="I460" s="229"/>
      <c r="J460" s="229"/>
      <c r="K460" s="229"/>
    </row>
    <row r="461" spans="2:12" x14ac:dyDescent="0.25">
      <c r="B461" s="229"/>
      <c r="C461" s="229"/>
      <c r="D461" s="229"/>
      <c r="E461" s="229"/>
      <c r="F461" s="229"/>
      <c r="G461" s="229"/>
      <c r="H461" s="229"/>
      <c r="I461" s="229"/>
      <c r="J461" s="229"/>
      <c r="K461" s="229"/>
    </row>
    <row r="462" spans="2:12" x14ac:dyDescent="0.25">
      <c r="B462" s="229"/>
      <c r="C462" s="229"/>
      <c r="D462" s="229"/>
      <c r="E462" s="229"/>
      <c r="F462" s="229"/>
      <c r="G462" s="229"/>
      <c r="H462" s="229"/>
      <c r="I462" s="229"/>
      <c r="J462" s="229"/>
      <c r="K462" s="229"/>
    </row>
    <row r="463" spans="2:12" x14ac:dyDescent="0.25">
      <c r="B463" s="229"/>
      <c r="C463" s="229"/>
      <c r="D463" s="229"/>
      <c r="E463" s="229"/>
      <c r="F463" s="229"/>
      <c r="G463" s="229"/>
      <c r="H463" s="229"/>
      <c r="I463" s="229"/>
      <c r="J463" s="229"/>
      <c r="K463" s="229"/>
    </row>
    <row r="464" spans="2:12" x14ac:dyDescent="0.25">
      <c r="B464" s="229"/>
      <c r="C464" s="229"/>
      <c r="D464" s="229"/>
      <c r="E464" s="229"/>
      <c r="F464" s="229"/>
      <c r="G464" s="229"/>
      <c r="H464" s="229"/>
      <c r="I464" s="229"/>
      <c r="J464" s="229"/>
      <c r="K464" s="229"/>
    </row>
    <row r="465" spans="1:11" x14ac:dyDescent="0.25">
      <c r="B465" s="229"/>
      <c r="C465" s="229"/>
      <c r="D465" s="229"/>
      <c r="E465" s="229"/>
      <c r="F465" s="229"/>
      <c r="G465" s="229"/>
      <c r="H465" s="229"/>
      <c r="I465" s="229"/>
      <c r="J465" s="229"/>
      <c r="K465" s="229"/>
    </row>
    <row r="466" spans="1:11" x14ac:dyDescent="0.25">
      <c r="B466" s="229"/>
      <c r="C466" s="229"/>
      <c r="D466" s="229"/>
      <c r="E466" s="229"/>
      <c r="F466" s="229"/>
      <c r="G466" s="229"/>
      <c r="H466" s="229"/>
      <c r="I466" s="229"/>
      <c r="J466" s="229"/>
      <c r="K466" s="229"/>
    </row>
    <row r="467" spans="1:11" x14ac:dyDescent="0.25">
      <c r="B467" s="229"/>
      <c r="C467" s="229"/>
      <c r="D467" s="229"/>
      <c r="E467" s="229"/>
      <c r="F467" s="229"/>
      <c r="G467" s="229"/>
      <c r="H467" s="229"/>
      <c r="I467" s="229"/>
      <c r="J467" s="229"/>
      <c r="K467" s="229"/>
    </row>
    <row r="468" spans="1:11" ht="19.5" x14ac:dyDescent="0.35">
      <c r="A468" s="1104"/>
      <c r="B468" s="1024" t="s">
        <v>1538</v>
      </c>
      <c r="C468" s="1024"/>
      <c r="D468" s="1024"/>
      <c r="E468" s="1024"/>
      <c r="F468" s="1024"/>
      <c r="G468" s="1024"/>
      <c r="H468" s="1024"/>
      <c r="I468" s="1024"/>
      <c r="J468" s="1024"/>
      <c r="K468" s="1024"/>
    </row>
    <row r="469" spans="1:11" x14ac:dyDescent="0.25">
      <c r="B469" s="229"/>
      <c r="C469" s="229"/>
      <c r="D469" s="229"/>
      <c r="E469" s="229"/>
      <c r="F469" s="229"/>
      <c r="G469" s="229"/>
      <c r="H469" s="229"/>
      <c r="I469" s="229"/>
      <c r="J469" s="229"/>
      <c r="K469" s="229"/>
    </row>
    <row r="470" spans="1:11" x14ac:dyDescent="0.25">
      <c r="B470" s="994" t="s">
        <v>16</v>
      </c>
      <c r="C470" s="229"/>
      <c r="D470" s="229"/>
      <c r="E470" s="229"/>
      <c r="F470" s="229"/>
      <c r="G470" s="229"/>
      <c r="H470" s="229"/>
      <c r="I470" s="229"/>
      <c r="J470" s="229"/>
      <c r="K470" s="229"/>
    </row>
    <row r="471" spans="1:11" x14ac:dyDescent="0.25">
      <c r="B471" s="1085" t="s">
        <v>1539</v>
      </c>
      <c r="C471" s="1085"/>
      <c r="D471" s="1085"/>
      <c r="E471" s="1085"/>
      <c r="F471" s="1085"/>
      <c r="G471" s="1085"/>
      <c r="H471" s="1085"/>
      <c r="I471" s="1085"/>
      <c r="J471" s="1085"/>
      <c r="K471" s="229"/>
    </row>
    <row r="472" spans="1:11" x14ac:dyDescent="0.25">
      <c r="B472" s="1085"/>
      <c r="C472" s="1085"/>
      <c r="D472" s="1085"/>
      <c r="E472" s="1085"/>
      <c r="F472" s="1085"/>
      <c r="G472" s="1085"/>
      <c r="H472" s="1085"/>
      <c r="I472" s="1085"/>
      <c r="J472" s="1085"/>
      <c r="K472" s="229"/>
    </row>
    <row r="473" spans="1:11" x14ac:dyDescent="0.25">
      <c r="B473" s="1085"/>
      <c r="C473" s="1085"/>
      <c r="D473" s="1085"/>
      <c r="E473" s="1085"/>
      <c r="F473" s="1085"/>
      <c r="G473" s="1085"/>
      <c r="H473" s="1085"/>
      <c r="I473" s="1085"/>
      <c r="J473" s="1085"/>
      <c r="K473" s="229"/>
    </row>
    <row r="474" spans="1:11" x14ac:dyDescent="0.25">
      <c r="B474" s="229"/>
      <c r="C474" s="229"/>
      <c r="D474" s="229"/>
      <c r="E474" s="229"/>
      <c r="F474" s="229"/>
      <c r="G474" s="229"/>
      <c r="H474" s="229"/>
      <c r="I474" s="229"/>
      <c r="J474" s="229"/>
      <c r="K474" s="229"/>
    </row>
    <row r="475" spans="1:11" x14ac:dyDescent="0.25">
      <c r="B475" s="995" t="s">
        <v>18</v>
      </c>
      <c r="C475" s="217" t="s">
        <v>19</v>
      </c>
      <c r="D475" s="217" t="s">
        <v>20</v>
      </c>
      <c r="E475" s="218" t="s">
        <v>21</v>
      </c>
      <c r="F475" s="218" t="s">
        <v>22</v>
      </c>
      <c r="G475" s="212"/>
      <c r="H475" s="212"/>
      <c r="I475" s="212"/>
      <c r="J475" s="212"/>
      <c r="K475" s="229"/>
    </row>
    <row r="476" spans="1:11" x14ac:dyDescent="0.25">
      <c r="B476" s="1025" t="s">
        <v>33</v>
      </c>
      <c r="C476" s="1026" t="s">
        <v>31</v>
      </c>
      <c r="D476" s="1027" t="s">
        <v>1540</v>
      </c>
      <c r="E476" s="1028" t="s">
        <v>26</v>
      </c>
      <c r="F476" s="1029" t="s">
        <v>1541</v>
      </c>
      <c r="G476" s="1029"/>
      <c r="H476" s="1029"/>
      <c r="I476" s="1029"/>
      <c r="J476" s="1029"/>
      <c r="K476" s="229"/>
    </row>
    <row r="477" spans="1:11" x14ac:dyDescent="0.25">
      <c r="B477" s="1025"/>
      <c r="C477" s="1026"/>
      <c r="D477" s="1027"/>
      <c r="E477" s="1028"/>
      <c r="F477" s="1029"/>
      <c r="G477" s="1029"/>
      <c r="H477" s="1029"/>
      <c r="I477" s="1029"/>
      <c r="J477" s="1029"/>
      <c r="K477" s="229"/>
    </row>
    <row r="478" spans="1:11" ht="39.75" customHeight="1" x14ac:dyDescent="0.25">
      <c r="B478" s="1025" t="s">
        <v>30</v>
      </c>
      <c r="C478" s="1026" t="s">
        <v>31</v>
      </c>
      <c r="D478" s="1027" t="s">
        <v>32</v>
      </c>
      <c r="E478" s="1028" t="s">
        <v>26</v>
      </c>
      <c r="F478" s="1029" t="s">
        <v>370</v>
      </c>
      <c r="G478" s="1029"/>
      <c r="H478" s="1029"/>
      <c r="I478" s="1029"/>
      <c r="J478" s="1029"/>
      <c r="K478" s="229"/>
    </row>
    <row r="479" spans="1:11" ht="39.75" customHeight="1" x14ac:dyDescent="0.25">
      <c r="B479" s="1025"/>
      <c r="C479" s="1026"/>
      <c r="D479" s="1027"/>
      <c r="E479" s="1028"/>
      <c r="F479" s="1029"/>
      <c r="G479" s="1029"/>
      <c r="H479" s="1029"/>
      <c r="I479" s="1029"/>
      <c r="J479" s="1029"/>
      <c r="K479" s="229"/>
    </row>
    <row r="480" spans="1:11" ht="42.75" customHeight="1" x14ac:dyDescent="0.25">
      <c r="B480" s="996" t="s">
        <v>1542</v>
      </c>
      <c r="C480" s="1019" t="s">
        <v>376</v>
      </c>
      <c r="D480" s="262" t="s">
        <v>32</v>
      </c>
      <c r="E480" s="262" t="s">
        <v>1543</v>
      </c>
      <c r="F480" s="1031" t="s">
        <v>1544</v>
      </c>
      <c r="G480" s="1031"/>
      <c r="H480" s="1031"/>
      <c r="I480" s="1031"/>
      <c r="J480" s="1031"/>
      <c r="K480" s="229"/>
    </row>
    <row r="481" spans="2:11" x14ac:dyDescent="0.25">
      <c r="B481" s="998" t="s">
        <v>1545</v>
      </c>
      <c r="C481" s="1019" t="s">
        <v>40</v>
      </c>
      <c r="D481" s="262" t="s">
        <v>32</v>
      </c>
      <c r="E481" s="1028" t="s">
        <v>37</v>
      </c>
      <c r="F481" s="1031" t="s">
        <v>379</v>
      </c>
      <c r="G481" s="1031"/>
      <c r="H481" s="1031"/>
      <c r="I481" s="1031"/>
      <c r="J481" s="1031"/>
      <c r="K481" s="229"/>
    </row>
    <row r="482" spans="2:11" x14ac:dyDescent="0.25">
      <c r="B482" s="996" t="s">
        <v>42</v>
      </c>
      <c r="C482" s="1019" t="s">
        <v>40</v>
      </c>
      <c r="D482" s="262" t="s">
        <v>32</v>
      </c>
      <c r="E482" s="1028">
        <v>1</v>
      </c>
      <c r="F482" s="1031" t="s">
        <v>380</v>
      </c>
      <c r="G482" s="1031"/>
      <c r="H482" s="1031"/>
      <c r="I482" s="1031"/>
      <c r="J482" s="1031"/>
      <c r="K482" s="229"/>
    </row>
    <row r="483" spans="2:11" x14ac:dyDescent="0.25">
      <c r="B483" s="996" t="s">
        <v>39</v>
      </c>
      <c r="C483" s="1019" t="s">
        <v>40</v>
      </c>
      <c r="D483" s="262" t="s">
        <v>32</v>
      </c>
      <c r="E483" s="262">
        <v>0</v>
      </c>
      <c r="F483" s="1031" t="s">
        <v>381</v>
      </c>
      <c r="G483" s="1031"/>
      <c r="H483" s="1031"/>
      <c r="I483" s="1031"/>
      <c r="J483" s="1031"/>
      <c r="K483" s="229"/>
    </row>
    <row r="484" spans="2:11" hidden="1" x14ac:dyDescent="0.25">
      <c r="B484" s="1116" t="s">
        <v>1546</v>
      </c>
      <c r="C484" s="1116"/>
      <c r="D484" s="1116"/>
      <c r="E484" s="1116"/>
      <c r="F484" s="1116"/>
      <c r="G484" s="1116"/>
      <c r="H484" s="1116"/>
      <c r="I484" s="1116"/>
      <c r="J484" s="1116"/>
      <c r="K484" s="229"/>
    </row>
    <row r="485" spans="2:11" hidden="1" x14ac:dyDescent="0.25">
      <c r="B485" s="1110" t="s">
        <v>367</v>
      </c>
      <c r="C485" s="1111" t="s">
        <v>36</v>
      </c>
      <c r="D485" s="1112" t="s">
        <v>32</v>
      </c>
      <c r="E485" s="1112" t="s">
        <v>26</v>
      </c>
      <c r="F485" s="1113" t="s">
        <v>382</v>
      </c>
      <c r="G485" s="1113"/>
      <c r="H485" s="1113"/>
      <c r="I485" s="1113"/>
      <c r="J485" s="1113"/>
      <c r="K485" s="229"/>
    </row>
    <row r="486" spans="2:11" hidden="1" x14ac:dyDescent="0.25">
      <c r="B486" s="1110" t="s">
        <v>368</v>
      </c>
      <c r="C486" s="1111" t="s">
        <v>40</v>
      </c>
      <c r="D486" s="1114" t="s">
        <v>32</v>
      </c>
      <c r="E486" s="1115" t="s">
        <v>26</v>
      </c>
      <c r="F486" s="1113" t="s">
        <v>383</v>
      </c>
      <c r="G486" s="1113"/>
      <c r="H486" s="1113"/>
      <c r="I486" s="1113"/>
      <c r="J486" s="1113"/>
      <c r="K486" s="229"/>
    </row>
    <row r="487" spans="2:11" hidden="1" x14ac:dyDescent="0.25">
      <c r="B487" s="1110" t="s">
        <v>369</v>
      </c>
      <c r="C487" s="1111" t="s">
        <v>376</v>
      </c>
      <c r="D487" s="1114" t="s">
        <v>32</v>
      </c>
      <c r="E487" s="1115" t="s">
        <v>26</v>
      </c>
      <c r="F487" s="1113" t="s">
        <v>384</v>
      </c>
      <c r="G487" s="1113"/>
      <c r="H487" s="1113"/>
      <c r="I487" s="1113"/>
      <c r="J487" s="1113"/>
      <c r="K487" s="229"/>
    </row>
    <row r="488" spans="2:11" x14ac:dyDescent="0.25">
      <c r="B488" s="229"/>
      <c r="C488" s="229"/>
      <c r="D488" s="229"/>
      <c r="E488" s="229"/>
      <c r="F488" s="229"/>
      <c r="G488" s="229"/>
      <c r="H488" s="229"/>
      <c r="I488" s="229"/>
      <c r="J488" s="229"/>
      <c r="K488" s="229"/>
    </row>
    <row r="489" spans="2:11" x14ac:dyDescent="0.25">
      <c r="B489" s="229"/>
      <c r="C489" s="229"/>
      <c r="D489" s="229"/>
      <c r="E489" s="229"/>
      <c r="F489" s="229"/>
      <c r="G489" s="229"/>
      <c r="H489" s="229"/>
      <c r="I489" s="229"/>
      <c r="J489" s="229"/>
      <c r="K489" s="229"/>
    </row>
    <row r="490" spans="2:11" x14ac:dyDescent="0.25">
      <c r="B490" s="1086" t="s">
        <v>1547</v>
      </c>
      <c r="C490" s="1087"/>
      <c r="D490" s="1087"/>
      <c r="E490" s="1087"/>
      <c r="F490" s="1087"/>
      <c r="G490" s="1087"/>
      <c r="H490" s="1087"/>
      <c r="I490" s="1087"/>
      <c r="J490" s="1087"/>
      <c r="K490" s="1088"/>
    </row>
    <row r="491" spans="2:11" x14ac:dyDescent="0.25">
      <c r="B491" s="229"/>
      <c r="C491" s="229"/>
      <c r="D491" s="229"/>
      <c r="E491" s="229"/>
      <c r="F491" s="229"/>
      <c r="G491" s="229"/>
      <c r="H491" s="229"/>
      <c r="I491" s="229"/>
      <c r="J491" s="229"/>
      <c r="K491" s="229"/>
    </row>
    <row r="492" spans="2:11" x14ac:dyDescent="0.25">
      <c r="B492" s="229"/>
      <c r="C492" s="229"/>
      <c r="D492" s="229"/>
      <c r="E492" s="229"/>
      <c r="F492" s="229"/>
      <c r="G492" s="229"/>
      <c r="H492" s="229"/>
      <c r="I492" s="229"/>
      <c r="J492" s="229"/>
      <c r="K492" s="229"/>
    </row>
    <row r="493" spans="2:11" ht="33.75" customHeight="1" x14ac:dyDescent="0.25">
      <c r="B493" s="1039" t="s">
        <v>1548</v>
      </c>
      <c r="C493" s="1039"/>
      <c r="D493" s="1039"/>
      <c r="E493" s="1039"/>
      <c r="F493" s="1039"/>
      <c r="G493" s="1039"/>
      <c r="H493" s="1039"/>
      <c r="I493" s="1039"/>
      <c r="J493" s="1039"/>
      <c r="K493" s="1039"/>
    </row>
    <row r="494" spans="2:11" ht="15" customHeight="1" x14ac:dyDescent="0.25">
      <c r="B494" s="1117" t="str">
        <f>[1]!AddBlankChart(TRUE)&amp;[1]!AddPointFilling([1]!AddPointsSeries(x,y_1,,,5,,"white"),,"X")&amp;[1]!AddPointFilling([1]!AddPointsSeries(x,y,,,2,8,"tomato",,"black",1),,"Y")</f>
        <v>[Real Stats Chart |Tutorial|$B$494]&lt;&lt; LineFill |X|&lt;&lt; Points |$B$144:$B$153|$B$494 &gt;&gt; &gt;&gt;&lt;&lt; LineFill |Y|&lt;&lt; Points |$C$25:$C$34|$B$494 &gt;&gt; &gt;&gt;</v>
      </c>
      <c r="C494" s="1117"/>
      <c r="D494" s="1117"/>
      <c r="E494" s="1117"/>
      <c r="F494" s="1117"/>
      <c r="G494" s="1117"/>
      <c r="H494" s="1117"/>
      <c r="I494" s="1117"/>
      <c r="J494" s="1117"/>
      <c r="K494" s="1117"/>
    </row>
    <row r="495" spans="2:11" x14ac:dyDescent="0.25">
      <c r="B495" s="1117"/>
      <c r="C495" s="1117"/>
      <c r="D495" s="1117"/>
      <c r="E495" s="1117"/>
      <c r="F495" s="1117"/>
      <c r="G495" s="1117"/>
      <c r="H495" s="1117"/>
      <c r="I495" s="1117"/>
      <c r="J495" s="1117"/>
      <c r="K495" s="1117"/>
    </row>
    <row r="496" spans="2:11" x14ac:dyDescent="0.25">
      <c r="B496" s="229"/>
      <c r="C496" s="229"/>
      <c r="D496" s="229"/>
      <c r="E496" s="229"/>
      <c r="F496" s="229"/>
      <c r="G496" s="229"/>
      <c r="H496" s="229"/>
      <c r="I496" s="229"/>
      <c r="J496" s="229"/>
      <c r="K496" s="229"/>
    </row>
    <row r="497" spans="1:11" x14ac:dyDescent="0.25">
      <c r="B497" s="229"/>
      <c r="C497" s="229"/>
      <c r="D497" s="229"/>
      <c r="E497" s="229"/>
      <c r="F497" s="229"/>
      <c r="G497" s="229"/>
      <c r="H497" s="229"/>
      <c r="I497" s="229"/>
      <c r="J497" s="229"/>
      <c r="K497" s="229"/>
    </row>
    <row r="498" spans="1:11" x14ac:dyDescent="0.25">
      <c r="B498" s="229"/>
      <c r="C498" s="229"/>
      <c r="D498" s="229"/>
      <c r="E498" s="229"/>
      <c r="F498" s="229"/>
      <c r="G498" s="229"/>
      <c r="H498" s="229"/>
      <c r="I498" s="229"/>
      <c r="J498" s="229"/>
      <c r="K498" s="229"/>
    </row>
    <row r="499" spans="1:11" x14ac:dyDescent="0.25">
      <c r="B499" s="229"/>
      <c r="C499" s="229"/>
      <c r="D499" s="229"/>
      <c r="E499" s="229"/>
      <c r="F499" s="229"/>
      <c r="G499" s="229"/>
      <c r="H499" s="229"/>
      <c r="I499" s="229"/>
      <c r="J499" s="229"/>
      <c r="K499" s="229"/>
    </row>
    <row r="500" spans="1:11" x14ac:dyDescent="0.25">
      <c r="B500" s="229"/>
      <c r="C500" s="229"/>
      <c r="D500" s="229"/>
      <c r="E500" s="229"/>
      <c r="F500" s="229"/>
      <c r="G500" s="229"/>
      <c r="H500" s="229"/>
      <c r="I500" s="229"/>
      <c r="J500" s="229"/>
      <c r="K500" s="229"/>
    </row>
    <row r="501" spans="1:11" x14ac:dyDescent="0.25">
      <c r="B501" s="229"/>
      <c r="C501" s="229"/>
      <c r="D501" s="229"/>
      <c r="E501" s="229"/>
      <c r="F501" s="229"/>
      <c r="G501" s="229"/>
      <c r="H501" s="229"/>
      <c r="I501" s="229"/>
      <c r="J501" s="229"/>
      <c r="K501" s="229"/>
    </row>
    <row r="502" spans="1:11" x14ac:dyDescent="0.25">
      <c r="B502" s="229"/>
      <c r="C502" s="229"/>
      <c r="D502" s="229"/>
      <c r="E502" s="229"/>
      <c r="F502" s="229"/>
      <c r="G502" s="229"/>
      <c r="H502" s="229"/>
      <c r="I502" s="229"/>
      <c r="J502" s="229"/>
      <c r="K502" s="229"/>
    </row>
    <row r="503" spans="1:11" x14ac:dyDescent="0.25">
      <c r="B503" s="229"/>
      <c r="C503" s="229"/>
      <c r="D503" s="229"/>
      <c r="E503" s="229"/>
      <c r="F503" s="229"/>
      <c r="G503" s="229"/>
      <c r="H503" s="229"/>
      <c r="I503" s="229"/>
      <c r="J503" s="229"/>
      <c r="K503" s="229"/>
    </row>
    <row r="504" spans="1:11" x14ac:dyDescent="0.25">
      <c r="B504" s="229"/>
      <c r="C504" s="229"/>
      <c r="D504" s="229"/>
      <c r="E504" s="229"/>
      <c r="F504" s="229"/>
      <c r="G504" s="229"/>
      <c r="H504" s="229"/>
      <c r="I504" s="229"/>
      <c r="J504" s="229"/>
      <c r="K504" s="229"/>
    </row>
    <row r="505" spans="1:11" x14ac:dyDescent="0.25">
      <c r="B505" s="229"/>
      <c r="C505" s="229"/>
      <c r="D505" s="229"/>
      <c r="E505" s="229"/>
      <c r="F505" s="229"/>
      <c r="G505" s="229"/>
      <c r="H505" s="229"/>
      <c r="I505" s="229"/>
      <c r="J505" s="229"/>
      <c r="K505" s="229"/>
    </row>
    <row r="506" spans="1:11" x14ac:dyDescent="0.25">
      <c r="B506" s="229"/>
      <c r="C506" s="229"/>
      <c r="D506" s="229"/>
      <c r="E506" s="229"/>
      <c r="F506" s="229"/>
      <c r="G506" s="229"/>
      <c r="H506" s="229"/>
      <c r="I506" s="229"/>
      <c r="J506" s="229"/>
      <c r="K506" s="229"/>
    </row>
    <row r="507" spans="1:11" x14ac:dyDescent="0.25">
      <c r="B507" s="229"/>
      <c r="C507" s="229"/>
      <c r="D507" s="229"/>
      <c r="E507" s="229"/>
      <c r="F507" s="229"/>
      <c r="G507" s="229"/>
      <c r="H507" s="229"/>
      <c r="I507" s="229"/>
      <c r="J507" s="229"/>
      <c r="K507" s="229"/>
    </row>
    <row r="508" spans="1:11" x14ac:dyDescent="0.25">
      <c r="B508" s="229"/>
      <c r="C508" s="229"/>
      <c r="D508" s="229"/>
      <c r="E508" s="229"/>
      <c r="F508" s="229"/>
      <c r="G508" s="229"/>
      <c r="H508" s="229"/>
      <c r="I508" s="229"/>
      <c r="J508" s="229"/>
      <c r="K508" s="229"/>
    </row>
    <row r="509" spans="1:11" x14ac:dyDescent="0.25">
      <c r="B509" s="229"/>
      <c r="C509" s="229"/>
      <c r="D509" s="229"/>
      <c r="E509" s="229"/>
      <c r="F509" s="229"/>
      <c r="G509" s="229"/>
      <c r="H509" s="229"/>
      <c r="I509" s="229"/>
      <c r="J509" s="229"/>
      <c r="K509" s="229"/>
    </row>
    <row r="510" spans="1:11" x14ac:dyDescent="0.25">
      <c r="B510" s="229"/>
      <c r="C510" s="229"/>
      <c r="D510" s="229"/>
      <c r="E510" s="229"/>
      <c r="F510" s="229"/>
      <c r="G510" s="229"/>
      <c r="H510" s="229"/>
      <c r="I510" s="229"/>
      <c r="J510" s="229"/>
      <c r="K510" s="229"/>
    </row>
    <row r="511" spans="1:11" x14ac:dyDescent="0.25">
      <c r="B511" s="229"/>
      <c r="C511" s="229"/>
      <c r="D511" s="229"/>
      <c r="E511" s="229"/>
      <c r="F511" s="229"/>
      <c r="G511" s="229"/>
      <c r="H511" s="229"/>
      <c r="I511" s="229"/>
      <c r="J511" s="229"/>
      <c r="K511" s="229"/>
    </row>
    <row r="512" spans="1:11" ht="19.5" x14ac:dyDescent="0.35">
      <c r="A512" s="1017"/>
      <c r="B512" s="1024" t="s">
        <v>1549</v>
      </c>
      <c r="C512" s="1024"/>
      <c r="D512" s="1024"/>
      <c r="E512" s="1024"/>
      <c r="F512" s="1024"/>
      <c r="G512" s="1024"/>
      <c r="H512" s="1024"/>
      <c r="I512" s="1024"/>
      <c r="J512" s="1024"/>
      <c r="K512" s="1024"/>
    </row>
    <row r="513" spans="1:11" x14ac:dyDescent="0.25">
      <c r="B513" s="229"/>
      <c r="C513" s="229"/>
      <c r="D513" s="229"/>
      <c r="E513" s="229"/>
      <c r="F513" s="229"/>
      <c r="G513" s="229"/>
      <c r="H513" s="229"/>
      <c r="I513" s="229"/>
      <c r="J513" s="229"/>
      <c r="K513" s="229"/>
    </row>
    <row r="514" spans="1:11" x14ac:dyDescent="0.25">
      <c r="B514" s="229"/>
      <c r="C514" s="229"/>
      <c r="D514" s="229"/>
      <c r="E514" s="229"/>
      <c r="F514" s="229"/>
      <c r="G514" s="229"/>
      <c r="H514" s="229"/>
      <c r="I514" s="229"/>
      <c r="J514" s="229"/>
      <c r="K514" s="229"/>
    </row>
    <row r="515" spans="1:11" x14ac:dyDescent="0.25">
      <c r="B515" s="229"/>
      <c r="C515" s="229"/>
      <c r="D515" s="229"/>
      <c r="E515" s="229"/>
      <c r="F515" s="229"/>
      <c r="G515" s="229"/>
      <c r="H515" s="229"/>
      <c r="I515" s="229"/>
      <c r="J515" s="229"/>
      <c r="K515" s="229"/>
    </row>
    <row r="516" spans="1:11" x14ac:dyDescent="0.25">
      <c r="B516" s="229"/>
      <c r="C516" s="229"/>
      <c r="D516" s="229"/>
      <c r="E516" s="229"/>
      <c r="F516" s="229"/>
      <c r="G516" s="229"/>
      <c r="H516" s="229"/>
      <c r="I516" s="229"/>
      <c r="J516" s="229"/>
      <c r="K516" s="229"/>
    </row>
    <row r="517" spans="1:11" ht="19.5" x14ac:dyDescent="0.35">
      <c r="A517" s="1017"/>
      <c r="B517" s="1024" t="s">
        <v>104</v>
      </c>
      <c r="C517" s="1024"/>
      <c r="D517" s="1024"/>
      <c r="E517" s="1024"/>
      <c r="F517" s="1024"/>
      <c r="G517" s="1024"/>
      <c r="H517" s="1024"/>
      <c r="I517" s="1024"/>
      <c r="J517" s="1024"/>
      <c r="K517" s="1024"/>
    </row>
    <row r="518" spans="1:11" x14ac:dyDescent="0.25">
      <c r="B518" s="229"/>
      <c r="C518" s="229"/>
      <c r="D518" s="229"/>
      <c r="E518" s="229"/>
      <c r="F518" s="229"/>
      <c r="G518" s="229"/>
      <c r="H518" s="229"/>
      <c r="I518" s="229"/>
      <c r="J518" s="229"/>
      <c r="K518" s="229"/>
    </row>
    <row r="519" spans="1:11" x14ac:dyDescent="0.25">
      <c r="B519" s="2" t="s">
        <v>105</v>
      </c>
      <c r="C519" s="229"/>
      <c r="D519" s="229"/>
      <c r="E519" s="229"/>
      <c r="F519" s="229"/>
      <c r="G519" s="229"/>
      <c r="H519" s="229"/>
      <c r="I519" s="229"/>
      <c r="J519" s="229"/>
      <c r="K519" s="229"/>
    </row>
    <row r="520" spans="1:11" x14ac:dyDescent="0.25">
      <c r="B520" s="1020" t="s">
        <v>106</v>
      </c>
      <c r="C520" s="1020"/>
      <c r="D520" s="1020"/>
      <c r="E520" s="1020"/>
      <c r="F520" s="1020"/>
      <c r="G520" s="1020"/>
      <c r="H520" s="1020"/>
      <c r="I520" s="1020"/>
      <c r="J520" s="1020"/>
      <c r="K520" s="1020"/>
    </row>
    <row r="521" spans="1:11" x14ac:dyDescent="0.25">
      <c r="B521" s="2" t="s">
        <v>107</v>
      </c>
      <c r="C521" s="229"/>
      <c r="D521" s="229"/>
      <c r="E521" s="229"/>
      <c r="F521" s="229"/>
      <c r="G521" s="229"/>
      <c r="H521" s="229"/>
      <c r="I521" s="229"/>
      <c r="J521" s="229"/>
      <c r="K521" s="229"/>
    </row>
    <row r="522" spans="1:11" x14ac:dyDescent="0.25">
      <c r="B522" s="2" t="s">
        <v>108</v>
      </c>
      <c r="C522" s="229"/>
      <c r="D522" s="229"/>
      <c r="E522" s="229"/>
      <c r="F522" s="229"/>
      <c r="G522" s="229"/>
      <c r="H522" s="229"/>
      <c r="I522" s="229"/>
      <c r="J522" s="229"/>
      <c r="K522" s="229"/>
    </row>
    <row r="523" spans="1:11" x14ac:dyDescent="0.25">
      <c r="B523" s="1020" t="s">
        <v>109</v>
      </c>
      <c r="C523" s="1020"/>
      <c r="D523" s="1020"/>
      <c r="E523" s="1020"/>
      <c r="F523" s="1020"/>
      <c r="G523" s="1020"/>
      <c r="H523" s="1020"/>
      <c r="I523" s="1020"/>
      <c r="J523" s="1020"/>
      <c r="K523" s="1020"/>
    </row>
    <row r="524" spans="1:11" x14ac:dyDescent="0.25">
      <c r="B524" s="1020"/>
      <c r="C524" s="1020"/>
      <c r="D524" s="1020"/>
      <c r="E524" s="1020"/>
      <c r="F524" s="1020"/>
      <c r="G524" s="1020"/>
      <c r="H524" s="1020"/>
      <c r="I524" s="1020"/>
      <c r="J524" s="1020"/>
      <c r="K524" s="1020"/>
    </row>
    <row r="525" spans="1:11" x14ac:dyDescent="0.25">
      <c r="B525" s="229"/>
      <c r="C525" s="229"/>
      <c r="D525" s="229"/>
      <c r="E525" s="229"/>
      <c r="F525" s="229"/>
      <c r="G525" s="229"/>
      <c r="H525" s="229"/>
      <c r="I525" s="229"/>
      <c r="J525" s="229"/>
      <c r="K525" s="229"/>
    </row>
    <row r="526" spans="1:11" x14ac:dyDescent="0.25">
      <c r="B526" s="229"/>
      <c r="C526" s="229"/>
      <c r="D526" s="229"/>
      <c r="E526" s="229"/>
      <c r="F526" s="229"/>
      <c r="G526" s="229"/>
      <c r="H526" s="229"/>
      <c r="I526" s="229"/>
      <c r="J526" s="229"/>
      <c r="K526" s="229"/>
    </row>
    <row r="527" spans="1:11" x14ac:dyDescent="0.25">
      <c r="B527" s="229"/>
      <c r="C527" s="229"/>
      <c r="D527" s="229"/>
      <c r="E527" s="229"/>
      <c r="F527" s="229"/>
      <c r="G527" s="229"/>
      <c r="H527" s="229"/>
      <c r="I527" s="229"/>
      <c r="J527" s="229"/>
      <c r="K527" s="229"/>
    </row>
    <row r="528" spans="1:11" x14ac:dyDescent="0.25">
      <c r="B528" s="229"/>
      <c r="C528" s="229"/>
      <c r="D528" s="229"/>
      <c r="E528" s="229"/>
      <c r="F528" s="229"/>
      <c r="G528" s="229"/>
      <c r="H528" s="229"/>
      <c r="I528" s="229"/>
      <c r="J528" s="229"/>
      <c r="K528" s="229"/>
    </row>
    <row r="529" spans="2:11" x14ac:dyDescent="0.25">
      <c r="B529" s="229"/>
      <c r="C529" s="229"/>
      <c r="D529" s="229"/>
      <c r="E529" s="229"/>
      <c r="F529" s="229"/>
      <c r="G529" s="229"/>
      <c r="H529" s="229"/>
      <c r="I529" s="229"/>
      <c r="J529" s="229"/>
      <c r="K529" s="229"/>
    </row>
    <row r="530" spans="2:11" x14ac:dyDescent="0.25">
      <c r="B530" s="229"/>
      <c r="C530" s="229"/>
      <c r="D530" s="229"/>
      <c r="E530" s="229"/>
      <c r="F530" s="229"/>
      <c r="G530" s="229"/>
      <c r="H530" s="229"/>
      <c r="I530" s="229"/>
      <c r="J530" s="229"/>
      <c r="K530" s="229"/>
    </row>
    <row r="531" spans="2:11" x14ac:dyDescent="0.25">
      <c r="B531" s="229"/>
      <c r="C531" s="229"/>
      <c r="D531" s="229"/>
      <c r="E531" s="229"/>
      <c r="F531" s="229"/>
      <c r="G531" s="229"/>
      <c r="H531" s="229"/>
      <c r="I531" s="229"/>
      <c r="J531" s="229"/>
      <c r="K531" s="229"/>
    </row>
    <row r="532" spans="2:11" x14ac:dyDescent="0.25">
      <c r="B532" s="229"/>
      <c r="C532" s="229"/>
      <c r="D532" s="229"/>
      <c r="E532" s="229"/>
      <c r="F532" s="229"/>
      <c r="G532" s="229"/>
      <c r="H532" s="229"/>
      <c r="I532" s="229"/>
      <c r="J532" s="229"/>
      <c r="K532" s="229"/>
    </row>
    <row r="533" spans="2:11" x14ac:dyDescent="0.25">
      <c r="B533" s="229"/>
      <c r="C533" s="229"/>
      <c r="D533" s="229"/>
      <c r="E533" s="229"/>
      <c r="F533" s="229"/>
      <c r="G533" s="229"/>
      <c r="H533" s="229"/>
      <c r="I533" s="229"/>
      <c r="J533" s="229"/>
      <c r="K533" s="229"/>
    </row>
    <row r="534" spans="2:11" x14ac:dyDescent="0.25">
      <c r="B534" s="229"/>
      <c r="C534" s="229"/>
      <c r="D534" s="229"/>
      <c r="E534" s="229"/>
      <c r="F534" s="229"/>
      <c r="G534" s="229"/>
      <c r="H534" s="229"/>
      <c r="I534" s="229"/>
      <c r="J534" s="229"/>
      <c r="K534" s="229"/>
    </row>
    <row r="535" spans="2:11" x14ac:dyDescent="0.25">
      <c r="B535" s="229"/>
      <c r="C535" s="229"/>
      <c r="D535" s="229"/>
      <c r="E535" s="229"/>
      <c r="F535" s="229"/>
      <c r="G535" s="229"/>
      <c r="H535" s="229"/>
      <c r="I535" s="229"/>
      <c r="J535" s="229"/>
      <c r="K535" s="229"/>
    </row>
    <row r="536" spans="2:11" x14ac:dyDescent="0.25">
      <c r="B536" s="229"/>
      <c r="C536" s="229"/>
      <c r="D536" s="229"/>
      <c r="E536" s="229"/>
      <c r="F536" s="229"/>
      <c r="G536" s="229"/>
      <c r="H536" s="229"/>
      <c r="I536" s="229"/>
      <c r="J536" s="229"/>
      <c r="K536" s="229"/>
    </row>
    <row r="537" spans="2:11" x14ac:dyDescent="0.25">
      <c r="B537" s="229"/>
      <c r="C537" s="229"/>
      <c r="D537" s="229"/>
      <c r="E537" s="229"/>
      <c r="F537" s="229"/>
      <c r="G537" s="229"/>
      <c r="H537" s="229"/>
      <c r="I537" s="229"/>
      <c r="J537" s="229"/>
      <c r="K537" s="229"/>
    </row>
    <row r="538" spans="2:11" x14ac:dyDescent="0.25">
      <c r="B538" s="229"/>
      <c r="C538" s="229"/>
      <c r="D538" s="229"/>
      <c r="E538" s="229"/>
      <c r="F538" s="229"/>
      <c r="G538" s="229"/>
      <c r="H538" s="229"/>
      <c r="I538" s="229"/>
      <c r="J538" s="229"/>
      <c r="K538" s="229"/>
    </row>
    <row r="539" spans="2:11" x14ac:dyDescent="0.25">
      <c r="B539" s="229"/>
      <c r="C539" s="229"/>
      <c r="D539" s="229"/>
      <c r="E539" s="229"/>
      <c r="F539" s="229"/>
      <c r="G539" s="229"/>
      <c r="H539" s="229"/>
      <c r="I539" s="229"/>
      <c r="J539" s="229"/>
      <c r="K539" s="229"/>
    </row>
    <row r="540" spans="2:11" x14ac:dyDescent="0.25">
      <c r="B540" s="229"/>
      <c r="C540" s="229"/>
      <c r="D540" s="229"/>
      <c r="E540" s="229"/>
      <c r="F540" s="229"/>
      <c r="G540" s="229"/>
      <c r="H540" s="229"/>
      <c r="I540" s="229"/>
      <c r="J540" s="229"/>
      <c r="K540" s="229"/>
    </row>
    <row r="541" spans="2:11" x14ac:dyDescent="0.25">
      <c r="B541" s="229"/>
      <c r="C541" s="229"/>
      <c r="D541" s="229"/>
      <c r="E541" s="229"/>
      <c r="F541" s="229"/>
      <c r="G541" s="229"/>
      <c r="H541" s="229"/>
      <c r="I541" s="229"/>
      <c r="J541" s="229"/>
      <c r="K541" s="229"/>
    </row>
    <row r="542" spans="2:11" x14ac:dyDescent="0.25">
      <c r="B542" s="229"/>
      <c r="C542" s="229"/>
      <c r="D542" s="229"/>
      <c r="E542" s="229"/>
      <c r="F542" s="229"/>
      <c r="G542" s="229"/>
      <c r="H542" s="229"/>
      <c r="I542" s="229"/>
      <c r="J542" s="229"/>
      <c r="K542" s="229"/>
    </row>
    <row r="543" spans="2:11" x14ac:dyDescent="0.25">
      <c r="B543" s="229"/>
      <c r="C543" s="229"/>
      <c r="D543" s="229"/>
      <c r="E543" s="229"/>
      <c r="F543" s="229"/>
      <c r="G543" s="229"/>
      <c r="H543" s="229"/>
      <c r="I543" s="229"/>
      <c r="J543" s="229"/>
      <c r="K543" s="229"/>
    </row>
    <row r="544" spans="2:11" x14ac:dyDescent="0.25">
      <c r="B544" s="229"/>
      <c r="C544" s="229"/>
      <c r="D544" s="229"/>
      <c r="E544" s="229"/>
      <c r="F544" s="229"/>
      <c r="G544" s="229"/>
      <c r="H544" s="229"/>
      <c r="I544" s="229"/>
      <c r="J544" s="229"/>
      <c r="K544" s="229"/>
    </row>
    <row r="545" spans="2:11" x14ac:dyDescent="0.25">
      <c r="B545" s="229"/>
      <c r="C545" s="229"/>
      <c r="D545" s="229"/>
      <c r="E545" s="229"/>
      <c r="F545" s="229"/>
      <c r="G545" s="229"/>
      <c r="H545" s="229"/>
      <c r="I545" s="229"/>
      <c r="J545" s="229"/>
      <c r="K545" s="229"/>
    </row>
    <row r="546" spans="2:11" x14ac:dyDescent="0.25">
      <c r="B546" s="229"/>
      <c r="C546" s="229"/>
      <c r="D546" s="229"/>
      <c r="E546" s="229"/>
      <c r="F546" s="229"/>
      <c r="G546" s="229"/>
      <c r="H546" s="229"/>
      <c r="I546" s="229"/>
      <c r="J546" s="229"/>
      <c r="K546" s="229"/>
    </row>
    <row r="547" spans="2:11" x14ac:dyDescent="0.25">
      <c r="B547" s="229"/>
      <c r="C547" s="229"/>
      <c r="D547" s="229"/>
      <c r="E547" s="229"/>
      <c r="F547" s="229"/>
      <c r="G547" s="229"/>
      <c r="H547" s="229"/>
      <c r="I547" s="229"/>
      <c r="J547" s="229"/>
      <c r="K547" s="229"/>
    </row>
    <row r="548" spans="2:11" x14ac:dyDescent="0.25">
      <c r="B548" s="229"/>
      <c r="C548" s="229"/>
      <c r="D548" s="229"/>
      <c r="E548" s="229"/>
      <c r="F548" s="229"/>
      <c r="G548" s="229"/>
      <c r="H548" s="229"/>
      <c r="I548" s="229"/>
      <c r="J548" s="229"/>
      <c r="K548" s="229"/>
    </row>
    <row r="549" spans="2:11" x14ac:dyDescent="0.25">
      <c r="B549" s="229"/>
      <c r="C549" s="229"/>
      <c r="D549" s="229"/>
      <c r="E549" s="229"/>
      <c r="F549" s="229"/>
      <c r="G549" s="229"/>
      <c r="H549" s="229"/>
      <c r="I549" s="229"/>
      <c r="J549" s="229"/>
      <c r="K549" s="229"/>
    </row>
    <row r="550" spans="2:11" x14ac:dyDescent="0.25">
      <c r="B550" s="229"/>
      <c r="C550" s="229"/>
      <c r="D550" s="229"/>
      <c r="E550" s="229"/>
      <c r="F550" s="229"/>
      <c r="G550" s="229"/>
      <c r="H550" s="229"/>
      <c r="I550" s="229"/>
      <c r="J550" s="229"/>
      <c r="K550" s="229"/>
    </row>
    <row r="551" spans="2:11" x14ac:dyDescent="0.25">
      <c r="B551" s="229"/>
      <c r="C551" s="229"/>
      <c r="D551" s="229"/>
      <c r="E551" s="229"/>
      <c r="F551" s="229"/>
      <c r="G551" s="229"/>
      <c r="H551" s="229"/>
      <c r="I551" s="229"/>
      <c r="J551" s="229"/>
      <c r="K551" s="229"/>
    </row>
    <row r="552" spans="2:11" x14ac:dyDescent="0.25">
      <c r="B552" s="229"/>
      <c r="C552" s="229"/>
      <c r="D552" s="229"/>
      <c r="E552" s="229"/>
      <c r="F552" s="229"/>
      <c r="G552" s="229"/>
      <c r="H552" s="229"/>
      <c r="I552" s="229"/>
      <c r="J552" s="229"/>
      <c r="K552" s="229"/>
    </row>
    <row r="553" spans="2:11" x14ac:dyDescent="0.25">
      <c r="B553" s="229"/>
      <c r="C553" s="229"/>
      <c r="D553" s="229"/>
      <c r="E553" s="229"/>
      <c r="F553" s="229"/>
      <c r="G553" s="229"/>
      <c r="H553" s="229"/>
      <c r="I553" s="229"/>
      <c r="J553" s="229"/>
      <c r="K553" s="229"/>
    </row>
    <row r="554" spans="2:11" x14ac:dyDescent="0.25">
      <c r="B554" s="229"/>
      <c r="C554" s="229"/>
      <c r="D554" s="229"/>
      <c r="E554" s="229"/>
      <c r="F554" s="229"/>
      <c r="G554" s="229"/>
      <c r="H554" s="229"/>
      <c r="I554" s="229"/>
      <c r="J554" s="229"/>
      <c r="K554" s="229"/>
    </row>
    <row r="555" spans="2:11" x14ac:dyDescent="0.25">
      <c r="B555" s="229"/>
      <c r="C555" s="229"/>
      <c r="D555" s="229"/>
      <c r="E555" s="229"/>
      <c r="F555" s="229"/>
      <c r="G555" s="229"/>
      <c r="H555" s="229"/>
      <c r="I555" s="229"/>
      <c r="J555" s="229"/>
      <c r="K555" s="229"/>
    </row>
    <row r="556" spans="2:11" x14ac:dyDescent="0.25">
      <c r="B556" s="229"/>
      <c r="C556" s="229"/>
      <c r="D556" s="229"/>
      <c r="E556" s="229"/>
      <c r="F556" s="229"/>
      <c r="G556" s="229"/>
      <c r="H556" s="229"/>
      <c r="I556" s="229"/>
      <c r="J556" s="229"/>
      <c r="K556" s="229"/>
    </row>
    <row r="557" spans="2:11" x14ac:dyDescent="0.25">
      <c r="B557" s="229"/>
      <c r="C557" s="229"/>
      <c r="D557" s="229"/>
      <c r="E557" s="229"/>
      <c r="F557" s="229"/>
      <c r="G557" s="229"/>
      <c r="H557" s="229"/>
      <c r="I557" s="229"/>
      <c r="J557" s="229"/>
      <c r="K557" s="229"/>
    </row>
    <row r="558" spans="2:11" x14ac:dyDescent="0.25">
      <c r="B558" s="229"/>
      <c r="C558" s="229"/>
      <c r="D558" s="229"/>
      <c r="E558" s="229"/>
      <c r="F558" s="229"/>
      <c r="G558" s="229"/>
      <c r="H558" s="229"/>
      <c r="I558" s="229"/>
      <c r="J558" s="229"/>
      <c r="K558" s="229"/>
    </row>
    <row r="559" spans="2:11" x14ac:dyDescent="0.25">
      <c r="B559" s="229"/>
      <c r="C559" s="229"/>
      <c r="D559" s="229"/>
      <c r="E559" s="229"/>
      <c r="F559" s="229"/>
      <c r="G559" s="229"/>
      <c r="H559" s="229"/>
      <c r="I559" s="229"/>
      <c r="J559" s="229"/>
      <c r="K559" s="229"/>
    </row>
    <row r="560" spans="2:11" x14ac:dyDescent="0.25">
      <c r="B560" s="229"/>
      <c r="C560" s="229"/>
      <c r="D560" s="229"/>
      <c r="E560" s="229"/>
      <c r="F560" s="229"/>
      <c r="G560" s="229"/>
      <c r="H560" s="229"/>
      <c r="I560" s="229"/>
      <c r="J560" s="229"/>
      <c r="K560" s="229"/>
    </row>
    <row r="561" spans="2:11" x14ac:dyDescent="0.25">
      <c r="B561" s="229"/>
      <c r="C561" s="229"/>
      <c r="D561" s="229"/>
      <c r="E561" s="229"/>
      <c r="F561" s="229"/>
      <c r="G561" s="229"/>
      <c r="H561" s="229"/>
      <c r="I561" s="229"/>
      <c r="J561" s="229"/>
      <c r="K561" s="229"/>
    </row>
    <row r="562" spans="2:11" x14ac:dyDescent="0.25">
      <c r="B562" s="229"/>
      <c r="C562" s="229"/>
      <c r="D562" s="229"/>
      <c r="E562" s="229"/>
      <c r="F562" s="229"/>
      <c r="G562" s="229"/>
      <c r="H562" s="229"/>
      <c r="I562" s="229"/>
      <c r="J562" s="229"/>
      <c r="K562" s="229"/>
    </row>
    <row r="563" spans="2:11" x14ac:dyDescent="0.25">
      <c r="B563" s="229"/>
      <c r="C563" s="229"/>
      <c r="D563" s="229"/>
      <c r="E563" s="229"/>
      <c r="F563" s="229"/>
      <c r="G563" s="229"/>
      <c r="H563" s="229"/>
      <c r="I563" s="229"/>
      <c r="J563" s="229"/>
      <c r="K563" s="229"/>
    </row>
    <row r="564" spans="2:11" x14ac:dyDescent="0.25">
      <c r="B564" s="229"/>
      <c r="C564" s="229"/>
      <c r="D564" s="229"/>
      <c r="E564" s="229"/>
      <c r="F564" s="229"/>
      <c r="G564" s="229"/>
      <c r="H564" s="229"/>
      <c r="I564" s="229"/>
      <c r="J564" s="229"/>
      <c r="K564" s="229"/>
    </row>
    <row r="565" spans="2:11" x14ac:dyDescent="0.25">
      <c r="B565" s="229"/>
      <c r="C565" s="229"/>
      <c r="D565" s="229"/>
      <c r="E565" s="229"/>
      <c r="F565" s="229"/>
      <c r="G565" s="229"/>
      <c r="H565" s="229"/>
      <c r="I565" s="229"/>
      <c r="J565" s="229"/>
      <c r="K565" s="229"/>
    </row>
    <row r="566" spans="2:11" x14ac:dyDescent="0.25">
      <c r="B566" s="229"/>
      <c r="C566" s="229"/>
      <c r="D566" s="229"/>
      <c r="E566" s="229"/>
      <c r="F566" s="229"/>
      <c r="G566" s="229"/>
      <c r="H566" s="229"/>
      <c r="I566" s="229"/>
      <c r="J566" s="229"/>
      <c r="K566" s="229"/>
    </row>
    <row r="567" spans="2:11" x14ac:dyDescent="0.25">
      <c r="B567" s="229"/>
      <c r="C567" s="229"/>
      <c r="D567" s="229"/>
      <c r="E567" s="229"/>
      <c r="F567" s="229"/>
      <c r="G567" s="229"/>
      <c r="H567" s="229"/>
      <c r="I567" s="229"/>
      <c r="J567" s="229"/>
      <c r="K567" s="229"/>
    </row>
  </sheetData>
  <mergeCells count="182">
    <mergeCell ref="B512:K512"/>
    <mergeCell ref="F483:J483"/>
    <mergeCell ref="F485:J485"/>
    <mergeCell ref="E486:E487"/>
    <mergeCell ref="F486:J486"/>
    <mergeCell ref="F487:J487"/>
    <mergeCell ref="B484:J484"/>
    <mergeCell ref="B490:K490"/>
    <mergeCell ref="B494:K495"/>
    <mergeCell ref="B493:K493"/>
    <mergeCell ref="F480:J480"/>
    <mergeCell ref="E481:E482"/>
    <mergeCell ref="F481:J481"/>
    <mergeCell ref="F482:J482"/>
    <mergeCell ref="B478:B479"/>
    <mergeCell ref="C478:C479"/>
    <mergeCell ref="D478:D479"/>
    <mergeCell ref="E478:E479"/>
    <mergeCell ref="F478:J479"/>
    <mergeCell ref="B476:B477"/>
    <mergeCell ref="C476:C477"/>
    <mergeCell ref="D476:D477"/>
    <mergeCell ref="E476:E477"/>
    <mergeCell ref="F476:J477"/>
    <mergeCell ref="B468:K468"/>
    <mergeCell ref="B471:J473"/>
    <mergeCell ref="B1:K1"/>
    <mergeCell ref="B444:K444"/>
    <mergeCell ref="B448:I449"/>
    <mergeCell ref="F433:J433"/>
    <mergeCell ref="F434:J434"/>
    <mergeCell ref="F435:J435"/>
    <mergeCell ref="F436:J436"/>
    <mergeCell ref="F437:J437"/>
    <mergeCell ref="F438:J438"/>
    <mergeCell ref="F439:J439"/>
    <mergeCell ref="F440:J440"/>
    <mergeCell ref="F441:J441"/>
    <mergeCell ref="F432:J432"/>
    <mergeCell ref="E438:E439"/>
    <mergeCell ref="E426:E427"/>
    <mergeCell ref="F426:J427"/>
    <mergeCell ref="B428:B429"/>
    <mergeCell ref="C428:C429"/>
    <mergeCell ref="D428:D429"/>
    <mergeCell ref="E428:E429"/>
    <mergeCell ref="F428:J429"/>
    <mergeCell ref="B430:B431"/>
    <mergeCell ref="C430:C431"/>
    <mergeCell ref="D430:D431"/>
    <mergeCell ref="E430:E431"/>
    <mergeCell ref="F430:J431"/>
    <mergeCell ref="B396:K396"/>
    <mergeCell ref="B399:H399"/>
    <mergeCell ref="B416:K416"/>
    <mergeCell ref="B419:J421"/>
    <mergeCell ref="B424:B425"/>
    <mergeCell ref="C424:C425"/>
    <mergeCell ref="D424:D425"/>
    <mergeCell ref="E424:E425"/>
    <mergeCell ref="F424:J425"/>
    <mergeCell ref="B263:K263"/>
    <mergeCell ref="F268:K268"/>
    <mergeCell ref="B268:E268"/>
    <mergeCell ref="B279:K279"/>
    <mergeCell ref="B307:K307"/>
    <mergeCell ref="B309:K309"/>
    <mergeCell ref="B310:K310"/>
    <mergeCell ref="B282:K283"/>
    <mergeCell ref="B281:K281"/>
    <mergeCell ref="B304:K305"/>
    <mergeCell ref="B267:E267"/>
    <mergeCell ref="F267:K267"/>
    <mergeCell ref="F256:J256"/>
    <mergeCell ref="F259:K259"/>
    <mergeCell ref="F260:K260"/>
    <mergeCell ref="B225:K232"/>
    <mergeCell ref="F257:J257"/>
    <mergeCell ref="B254:B255"/>
    <mergeCell ref="C254:C255"/>
    <mergeCell ref="D254:D255"/>
    <mergeCell ref="E254:E255"/>
    <mergeCell ref="F254:J255"/>
    <mergeCell ref="B252:B253"/>
    <mergeCell ref="C252:C253"/>
    <mergeCell ref="D252:D253"/>
    <mergeCell ref="E252:E253"/>
    <mergeCell ref="F252:J253"/>
    <mergeCell ref="B250:B251"/>
    <mergeCell ref="C250:C251"/>
    <mergeCell ref="D250:D251"/>
    <mergeCell ref="E250:E251"/>
    <mergeCell ref="F250:J251"/>
    <mergeCell ref="B243:J245"/>
    <mergeCell ref="B248:B249"/>
    <mergeCell ref="C248:C249"/>
    <mergeCell ref="D248:D249"/>
    <mergeCell ref="E248:E249"/>
    <mergeCell ref="F248:J249"/>
    <mergeCell ref="B18:K18"/>
    <mergeCell ref="B240:K240"/>
    <mergeCell ref="B209:J209"/>
    <mergeCell ref="E10:J10"/>
    <mergeCell ref="B164:J164"/>
    <mergeCell ref="F64:J65"/>
    <mergeCell ref="F73:K73"/>
    <mergeCell ref="B66:B67"/>
    <mergeCell ref="C66:C67"/>
    <mergeCell ref="D66:D67"/>
    <mergeCell ref="E66:E67"/>
    <mergeCell ref="F66:J67"/>
    <mergeCell ref="B190:K190"/>
    <mergeCell ref="B192:K192"/>
    <mergeCell ref="D144:K145"/>
    <mergeCell ref="B40:J44"/>
    <mergeCell ref="C62:C63"/>
    <mergeCell ref="D62:D63"/>
    <mergeCell ref="E62:E63"/>
    <mergeCell ref="F62:J63"/>
    <mergeCell ref="B64:B65"/>
    <mergeCell ref="C64:C65"/>
    <mergeCell ref="I211:K224"/>
    <mergeCell ref="F68:J68"/>
    <mergeCell ref="F71:K71"/>
    <mergeCell ref="F72:K72"/>
    <mergeCell ref="I173:K181"/>
    <mergeCell ref="B182:K189"/>
    <mergeCell ref="B84:K84"/>
    <mergeCell ref="B104:K109"/>
    <mergeCell ref="B89:B98"/>
    <mergeCell ref="B129:K133"/>
    <mergeCell ref="C88:E88"/>
    <mergeCell ref="F88:H88"/>
    <mergeCell ref="B113:F113"/>
    <mergeCell ref="B325:K325"/>
    <mergeCell ref="B327:K328"/>
    <mergeCell ref="B347:K347"/>
    <mergeCell ref="B375:K375"/>
    <mergeCell ref="B349:K349"/>
    <mergeCell ref="B329:K329"/>
    <mergeCell ref="B330:K330"/>
    <mergeCell ref="B3:J3"/>
    <mergeCell ref="B60:B61"/>
    <mergeCell ref="C60:C61"/>
    <mergeCell ref="D60:D61"/>
    <mergeCell ref="E60:E61"/>
    <mergeCell ref="F60:J61"/>
    <mergeCell ref="B21:K21"/>
    <mergeCell ref="B52:K52"/>
    <mergeCell ref="G23:I23"/>
    <mergeCell ref="G38:I38"/>
    <mergeCell ref="E8:J8"/>
    <mergeCell ref="B55:J57"/>
    <mergeCell ref="E13:J16"/>
    <mergeCell ref="B23:C23"/>
    <mergeCell ref="B62:B63"/>
    <mergeCell ref="D64:D65"/>
    <mergeCell ref="E64:E65"/>
    <mergeCell ref="B523:K524"/>
    <mergeCell ref="F390:K390"/>
    <mergeCell ref="B350:K350"/>
    <mergeCell ref="B517:K517"/>
    <mergeCell ref="B520:K520"/>
    <mergeCell ref="B387:B388"/>
    <mergeCell ref="C387:C388"/>
    <mergeCell ref="D387:D388"/>
    <mergeCell ref="E387:E388"/>
    <mergeCell ref="F387:J388"/>
    <mergeCell ref="B385:B386"/>
    <mergeCell ref="C385:C386"/>
    <mergeCell ref="D385:D386"/>
    <mergeCell ref="E385:E386"/>
    <mergeCell ref="F385:J386"/>
    <mergeCell ref="B378:J380"/>
    <mergeCell ref="B383:B384"/>
    <mergeCell ref="C383:C384"/>
    <mergeCell ref="D383:D384"/>
    <mergeCell ref="E383:E384"/>
    <mergeCell ref="F383:J384"/>
    <mergeCell ref="B426:B427"/>
    <mergeCell ref="C426:C427"/>
    <mergeCell ref="D426:D427"/>
  </mergeCells>
  <pageMargins left="0" right="0" top="0.75" bottom="0.75" header="0.3" footer="0.3"/>
  <pageSetup scale="94"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I2518"/>
  <sheetViews>
    <sheetView showGridLines="0" topLeftCell="K2" workbookViewId="0">
      <selection activeCell="V2" sqref="V2:V3"/>
    </sheetView>
  </sheetViews>
  <sheetFormatPr defaultRowHeight="15" x14ac:dyDescent="0.25"/>
  <cols>
    <col min="1" max="1" width="9.7109375" style="1" bestFit="1" customWidth="1"/>
    <col min="2" max="2" width="10.42578125" style="1" bestFit="1" customWidth="1"/>
    <col min="3" max="3" width="7.140625" style="1" bestFit="1" customWidth="1"/>
    <col min="4" max="6" width="9.140625" style="1"/>
    <col min="7" max="7" width="3.5703125" style="1" bestFit="1" customWidth="1"/>
    <col min="8" max="8" width="5.140625" style="1" bestFit="1" customWidth="1"/>
    <col min="9" max="20" width="5.28515625" style="1" bestFit="1" customWidth="1"/>
    <col min="21" max="21" width="0.85546875" style="1" customWidth="1"/>
    <col min="22" max="22" width="14" style="1" bestFit="1" customWidth="1"/>
    <col min="23" max="16384" width="9.140625" style="1"/>
  </cols>
  <sheetData>
    <row r="1" spans="1:22" x14ac:dyDescent="0.25">
      <c r="A1" s="1091" t="s">
        <v>110</v>
      </c>
      <c r="B1" s="1092"/>
      <c r="C1" s="1093"/>
      <c r="G1" s="1091" t="s">
        <v>111</v>
      </c>
      <c r="H1" s="1092"/>
      <c r="I1" s="1092"/>
      <c r="J1" s="1092"/>
      <c r="K1" s="1092"/>
      <c r="L1" s="1092"/>
      <c r="M1" s="1092"/>
      <c r="N1" s="1092"/>
      <c r="O1" s="1092"/>
      <c r="P1" s="1092"/>
      <c r="Q1" s="1092"/>
      <c r="R1" s="1092"/>
      <c r="S1" s="1092"/>
      <c r="T1" s="1092"/>
      <c r="U1" s="1092"/>
      <c r="V1" s="1093"/>
    </row>
    <row r="2" spans="1:22" ht="15.75" thickBot="1" x14ac:dyDescent="0.3">
      <c r="A2" s="259" t="s">
        <v>112</v>
      </c>
      <c r="B2" s="260" t="s">
        <v>113</v>
      </c>
      <c r="C2" s="259" t="s">
        <v>114</v>
      </c>
      <c r="G2" s="1097"/>
      <c r="H2" s="246"/>
      <c r="I2" s="1094" t="s">
        <v>66</v>
      </c>
      <c r="J2" s="1094"/>
      <c r="K2" s="1094"/>
      <c r="L2" s="1094"/>
      <c r="M2" s="1094"/>
      <c r="N2" s="1094"/>
      <c r="O2" s="1094"/>
      <c r="P2" s="1094"/>
      <c r="Q2" s="1094"/>
      <c r="R2" s="1094"/>
      <c r="S2" s="1094"/>
      <c r="T2" s="1094"/>
      <c r="V2" s="1098" t="s">
        <v>115</v>
      </c>
    </row>
    <row r="3" spans="1:22" x14ac:dyDescent="0.25">
      <c r="A3" s="237"/>
      <c r="B3" s="2"/>
      <c r="C3" s="2"/>
      <c r="G3" s="1097"/>
      <c r="H3" s="1012" t="s">
        <v>112</v>
      </c>
      <c r="I3" s="243">
        <v>0.01</v>
      </c>
      <c r="J3" s="243">
        <v>0.05</v>
      </c>
      <c r="K3" s="243">
        <v>0.1</v>
      </c>
      <c r="L3" s="243">
        <v>0.3</v>
      </c>
      <c r="M3" s="243">
        <v>0.4</v>
      </c>
      <c r="N3" s="243">
        <v>0.45</v>
      </c>
      <c r="O3" s="243">
        <v>0.55000000000000004</v>
      </c>
      <c r="P3" s="243">
        <v>0.6</v>
      </c>
      <c r="Q3" s="243">
        <v>0.7</v>
      </c>
      <c r="R3" s="243">
        <v>0.9</v>
      </c>
      <c r="S3" s="243">
        <v>0.95</v>
      </c>
      <c r="T3" s="244">
        <v>0.99</v>
      </c>
      <c r="V3" s="1098"/>
    </row>
    <row r="4" spans="1:22" x14ac:dyDescent="0.25">
      <c r="A4" s="238">
        <v>36892</v>
      </c>
      <c r="B4" s="239">
        <v>1837.3600000000001</v>
      </c>
      <c r="C4" s="240"/>
      <c r="G4" s="1095" t="s">
        <v>116</v>
      </c>
      <c r="H4" s="245">
        <v>1</v>
      </c>
      <c r="I4" s="247">
        <v>-3.9549507304406246</v>
      </c>
      <c r="J4" s="230">
        <v>-3.3141345924312224</v>
      </c>
      <c r="K4" s="230">
        <v>-2.9862580321442227</v>
      </c>
      <c r="L4" s="230">
        <v>-2.6082373566233441</v>
      </c>
      <c r="M4" s="230">
        <v>-2.1504839361498651</v>
      </c>
      <c r="N4" s="230">
        <v>-1.5383768005114382</v>
      </c>
      <c r="O4" s="230">
        <v>-1.0111546719180249</v>
      </c>
      <c r="P4" s="230">
        <v>-0.3990475362795981</v>
      </c>
      <c r="Q4" s="230">
        <v>5.8705884193880786E-2</v>
      </c>
      <c r="R4" s="230">
        <v>0.43672655971475938</v>
      </c>
      <c r="S4" s="230">
        <v>0.76460312000175956</v>
      </c>
      <c r="T4" s="248">
        <v>1.4054192580111613</v>
      </c>
      <c r="U4" s="249"/>
      <c r="V4" s="250">
        <v>-1.2747657362147315</v>
      </c>
    </row>
    <row r="5" spans="1:22" x14ac:dyDescent="0.25">
      <c r="A5" s="238">
        <v>36893</v>
      </c>
      <c r="B5" s="239">
        <v>1785.8600000000001</v>
      </c>
      <c r="C5" s="241">
        <f t="shared" ref="C5:C68" si="0">LN(B5/B4)</f>
        <v>-2.8429666802179187E-2</v>
      </c>
      <c r="G5" s="1095"/>
      <c r="H5" s="245">
        <v>2</v>
      </c>
      <c r="I5" s="251">
        <v>-3.7145380582742988</v>
      </c>
      <c r="J5" s="252">
        <v>-3.0737219202648971</v>
      </c>
      <c r="K5" s="252">
        <v>-2.7458453599778969</v>
      </c>
      <c r="L5" s="252">
        <v>-2.3678246844570183</v>
      </c>
      <c r="M5" s="252">
        <v>-1.9100712639835393</v>
      </c>
      <c r="N5" s="252">
        <v>-1.2979641283451127</v>
      </c>
      <c r="O5" s="252">
        <v>-0.77074199975169932</v>
      </c>
      <c r="P5" s="252">
        <v>-0.15863486411327254</v>
      </c>
      <c r="Q5" s="252">
        <v>0.29911855636020634</v>
      </c>
      <c r="R5" s="252">
        <v>0.67713923188108494</v>
      </c>
      <c r="S5" s="252">
        <v>1.0050157921680851</v>
      </c>
      <c r="T5" s="253">
        <v>1.6458319301774869</v>
      </c>
      <c r="U5" s="249"/>
      <c r="V5" s="254">
        <v>-0.58724017764884762</v>
      </c>
    </row>
    <row r="6" spans="1:22" x14ac:dyDescent="0.25">
      <c r="A6" s="238">
        <v>36894</v>
      </c>
      <c r="B6" s="239">
        <v>1875.56</v>
      </c>
      <c r="C6" s="242">
        <f t="shared" si="0"/>
        <v>4.9007189573187136E-2</v>
      </c>
      <c r="G6" s="1095"/>
      <c r="H6" s="245">
        <v>3</v>
      </c>
      <c r="I6" s="251">
        <v>-3.1766061194066966</v>
      </c>
      <c r="J6" s="252">
        <v>-2.5357899813972944</v>
      </c>
      <c r="K6" s="252">
        <v>-2.2079134211102946</v>
      </c>
      <c r="L6" s="252">
        <v>-1.8298927455894158</v>
      </c>
      <c r="M6" s="252">
        <v>-1.3721393251159371</v>
      </c>
      <c r="N6" s="252">
        <v>-0.76003218947751017</v>
      </c>
      <c r="O6" s="252">
        <v>-0.23281006088409684</v>
      </c>
      <c r="P6" s="252">
        <v>0.37929707475432994</v>
      </c>
      <c r="Q6" s="252">
        <v>0.83705049522780883</v>
      </c>
      <c r="R6" s="252">
        <v>1.2150711707486874</v>
      </c>
      <c r="S6" s="252">
        <v>1.5429477310356876</v>
      </c>
      <c r="T6" s="253">
        <v>2.1837638690450891</v>
      </c>
      <c r="U6" s="249"/>
      <c r="V6" s="254">
        <v>-0.1694593810733076</v>
      </c>
    </row>
    <row r="7" spans="1:22" x14ac:dyDescent="0.25">
      <c r="A7" s="238">
        <v>36895</v>
      </c>
      <c r="B7" s="239">
        <v>1855.82</v>
      </c>
      <c r="C7" s="242">
        <f t="shared" si="0"/>
        <v>-1.0580634594774192E-2</v>
      </c>
      <c r="G7" s="1095"/>
      <c r="H7" s="245">
        <v>4</v>
      </c>
      <c r="I7" s="251">
        <v>-2.832260203473556</v>
      </c>
      <c r="J7" s="252">
        <v>-2.1914440654641547</v>
      </c>
      <c r="K7" s="252">
        <v>-1.8635675051771543</v>
      </c>
      <c r="L7" s="252">
        <v>-1.4855468296562757</v>
      </c>
      <c r="M7" s="252">
        <v>-1.0277934091827969</v>
      </c>
      <c r="N7" s="252">
        <v>-0.41568627354437004</v>
      </c>
      <c r="O7" s="252">
        <v>0.11153585504904329</v>
      </c>
      <c r="P7" s="252">
        <v>0.72364299068747007</v>
      </c>
      <c r="Q7" s="252">
        <v>1.181396411160949</v>
      </c>
      <c r="R7" s="252">
        <v>1.5594170866818275</v>
      </c>
      <c r="S7" s="252">
        <v>1.8872936469688277</v>
      </c>
      <c r="T7" s="253">
        <v>2.5281097849782297</v>
      </c>
      <c r="U7" s="249"/>
      <c r="V7" s="254">
        <v>0.54003213171776809</v>
      </c>
    </row>
    <row r="8" spans="1:22" x14ac:dyDescent="0.25">
      <c r="A8" s="238">
        <v>36896</v>
      </c>
      <c r="B8" s="239">
        <v>1807.13</v>
      </c>
      <c r="C8" s="242">
        <f t="shared" si="0"/>
        <v>-2.6586695433855254E-2</v>
      </c>
      <c r="G8" s="1095"/>
      <c r="H8" s="245">
        <v>5</v>
      </c>
      <c r="I8" s="251">
        <v>-2.272851140516289</v>
      </c>
      <c r="J8" s="252">
        <v>-1.6320350025068873</v>
      </c>
      <c r="K8" s="252">
        <v>-1.3041584422198871</v>
      </c>
      <c r="L8" s="252">
        <v>-0.9261377666990086</v>
      </c>
      <c r="M8" s="252">
        <v>-0.46838434622552971</v>
      </c>
      <c r="N8" s="252">
        <v>0.14372278941289707</v>
      </c>
      <c r="O8" s="252">
        <v>0.6709449180063104</v>
      </c>
      <c r="P8" s="252">
        <v>1.2830520536447372</v>
      </c>
      <c r="Q8" s="252">
        <v>1.7408054741182162</v>
      </c>
      <c r="R8" s="252">
        <v>2.1188261496390948</v>
      </c>
      <c r="S8" s="252">
        <v>2.446702709926095</v>
      </c>
      <c r="T8" s="253">
        <v>3.0875188479354967</v>
      </c>
      <c r="U8" s="249"/>
      <c r="V8" s="254">
        <v>0.75767073663420426</v>
      </c>
    </row>
    <row r="9" spans="1:22" x14ac:dyDescent="0.25">
      <c r="A9" s="238">
        <v>36899</v>
      </c>
      <c r="B9" s="239">
        <v>1804.04</v>
      </c>
      <c r="C9" s="242">
        <f t="shared" si="0"/>
        <v>-1.7113571247831479E-3</v>
      </c>
      <c r="G9" s="1095"/>
      <c r="H9" s="245">
        <v>6</v>
      </c>
      <c r="I9" s="251">
        <v>-2.0810228817015002</v>
      </c>
      <c r="J9" s="252">
        <v>-1.4402067436920984</v>
      </c>
      <c r="K9" s="252">
        <v>-1.1123301834050983</v>
      </c>
      <c r="L9" s="252">
        <v>-0.73430950788421967</v>
      </c>
      <c r="M9" s="252">
        <v>-0.27655608741074078</v>
      </c>
      <c r="N9" s="252">
        <v>0.335551048227686</v>
      </c>
      <c r="O9" s="252">
        <v>0.86277317682109933</v>
      </c>
      <c r="P9" s="252">
        <v>1.474880312459526</v>
      </c>
      <c r="Q9" s="252">
        <v>1.932633732933005</v>
      </c>
      <c r="R9" s="252">
        <v>2.3106544084538836</v>
      </c>
      <c r="S9" s="252">
        <v>2.6385309687408838</v>
      </c>
      <c r="T9" s="253">
        <v>3.2793471067502855</v>
      </c>
      <c r="U9" s="249"/>
      <c r="V9" s="254">
        <v>-1.4271301852737119</v>
      </c>
    </row>
    <row r="10" spans="1:22" x14ac:dyDescent="0.25">
      <c r="A10" s="238">
        <v>36900</v>
      </c>
      <c r="B10" s="239">
        <v>1810.98</v>
      </c>
      <c r="C10" s="242">
        <f t="shared" si="0"/>
        <v>3.8395408743691025E-3</v>
      </c>
      <c r="G10" s="1095"/>
      <c r="H10" s="245">
        <v>7</v>
      </c>
      <c r="I10" s="251">
        <v>-3.747842685741908</v>
      </c>
      <c r="J10" s="252">
        <v>-3.1070265477325067</v>
      </c>
      <c r="K10" s="252">
        <v>-2.7791499874455061</v>
      </c>
      <c r="L10" s="252">
        <v>-2.4011293119246275</v>
      </c>
      <c r="M10" s="252">
        <v>-1.943375891451149</v>
      </c>
      <c r="N10" s="252">
        <v>-1.3312687558127221</v>
      </c>
      <c r="O10" s="252">
        <v>-0.80404662721930875</v>
      </c>
      <c r="P10" s="252">
        <v>-0.19193949158088197</v>
      </c>
      <c r="Q10" s="252">
        <v>0.26581392889259692</v>
      </c>
      <c r="R10" s="252">
        <v>0.64383460441347551</v>
      </c>
      <c r="S10" s="252">
        <v>0.97171116470047569</v>
      </c>
      <c r="T10" s="253">
        <v>1.6125273027098774</v>
      </c>
      <c r="U10" s="249"/>
      <c r="V10" s="254">
        <v>-0.88407325459892738</v>
      </c>
    </row>
    <row r="11" spans="1:22" x14ac:dyDescent="0.25">
      <c r="A11" s="238">
        <v>36901</v>
      </c>
      <c r="B11" s="239">
        <v>1828.5</v>
      </c>
      <c r="C11" s="242">
        <f t="shared" si="0"/>
        <v>9.62782338931179E-3</v>
      </c>
      <c r="G11" s="1095"/>
      <c r="H11" s="245">
        <v>8</v>
      </c>
      <c r="I11" s="251">
        <v>-3.4057112194782473</v>
      </c>
      <c r="J11" s="252">
        <v>-2.764895081468846</v>
      </c>
      <c r="K11" s="252">
        <v>-2.4370185211818454</v>
      </c>
      <c r="L11" s="252">
        <v>-2.0589978456609668</v>
      </c>
      <c r="M11" s="252">
        <v>-1.6012444251874882</v>
      </c>
      <c r="N11" s="252">
        <v>-0.98913728954906133</v>
      </c>
      <c r="O11" s="252">
        <v>-0.461915160955648</v>
      </c>
      <c r="P11" s="252">
        <v>0.15019197468277878</v>
      </c>
      <c r="Q11" s="252">
        <v>0.60794539515625767</v>
      </c>
      <c r="R11" s="252">
        <v>0.98596607067713626</v>
      </c>
      <c r="S11" s="252">
        <v>1.3138426309641364</v>
      </c>
      <c r="T11" s="253">
        <v>1.9546587689735382</v>
      </c>
      <c r="U11" s="249"/>
      <c r="V11" s="254">
        <v>0.72683273132563908</v>
      </c>
    </row>
    <row r="12" spans="1:22" x14ac:dyDescent="0.25">
      <c r="A12" s="238">
        <v>36902</v>
      </c>
      <c r="B12" s="239">
        <v>1847.3700000000001</v>
      </c>
      <c r="C12" s="242">
        <f t="shared" si="0"/>
        <v>1.0267047398570333E-2</v>
      </c>
      <c r="G12" s="1095"/>
      <c r="H12" s="245">
        <v>9</v>
      </c>
      <c r="I12" s="251">
        <v>-2.1551692370189457</v>
      </c>
      <c r="J12" s="252">
        <v>-1.514353099009544</v>
      </c>
      <c r="K12" s="252">
        <v>-1.1864765387225438</v>
      </c>
      <c r="L12" s="252">
        <v>-0.80845586320166507</v>
      </c>
      <c r="M12" s="252">
        <v>-0.35070244272818618</v>
      </c>
      <c r="N12" s="252">
        <v>0.2614046929102406</v>
      </c>
      <c r="O12" s="252">
        <v>0.78862682150365393</v>
      </c>
      <c r="P12" s="252">
        <v>1.4007339571420807</v>
      </c>
      <c r="Q12" s="252">
        <v>1.8584873776155595</v>
      </c>
      <c r="R12" s="252">
        <v>2.2365080531364381</v>
      </c>
      <c r="S12" s="252">
        <v>2.5643846134234383</v>
      </c>
      <c r="T12" s="253">
        <v>3.20520075143284</v>
      </c>
      <c r="U12" s="249"/>
      <c r="V12" s="254">
        <v>-0.52524877123880975</v>
      </c>
    </row>
    <row r="13" spans="1:22" x14ac:dyDescent="0.25">
      <c r="A13" s="238">
        <v>36903</v>
      </c>
      <c r="B13" s="239">
        <v>1835.53</v>
      </c>
      <c r="C13" s="242">
        <f t="shared" si="0"/>
        <v>-6.4297378643355723E-3</v>
      </c>
      <c r="G13" s="1095"/>
      <c r="H13" s="245">
        <v>10</v>
      </c>
      <c r="I13" s="251">
        <v>-3.0595581689283109</v>
      </c>
      <c r="J13" s="252">
        <v>-2.4187420309189092</v>
      </c>
      <c r="K13" s="252">
        <v>-2.090865470631909</v>
      </c>
      <c r="L13" s="252">
        <v>-1.7128447951110304</v>
      </c>
      <c r="M13" s="252">
        <v>-1.2550913746375514</v>
      </c>
      <c r="N13" s="252">
        <v>-0.64298423899912471</v>
      </c>
      <c r="O13" s="252">
        <v>-0.11576211040571138</v>
      </c>
      <c r="P13" s="252">
        <v>0.4963450252327154</v>
      </c>
      <c r="Q13" s="252">
        <v>0.95409844570619429</v>
      </c>
      <c r="R13" s="252">
        <v>1.3321191212270729</v>
      </c>
      <c r="S13" s="252">
        <v>1.6599956815140731</v>
      </c>
      <c r="T13" s="253">
        <v>2.3008118195234748</v>
      </c>
      <c r="U13" s="249"/>
      <c r="V13" s="254">
        <v>-1.0745962838628447</v>
      </c>
    </row>
    <row r="14" spans="1:22" x14ac:dyDescent="0.25">
      <c r="A14" s="238">
        <v>36907</v>
      </c>
      <c r="B14" s="239">
        <v>1847.13</v>
      </c>
      <c r="C14" s="242">
        <f t="shared" si="0"/>
        <v>6.2998150058498166E-3</v>
      </c>
      <c r="G14" s="1095"/>
      <c r="H14" s="245">
        <v>11</v>
      </c>
      <c r="I14" s="251">
        <v>-3.5211287270246885</v>
      </c>
      <c r="J14" s="252">
        <v>-2.8803125890152863</v>
      </c>
      <c r="K14" s="252">
        <v>-2.5524360287282866</v>
      </c>
      <c r="L14" s="252">
        <v>-2.174415353207408</v>
      </c>
      <c r="M14" s="252">
        <v>-1.716661932733929</v>
      </c>
      <c r="N14" s="252">
        <v>-1.1045547970955021</v>
      </c>
      <c r="O14" s="252">
        <v>-0.57733266850208875</v>
      </c>
      <c r="P14" s="252">
        <v>3.4774467136338028E-2</v>
      </c>
      <c r="Q14" s="252">
        <v>0.49252788760981692</v>
      </c>
      <c r="R14" s="252">
        <v>0.87054856313069551</v>
      </c>
      <c r="S14" s="252">
        <v>1.1984251234176957</v>
      </c>
      <c r="T14" s="253">
        <v>1.8392412614270974</v>
      </c>
      <c r="U14" s="249"/>
      <c r="V14" s="254">
        <v>-0.91372867219850329</v>
      </c>
    </row>
    <row r="15" spans="1:22" x14ac:dyDescent="0.25">
      <c r="A15" s="238">
        <v>36908</v>
      </c>
      <c r="B15" s="239">
        <v>1851.16</v>
      </c>
      <c r="C15" s="242">
        <f t="shared" si="0"/>
        <v>2.1793864705666245E-3</v>
      </c>
      <c r="G15" s="1095"/>
      <c r="H15" s="245">
        <v>12</v>
      </c>
      <c r="I15" s="251">
        <v>-3.4183457853670047</v>
      </c>
      <c r="J15" s="252">
        <v>-2.7775296473576034</v>
      </c>
      <c r="K15" s="252">
        <v>-2.4496530870706028</v>
      </c>
      <c r="L15" s="252">
        <v>-2.0716324115497242</v>
      </c>
      <c r="M15" s="252">
        <v>-1.6138789910762457</v>
      </c>
      <c r="N15" s="252">
        <v>-1.0017718554378188</v>
      </c>
      <c r="O15" s="252">
        <v>-0.47454972684440544</v>
      </c>
      <c r="P15" s="252">
        <v>0.13755740879402134</v>
      </c>
      <c r="Q15" s="252">
        <v>0.59531082926750023</v>
      </c>
      <c r="R15" s="252">
        <v>0.97333150478837882</v>
      </c>
      <c r="S15" s="252">
        <v>1.301208065075379</v>
      </c>
      <c r="T15" s="253">
        <v>1.9420242030847807</v>
      </c>
      <c r="U15" s="249"/>
      <c r="V15" s="254">
        <v>-0.27294962194640016</v>
      </c>
    </row>
    <row r="16" spans="1:22" x14ac:dyDescent="0.25">
      <c r="A16" s="238">
        <v>36909</v>
      </c>
      <c r="B16" s="239">
        <v>1876.94</v>
      </c>
      <c r="C16" s="242">
        <f t="shared" si="0"/>
        <v>1.3830321572464586E-2</v>
      </c>
      <c r="G16" s="1095"/>
      <c r="H16" s="245">
        <v>13</v>
      </c>
      <c r="I16" s="251">
        <v>-2.9223955108973811</v>
      </c>
      <c r="J16" s="252">
        <v>-2.2815793728879794</v>
      </c>
      <c r="K16" s="252">
        <v>-1.9537028126009792</v>
      </c>
      <c r="L16" s="252">
        <v>-1.5756821370801006</v>
      </c>
      <c r="M16" s="252">
        <v>-1.1179287166066216</v>
      </c>
      <c r="N16" s="252">
        <v>-0.50582158096819496</v>
      </c>
      <c r="O16" s="252">
        <v>2.1400547625218369E-2</v>
      </c>
      <c r="P16" s="252">
        <v>0.63350768326364515</v>
      </c>
      <c r="Q16" s="252">
        <v>1.091261103737124</v>
      </c>
      <c r="R16" s="252">
        <v>1.4692817792580026</v>
      </c>
      <c r="S16" s="252">
        <v>1.7971583395450028</v>
      </c>
      <c r="T16" s="253">
        <v>2.4379744775544046</v>
      </c>
      <c r="U16" s="249"/>
      <c r="V16" s="254">
        <v>-1.3076137039668494</v>
      </c>
    </row>
    <row r="17" spans="1:22" x14ac:dyDescent="0.25">
      <c r="A17" s="238">
        <v>36910</v>
      </c>
      <c r="B17" s="239">
        <v>1869.38</v>
      </c>
      <c r="C17" s="242">
        <f t="shared" si="0"/>
        <v>-4.0359661011772499E-3</v>
      </c>
      <c r="G17" s="1095"/>
      <c r="H17" s="245">
        <v>14</v>
      </c>
      <c r="I17" s="251">
        <v>-3.6936992473713044</v>
      </c>
      <c r="J17" s="252">
        <v>-3.0528831093619022</v>
      </c>
      <c r="K17" s="252">
        <v>-2.7250065490749025</v>
      </c>
      <c r="L17" s="252">
        <v>-2.3469858735540239</v>
      </c>
      <c r="M17" s="252">
        <v>-1.8892324530805449</v>
      </c>
      <c r="N17" s="252">
        <v>-1.277125317442118</v>
      </c>
      <c r="O17" s="252">
        <v>-0.74990318884870466</v>
      </c>
      <c r="P17" s="252">
        <v>-0.13779605321027788</v>
      </c>
      <c r="Q17" s="252">
        <v>0.31995736726320101</v>
      </c>
      <c r="R17" s="252">
        <v>0.6979780427840796</v>
      </c>
      <c r="S17" s="252">
        <v>1.0258546030710798</v>
      </c>
      <c r="T17" s="253">
        <v>1.6666707410804815</v>
      </c>
      <c r="U17" s="249"/>
      <c r="V17" s="254">
        <v>-0.81002903087426459</v>
      </c>
    </row>
    <row r="18" spans="1:22" x14ac:dyDescent="0.25">
      <c r="A18" s="238">
        <v>36913</v>
      </c>
      <c r="B18" s="239">
        <v>1869.89</v>
      </c>
      <c r="C18" s="242">
        <f t="shared" si="0"/>
        <v>2.7278051767447119E-4</v>
      </c>
      <c r="G18" s="1095"/>
      <c r="H18" s="245">
        <v>15</v>
      </c>
      <c r="I18" s="251">
        <v>-3.3465183690110214</v>
      </c>
      <c r="J18" s="252">
        <v>-2.7057022310016197</v>
      </c>
      <c r="K18" s="252">
        <v>-2.3778256707146195</v>
      </c>
      <c r="L18" s="252">
        <v>-1.9998049951937409</v>
      </c>
      <c r="M18" s="252">
        <v>-1.5420515747202619</v>
      </c>
      <c r="N18" s="252">
        <v>-0.92994443908183522</v>
      </c>
      <c r="O18" s="252">
        <v>-0.40272231048842189</v>
      </c>
      <c r="P18" s="252">
        <v>0.20938482515000489</v>
      </c>
      <c r="Q18" s="252">
        <v>0.66713824562348378</v>
      </c>
      <c r="R18" s="252">
        <v>1.0451589211443624</v>
      </c>
      <c r="S18" s="252">
        <v>1.3730354814313626</v>
      </c>
      <c r="T18" s="253">
        <v>2.0138516194407643</v>
      </c>
      <c r="U18" s="249"/>
      <c r="V18" s="254">
        <v>-1.0155132695837403</v>
      </c>
    </row>
    <row r="19" spans="1:22" x14ac:dyDescent="0.25">
      <c r="A19" s="238">
        <v>36914</v>
      </c>
      <c r="B19" s="239">
        <v>1894.25</v>
      </c>
      <c r="C19" s="242">
        <f t="shared" si="0"/>
        <v>1.2943376222433876E-2</v>
      </c>
      <c r="G19" s="1095"/>
      <c r="H19" s="245">
        <v>16</v>
      </c>
      <c r="I19" s="251">
        <v>-3.4886137599759999</v>
      </c>
      <c r="J19" s="252">
        <v>-2.8477976219665981</v>
      </c>
      <c r="K19" s="252">
        <v>-2.519921061679598</v>
      </c>
      <c r="L19" s="252">
        <v>-2.1419003861587194</v>
      </c>
      <c r="M19" s="252">
        <v>-1.6841469656852404</v>
      </c>
      <c r="N19" s="252">
        <v>-1.0720398300468137</v>
      </c>
      <c r="O19" s="252">
        <v>-0.54481770145340036</v>
      </c>
      <c r="P19" s="252">
        <v>6.728943418502642E-2</v>
      </c>
      <c r="Q19" s="252">
        <v>0.52504285465850531</v>
      </c>
      <c r="R19" s="252">
        <v>0.9030635301793839</v>
      </c>
      <c r="S19" s="252">
        <v>1.2309400904663841</v>
      </c>
      <c r="T19" s="253">
        <v>1.8717562284757858</v>
      </c>
      <c r="U19" s="249"/>
      <c r="V19" s="254">
        <v>-1.9795032991544872</v>
      </c>
    </row>
    <row r="20" spans="1:22" x14ac:dyDescent="0.25">
      <c r="A20" s="238">
        <v>36915</v>
      </c>
      <c r="B20" s="239">
        <v>1899.71</v>
      </c>
      <c r="C20" s="242">
        <f t="shared" si="0"/>
        <v>2.8782611147168003E-3</v>
      </c>
      <c r="G20" s="1095"/>
      <c r="H20" s="245">
        <v>17</v>
      </c>
      <c r="I20" s="251">
        <v>-4.2341643077512119</v>
      </c>
      <c r="J20" s="252">
        <v>-3.5933481697418097</v>
      </c>
      <c r="K20" s="252">
        <v>-3.26547160945481</v>
      </c>
      <c r="L20" s="252">
        <v>-2.8874509339339314</v>
      </c>
      <c r="M20" s="252">
        <v>-2.4296975134604524</v>
      </c>
      <c r="N20" s="252">
        <v>-1.8175903778220255</v>
      </c>
      <c r="O20" s="252">
        <v>-1.2903682492286122</v>
      </c>
      <c r="P20" s="252">
        <v>-0.67826111359018537</v>
      </c>
      <c r="Q20" s="252">
        <v>-0.22050769311670648</v>
      </c>
      <c r="R20" s="252">
        <v>0.15751298240417211</v>
      </c>
      <c r="S20" s="252">
        <v>0.48538954269117229</v>
      </c>
      <c r="T20" s="253">
        <v>1.126205680700574</v>
      </c>
      <c r="U20" s="249"/>
      <c r="V20" s="254">
        <v>-2.1128216646769244</v>
      </c>
    </row>
    <row r="21" spans="1:22" x14ac:dyDescent="0.25">
      <c r="A21" s="238">
        <v>36916</v>
      </c>
      <c r="B21" s="239">
        <v>1890.27</v>
      </c>
      <c r="C21" s="242">
        <f t="shared" si="0"/>
        <v>-4.9815669327644202E-3</v>
      </c>
      <c r="G21" s="1095"/>
      <c r="H21" s="245">
        <v>18</v>
      </c>
      <c r="I21" s="251">
        <v>-4.3696308014115353</v>
      </c>
      <c r="J21" s="252">
        <v>-3.728814663402134</v>
      </c>
      <c r="K21" s="252">
        <v>-3.4009381031151338</v>
      </c>
      <c r="L21" s="252">
        <v>-3.0229174275942552</v>
      </c>
      <c r="M21" s="252">
        <v>-2.5651640071207762</v>
      </c>
      <c r="N21" s="252">
        <v>-1.9530568714823495</v>
      </c>
      <c r="O21" s="252">
        <v>-1.4258347428889362</v>
      </c>
      <c r="P21" s="252">
        <v>-0.81372760725050941</v>
      </c>
      <c r="Q21" s="252">
        <v>-0.35597418677703052</v>
      </c>
      <c r="R21" s="252">
        <v>2.2046488743848069E-2</v>
      </c>
      <c r="S21" s="252">
        <v>0.34992304903084825</v>
      </c>
      <c r="T21" s="253">
        <v>0.99073918704024999</v>
      </c>
      <c r="U21" s="249"/>
      <c r="V21" s="254">
        <v>-3.9107573349670437</v>
      </c>
    </row>
    <row r="22" spans="1:22" x14ac:dyDescent="0.25">
      <c r="A22" s="238">
        <v>36917</v>
      </c>
      <c r="B22" s="239">
        <v>1886.8</v>
      </c>
      <c r="C22" s="242">
        <f t="shared" si="0"/>
        <v>-1.8374035833286396E-3</v>
      </c>
      <c r="G22" s="1095"/>
      <c r="H22" s="245">
        <v>19</v>
      </c>
      <c r="I22" s="251">
        <v>-5.7543803657962549</v>
      </c>
      <c r="J22" s="252">
        <v>-5.1135642277868536</v>
      </c>
      <c r="K22" s="252">
        <v>-4.7856876674998539</v>
      </c>
      <c r="L22" s="252">
        <v>-4.4076669919789744</v>
      </c>
      <c r="M22" s="252">
        <v>-3.9499135715054958</v>
      </c>
      <c r="N22" s="252">
        <v>-3.3378064358670692</v>
      </c>
      <c r="O22" s="252">
        <v>-2.8105843072736558</v>
      </c>
      <c r="P22" s="252">
        <v>-2.1984771716352292</v>
      </c>
      <c r="Q22" s="252">
        <v>-1.7407237511617502</v>
      </c>
      <c r="R22" s="252">
        <v>-1.3627030756408716</v>
      </c>
      <c r="S22" s="252">
        <v>-1.0348265153538714</v>
      </c>
      <c r="T22" s="253">
        <v>-0.39401037734446964</v>
      </c>
      <c r="U22" s="249"/>
      <c r="V22" s="254">
        <v>-2.851948736645423</v>
      </c>
    </row>
    <row r="23" spans="1:22" x14ac:dyDescent="0.25">
      <c r="A23" s="238">
        <v>36920</v>
      </c>
      <c r="B23" s="239">
        <v>1899.75</v>
      </c>
      <c r="C23" s="242">
        <f t="shared" si="0"/>
        <v>6.8400261397877317E-3</v>
      </c>
      <c r="G23" s="1095"/>
      <c r="H23" s="245">
        <v>20</v>
      </c>
      <c r="I23" s="251">
        <v>-5.0041813826731723</v>
      </c>
      <c r="J23" s="252">
        <v>-4.3633652446637701</v>
      </c>
      <c r="K23" s="252">
        <v>-4.0354886843767703</v>
      </c>
      <c r="L23" s="252">
        <v>-3.6574680088558917</v>
      </c>
      <c r="M23" s="252">
        <v>-3.1997145883824127</v>
      </c>
      <c r="N23" s="252">
        <v>-2.5876074527439861</v>
      </c>
      <c r="O23" s="252">
        <v>-2.0603853241505727</v>
      </c>
      <c r="P23" s="252">
        <v>-1.4482781885121461</v>
      </c>
      <c r="Q23" s="252">
        <v>-0.99052476803866707</v>
      </c>
      <c r="R23" s="252">
        <v>-0.61250409251778848</v>
      </c>
      <c r="S23" s="252">
        <v>-0.28462753223078829</v>
      </c>
      <c r="T23" s="253">
        <v>0.35618860577861344</v>
      </c>
      <c r="U23" s="249"/>
      <c r="V23" s="254">
        <v>-2.433897902267145</v>
      </c>
    </row>
    <row r="24" spans="1:22" x14ac:dyDescent="0.25">
      <c r="A24" s="238">
        <v>36921</v>
      </c>
      <c r="B24" s="239">
        <v>1913.13</v>
      </c>
      <c r="C24" s="242">
        <f t="shared" si="0"/>
        <v>7.0183456713592135E-3</v>
      </c>
      <c r="G24" s="1095"/>
      <c r="H24" s="245">
        <v>21</v>
      </c>
      <c r="I24" s="251">
        <v>-4.6501662883673882</v>
      </c>
      <c r="J24" s="252">
        <v>-4.0093501503579869</v>
      </c>
      <c r="K24" s="252">
        <v>-3.6814735900709863</v>
      </c>
      <c r="L24" s="252">
        <v>-3.3034529145501077</v>
      </c>
      <c r="M24" s="252">
        <v>-2.8456994940766291</v>
      </c>
      <c r="N24" s="252">
        <v>-2.2335923584382025</v>
      </c>
      <c r="O24" s="252">
        <v>-1.7063702298447889</v>
      </c>
      <c r="P24" s="252">
        <v>-1.094263094206362</v>
      </c>
      <c r="Q24" s="252">
        <v>-0.63650967373288325</v>
      </c>
      <c r="R24" s="252">
        <v>-0.25848899821200466</v>
      </c>
      <c r="S24" s="252">
        <v>6.9387562074995524E-2</v>
      </c>
      <c r="T24" s="253">
        <v>0.71020370008439726</v>
      </c>
      <c r="U24" s="249"/>
      <c r="V24" s="254">
        <v>-3.401167080894143</v>
      </c>
    </row>
    <row r="25" spans="1:22" x14ac:dyDescent="0.25">
      <c r="A25" s="238">
        <v>36922</v>
      </c>
      <c r="B25" s="239">
        <v>1902.55</v>
      </c>
      <c r="C25" s="242">
        <f t="shared" si="0"/>
        <v>-5.5455526218220362E-3</v>
      </c>
      <c r="G25" s="1095"/>
      <c r="H25" s="245">
        <v>22</v>
      </c>
      <c r="I25" s="251">
        <v>-5.376116555672251</v>
      </c>
      <c r="J25" s="252">
        <v>-4.7353004176628488</v>
      </c>
      <c r="K25" s="252">
        <v>-4.4074238573758482</v>
      </c>
      <c r="L25" s="252">
        <v>-4.0294031818549705</v>
      </c>
      <c r="M25" s="252">
        <v>-3.571649761381491</v>
      </c>
      <c r="N25" s="252">
        <v>-2.9595426257430644</v>
      </c>
      <c r="O25" s="252">
        <v>-2.432320497149651</v>
      </c>
      <c r="P25" s="252">
        <v>-1.8202133615112244</v>
      </c>
      <c r="Q25" s="252">
        <v>-1.3624599410377454</v>
      </c>
      <c r="R25" s="252">
        <v>-0.98443926551686678</v>
      </c>
      <c r="S25" s="252">
        <v>-0.65656270522986659</v>
      </c>
      <c r="T25" s="253">
        <v>-1.5746567220464858E-2</v>
      </c>
      <c r="U25" s="249"/>
      <c r="V25" s="254">
        <v>-1.6651840440922494</v>
      </c>
    </row>
    <row r="26" spans="1:22" x14ac:dyDescent="0.25">
      <c r="A26" s="238">
        <v>36923</v>
      </c>
      <c r="B26" s="239">
        <v>1913.1100000000001</v>
      </c>
      <c r="C26" s="242">
        <f t="shared" si="0"/>
        <v>5.535098494532582E-3</v>
      </c>
      <c r="G26" s="1095"/>
      <c r="H26" s="245">
        <v>23</v>
      </c>
      <c r="I26" s="251">
        <v>-4.0772730041115945</v>
      </c>
      <c r="J26" s="252">
        <v>-3.4364568661021933</v>
      </c>
      <c r="K26" s="252">
        <v>-3.1085803058151931</v>
      </c>
      <c r="L26" s="252">
        <v>-2.7305596302943145</v>
      </c>
      <c r="M26" s="252">
        <v>-2.2728062098208355</v>
      </c>
      <c r="N26" s="252">
        <v>-1.6606990741824088</v>
      </c>
      <c r="O26" s="252">
        <v>-1.1334769455889955</v>
      </c>
      <c r="P26" s="252">
        <v>-0.5213698099505687</v>
      </c>
      <c r="Q26" s="252">
        <v>-6.3616389477089808E-2</v>
      </c>
      <c r="R26" s="252">
        <v>0.31440428604378878</v>
      </c>
      <c r="S26" s="252">
        <v>0.64228084633078897</v>
      </c>
      <c r="T26" s="253">
        <v>1.2830969843401907</v>
      </c>
      <c r="U26" s="249"/>
      <c r="V26" s="254">
        <v>-1.6037287453589824</v>
      </c>
    </row>
    <row r="27" spans="1:22" x14ac:dyDescent="0.25">
      <c r="A27" s="238">
        <v>36924</v>
      </c>
      <c r="B27" s="239">
        <v>1879.69</v>
      </c>
      <c r="C27" s="242">
        <f t="shared" si="0"/>
        <v>-1.7623320483437566E-2</v>
      </c>
      <c r="G27" s="1095"/>
      <c r="H27" s="245">
        <v>24</v>
      </c>
      <c r="I27" s="251">
        <v>-3.9722494413700224</v>
      </c>
      <c r="J27" s="252">
        <v>-3.3314333033606207</v>
      </c>
      <c r="K27" s="252">
        <v>-3.0035567430736205</v>
      </c>
      <c r="L27" s="252">
        <v>-2.6255360675527419</v>
      </c>
      <c r="M27" s="252">
        <v>-2.1677826470792629</v>
      </c>
      <c r="N27" s="252">
        <v>-1.5556755114408363</v>
      </c>
      <c r="O27" s="252">
        <v>-1.0284533828474229</v>
      </c>
      <c r="P27" s="252">
        <v>-0.41634624720899616</v>
      </c>
      <c r="Q27" s="252">
        <v>4.1407173264482733E-2</v>
      </c>
      <c r="R27" s="252">
        <v>0.41942784878536132</v>
      </c>
      <c r="S27" s="252">
        <v>0.74730440907236151</v>
      </c>
      <c r="T27" s="253">
        <v>1.3881205470817632</v>
      </c>
      <c r="U27" s="249"/>
      <c r="V27" s="254">
        <v>-0.49141651495841543</v>
      </c>
    </row>
    <row r="28" spans="1:22" x14ac:dyDescent="0.25">
      <c r="A28" s="238">
        <v>36927</v>
      </c>
      <c r="B28" s="239">
        <v>1886.48</v>
      </c>
      <c r="C28" s="242">
        <f t="shared" si="0"/>
        <v>3.6057890943861537E-3</v>
      </c>
      <c r="G28" s="1095"/>
      <c r="H28" s="245">
        <v>25</v>
      </c>
      <c r="I28" s="251">
        <v>-3.1146135145037244</v>
      </c>
      <c r="J28" s="252">
        <v>-2.4737973764943222</v>
      </c>
      <c r="K28" s="252">
        <v>-2.1459208162073224</v>
      </c>
      <c r="L28" s="252">
        <v>-1.7679001406864436</v>
      </c>
      <c r="M28" s="252">
        <v>-1.3101467202129649</v>
      </c>
      <c r="N28" s="252">
        <v>-0.69803958457453796</v>
      </c>
      <c r="O28" s="252">
        <v>-0.17081745598112463</v>
      </c>
      <c r="P28" s="252">
        <v>0.44128967965730215</v>
      </c>
      <c r="Q28" s="252">
        <v>0.89904310013078104</v>
      </c>
      <c r="R28" s="252">
        <v>1.2770637756516596</v>
      </c>
      <c r="S28" s="252">
        <v>1.6049403359386598</v>
      </c>
      <c r="T28" s="253">
        <v>2.2457564739480613</v>
      </c>
      <c r="U28" s="249"/>
      <c r="V28" s="254">
        <v>1.0929251936013265</v>
      </c>
    </row>
    <row r="29" spans="1:22" x14ac:dyDescent="0.25">
      <c r="A29" s="238">
        <v>36928</v>
      </c>
      <c r="B29" s="239">
        <v>1883.72</v>
      </c>
      <c r="C29" s="242">
        <f t="shared" si="0"/>
        <v>-1.4641135711816664E-3</v>
      </c>
      <c r="G29" s="1095"/>
      <c r="H29" s="245">
        <v>26</v>
      </c>
      <c r="I29" s="251">
        <v>-1.8614624717496384</v>
      </c>
      <c r="J29" s="252">
        <v>-1.2206463337402367</v>
      </c>
      <c r="K29" s="252">
        <v>-0.89276977345323649</v>
      </c>
      <c r="L29" s="252">
        <v>-0.5147490979323579</v>
      </c>
      <c r="M29" s="252">
        <v>-5.6995677458879013E-2</v>
      </c>
      <c r="N29" s="252">
        <v>0.55511145817954777</v>
      </c>
      <c r="O29" s="252">
        <v>1.0823335867729611</v>
      </c>
      <c r="P29" s="252">
        <v>1.6944407224113878</v>
      </c>
      <c r="Q29" s="252">
        <v>2.1521941428848668</v>
      </c>
      <c r="R29" s="252">
        <v>2.5302148184057454</v>
      </c>
      <c r="S29" s="252">
        <v>2.8580913786927455</v>
      </c>
      <c r="T29" s="253">
        <v>3.4989075167021473</v>
      </c>
      <c r="U29" s="249"/>
      <c r="V29" s="254">
        <v>1.8269570549114655</v>
      </c>
    </row>
    <row r="30" spans="1:22" x14ac:dyDescent="0.25">
      <c r="A30" s="238">
        <v>36929</v>
      </c>
      <c r="B30" s="239">
        <v>1868.29</v>
      </c>
      <c r="C30" s="242">
        <f t="shared" si="0"/>
        <v>-8.2249711417187923E-3</v>
      </c>
      <c r="G30" s="1095"/>
      <c r="H30" s="245">
        <v>27</v>
      </c>
      <c r="I30" s="251">
        <v>-1.2427238534770662</v>
      </c>
      <c r="J30" s="252">
        <v>-0.60190771546766442</v>
      </c>
      <c r="K30" s="252">
        <v>-0.27403115518066423</v>
      </c>
      <c r="L30" s="252">
        <v>0.10398952034021436</v>
      </c>
      <c r="M30" s="252">
        <v>0.56174294081369325</v>
      </c>
      <c r="N30" s="252">
        <v>1.17385007645212</v>
      </c>
      <c r="O30" s="252">
        <v>1.7010722050455334</v>
      </c>
      <c r="P30" s="252">
        <v>2.31317934068396</v>
      </c>
      <c r="Q30" s="252">
        <v>2.770932761157439</v>
      </c>
      <c r="R30" s="252">
        <v>3.1489534366783176</v>
      </c>
      <c r="S30" s="252">
        <v>3.4768299969653178</v>
      </c>
      <c r="T30" s="253">
        <v>4.11764613497472</v>
      </c>
      <c r="U30" s="249"/>
      <c r="V30" s="254">
        <v>1.7019251655417815</v>
      </c>
    </row>
    <row r="31" spans="1:22" x14ac:dyDescent="0.25">
      <c r="A31" s="238">
        <v>36930</v>
      </c>
      <c r="B31" s="239">
        <v>1856.66</v>
      </c>
      <c r="C31" s="242">
        <f t="shared" si="0"/>
        <v>-6.2443994095114528E-3</v>
      </c>
      <c r="G31" s="1095"/>
      <c r="H31" s="245">
        <v>28</v>
      </c>
      <c r="I31" s="251">
        <v>-1.3110208996085928</v>
      </c>
      <c r="J31" s="252">
        <v>-0.67020476159919107</v>
      </c>
      <c r="K31" s="252">
        <v>-0.34232820131219088</v>
      </c>
      <c r="L31" s="252">
        <v>3.5692474208687708E-2</v>
      </c>
      <c r="M31" s="252">
        <v>0.4934458946821666</v>
      </c>
      <c r="N31" s="252">
        <v>1.1055530303205934</v>
      </c>
      <c r="O31" s="252">
        <v>1.6327751589140067</v>
      </c>
      <c r="P31" s="252">
        <v>2.2448822945524336</v>
      </c>
      <c r="Q31" s="252">
        <v>2.7026357150259122</v>
      </c>
      <c r="R31" s="252">
        <v>3.0806563905467907</v>
      </c>
      <c r="S31" s="252">
        <v>3.4085329508337914</v>
      </c>
      <c r="T31" s="253">
        <v>4.0493490888431927</v>
      </c>
      <c r="U31" s="249"/>
      <c r="V31" s="254">
        <v>1.1208010159316135</v>
      </c>
    </row>
    <row r="32" spans="1:22" x14ac:dyDescent="0.25">
      <c r="A32" s="238">
        <v>36931</v>
      </c>
      <c r="B32" s="239">
        <v>1831.96</v>
      </c>
      <c r="C32" s="242">
        <f t="shared" si="0"/>
        <v>-1.3392742647927065E-2</v>
      </c>
      <c r="G32" s="1095"/>
      <c r="H32" s="245">
        <v>29</v>
      </c>
      <c r="I32" s="251">
        <v>-1.7596887506933925</v>
      </c>
      <c r="J32" s="252">
        <v>-1.1188726126839907</v>
      </c>
      <c r="K32" s="252">
        <v>-0.79099605239699067</v>
      </c>
      <c r="L32" s="252">
        <v>-0.41297537687611208</v>
      </c>
      <c r="M32" s="252">
        <v>4.4778043597366812E-2</v>
      </c>
      <c r="N32" s="252">
        <v>0.65688517923579359</v>
      </c>
      <c r="O32" s="252">
        <v>1.184107307829207</v>
      </c>
      <c r="P32" s="252">
        <v>1.7962144434676337</v>
      </c>
      <c r="Q32" s="252">
        <v>2.2539678639411127</v>
      </c>
      <c r="R32" s="252">
        <v>2.6319885394619913</v>
      </c>
      <c r="S32" s="252">
        <v>2.9598650997489915</v>
      </c>
      <c r="T32" s="253">
        <v>3.6006812377583932</v>
      </c>
      <c r="U32" s="249"/>
      <c r="V32" s="254">
        <v>1.3120640875788538</v>
      </c>
    </row>
    <row r="33" spans="1:22" x14ac:dyDescent="0.25">
      <c r="A33" s="238">
        <v>36934</v>
      </c>
      <c r="B33" s="239">
        <v>1853.65</v>
      </c>
      <c r="C33" s="242">
        <f t="shared" si="0"/>
        <v>1.1770236355824602E-2</v>
      </c>
      <c r="G33" s="1095"/>
      <c r="H33" s="245">
        <v>30</v>
      </c>
      <c r="I33" s="251">
        <v>-1.6330225029146455</v>
      </c>
      <c r="J33" s="252">
        <v>-0.99220636490524372</v>
      </c>
      <c r="K33" s="252">
        <v>-0.66432980461824354</v>
      </c>
      <c r="L33" s="252">
        <v>-0.28630912909736494</v>
      </c>
      <c r="M33" s="252">
        <v>0.17144429137611394</v>
      </c>
      <c r="N33" s="252">
        <v>0.78355142701454072</v>
      </c>
      <c r="O33" s="252">
        <v>1.3107735556079541</v>
      </c>
      <c r="P33" s="252">
        <v>1.9228806912463807</v>
      </c>
      <c r="Q33" s="252">
        <v>2.3806341117198597</v>
      </c>
      <c r="R33" s="252">
        <v>2.7586547872407383</v>
      </c>
      <c r="S33" s="252">
        <v>3.0865313475277385</v>
      </c>
      <c r="T33" s="253">
        <v>3.7273474855371402</v>
      </c>
      <c r="U33" s="249"/>
      <c r="V33" s="254">
        <v>-0.25708783523314782</v>
      </c>
    </row>
    <row r="34" spans="1:22" x14ac:dyDescent="0.25">
      <c r="A34" s="238">
        <v>36935</v>
      </c>
      <c r="B34" s="239">
        <v>1837.77</v>
      </c>
      <c r="C34" s="242">
        <f t="shared" si="0"/>
        <v>-8.6037882223407493E-3</v>
      </c>
      <c r="G34" s="1095"/>
      <c r="H34" s="245">
        <v>31</v>
      </c>
      <c r="I34" s="251">
        <v>-2.8306488938594434</v>
      </c>
      <c r="J34" s="252">
        <v>-2.1898327558500412</v>
      </c>
      <c r="K34" s="252">
        <v>-1.8619561955630413</v>
      </c>
      <c r="L34" s="252">
        <v>-1.4839355200421627</v>
      </c>
      <c r="M34" s="252">
        <v>-1.0261820995686839</v>
      </c>
      <c r="N34" s="252">
        <v>-0.414074963930257</v>
      </c>
      <c r="O34" s="252">
        <v>0.11314716466315633</v>
      </c>
      <c r="P34" s="252">
        <v>0.72525430030158311</v>
      </c>
      <c r="Q34" s="252">
        <v>1.183007720775062</v>
      </c>
      <c r="R34" s="252">
        <v>1.5610283962959406</v>
      </c>
      <c r="S34" s="252">
        <v>1.8889049565829408</v>
      </c>
      <c r="T34" s="253">
        <v>2.5297210945923423</v>
      </c>
      <c r="U34" s="249"/>
      <c r="V34" s="254">
        <v>-1.9748878200437268</v>
      </c>
    </row>
    <row r="35" spans="1:22" x14ac:dyDescent="0.25">
      <c r="A35" s="238">
        <v>36936</v>
      </c>
      <c r="B35" s="239">
        <v>1834.1000000000001</v>
      </c>
      <c r="C35" s="242">
        <f t="shared" si="0"/>
        <v>-1.9989821110704517E-3</v>
      </c>
      <c r="G35" s="1095"/>
      <c r="H35" s="245">
        <v>32</v>
      </c>
      <c r="I35" s="251">
        <v>-4.2012953006686278</v>
      </c>
      <c r="J35" s="252">
        <v>-3.5604791626592256</v>
      </c>
      <c r="K35" s="252">
        <v>-3.2326026023722259</v>
      </c>
      <c r="L35" s="252">
        <v>-2.8545819268513473</v>
      </c>
      <c r="M35" s="252">
        <v>-2.3968285063778683</v>
      </c>
      <c r="N35" s="252">
        <v>-1.7847213707394414</v>
      </c>
      <c r="O35" s="252">
        <v>-1.257499242146028</v>
      </c>
      <c r="P35" s="252">
        <v>-0.64539210650760126</v>
      </c>
      <c r="Q35" s="252">
        <v>-0.18763868603412237</v>
      </c>
      <c r="R35" s="252">
        <v>0.19038198948675622</v>
      </c>
      <c r="S35" s="252">
        <v>0.51825854977375641</v>
      </c>
      <c r="T35" s="253">
        <v>1.1590746877831581</v>
      </c>
      <c r="U35" s="249"/>
      <c r="V35" s="254">
        <v>-1.9789268278625922</v>
      </c>
    </row>
    <row r="36" spans="1:22" x14ac:dyDescent="0.25">
      <c r="A36" s="238">
        <v>36937</v>
      </c>
      <c r="B36" s="239">
        <v>1849.15</v>
      </c>
      <c r="C36" s="242">
        <f t="shared" si="0"/>
        <v>8.1721760720844562E-3</v>
      </c>
      <c r="G36" s="1095"/>
      <c r="H36" s="245">
        <v>33</v>
      </c>
      <c r="I36" s="251">
        <v>-4.2654910452356143</v>
      </c>
      <c r="J36" s="252">
        <v>-3.6246749072262126</v>
      </c>
      <c r="K36" s="252">
        <v>-3.2967983469392124</v>
      </c>
      <c r="L36" s="252">
        <v>-2.9187776714183338</v>
      </c>
      <c r="M36" s="252">
        <v>-2.4610242509448548</v>
      </c>
      <c r="N36" s="252">
        <v>-1.8489171153064281</v>
      </c>
      <c r="O36" s="252">
        <v>-1.3216949867130148</v>
      </c>
      <c r="P36" s="252">
        <v>-0.70958785107458799</v>
      </c>
      <c r="Q36" s="252">
        <v>-0.2518344306011091</v>
      </c>
      <c r="R36" s="252">
        <v>0.12618624491976949</v>
      </c>
      <c r="S36" s="252">
        <v>0.45406280520676967</v>
      </c>
      <c r="T36" s="253">
        <v>1.0948789432161714</v>
      </c>
      <c r="U36" s="249"/>
      <c r="V36" s="254">
        <v>-2.2163099355003517</v>
      </c>
    </row>
    <row r="37" spans="1:22" x14ac:dyDescent="0.25">
      <c r="A37" s="238">
        <v>36938</v>
      </c>
      <c r="B37" s="239">
        <v>1814.22</v>
      </c>
      <c r="C37" s="242">
        <f t="shared" si="0"/>
        <v>-1.907045076612018E-2</v>
      </c>
      <c r="G37" s="1095"/>
      <c r="H37" s="245">
        <v>34</v>
      </c>
      <c r="I37" s="251">
        <v>-4.4503851426962777</v>
      </c>
      <c r="J37" s="252">
        <v>-3.8095690046868755</v>
      </c>
      <c r="K37" s="252">
        <v>-3.4816924443998758</v>
      </c>
      <c r="L37" s="252">
        <v>-3.1036717688789972</v>
      </c>
      <c r="M37" s="252">
        <v>-2.6459183484055182</v>
      </c>
      <c r="N37" s="252">
        <v>-2.0338112127670911</v>
      </c>
      <c r="O37" s="252">
        <v>-1.506589084173678</v>
      </c>
      <c r="P37" s="252">
        <v>-0.8944819485352512</v>
      </c>
      <c r="Q37" s="252">
        <v>-0.43672852806177231</v>
      </c>
      <c r="R37" s="252">
        <v>-5.8707852540893724E-2</v>
      </c>
      <c r="S37" s="252">
        <v>0.26916870774610646</v>
      </c>
      <c r="T37" s="253">
        <v>0.9099848457555082</v>
      </c>
      <c r="U37" s="249"/>
      <c r="V37" s="254">
        <v>-2.175511392493465</v>
      </c>
    </row>
    <row r="38" spans="1:22" x14ac:dyDescent="0.25">
      <c r="A38" s="238">
        <v>36942</v>
      </c>
      <c r="B38" s="239">
        <v>1782.75</v>
      </c>
      <c r="C38" s="242">
        <f t="shared" si="0"/>
        <v>-1.7498507354538236E-2</v>
      </c>
      <c r="G38" s="1095"/>
      <c r="H38" s="245">
        <v>35</v>
      </c>
      <c r="I38" s="251">
        <v>-4.4273415145322677</v>
      </c>
      <c r="J38" s="252">
        <v>-3.7865253765228655</v>
      </c>
      <c r="K38" s="252">
        <v>-3.4586488162358657</v>
      </c>
      <c r="L38" s="252">
        <v>-3.0806281407149871</v>
      </c>
      <c r="M38" s="252">
        <v>-2.6228747202415081</v>
      </c>
      <c r="N38" s="252">
        <v>-2.010767584603081</v>
      </c>
      <c r="O38" s="252">
        <v>-1.4835454560096679</v>
      </c>
      <c r="P38" s="252">
        <v>-0.87143832037124114</v>
      </c>
      <c r="Q38" s="252">
        <v>-0.41368489989776225</v>
      </c>
      <c r="R38" s="252">
        <v>-3.5664224376883658E-2</v>
      </c>
      <c r="S38" s="252">
        <v>0.29221233591011653</v>
      </c>
      <c r="T38" s="253">
        <v>0.93302847391951826</v>
      </c>
      <c r="U38" s="249"/>
      <c r="V38" s="254">
        <v>-0.27539239690308381</v>
      </c>
    </row>
    <row r="39" spans="1:22" x14ac:dyDescent="0.25">
      <c r="A39" s="238">
        <v>36943</v>
      </c>
      <c r="B39" s="239">
        <v>1749.8600000000001</v>
      </c>
      <c r="C39" s="242">
        <f t="shared" si="0"/>
        <v>-1.8621331191023809E-2</v>
      </c>
      <c r="G39" s="1095"/>
      <c r="H39" s="245">
        <v>36</v>
      </c>
      <c r="I39" s="251">
        <v>-2.9692461231287859</v>
      </c>
      <c r="J39" s="252">
        <v>-2.3284299851193841</v>
      </c>
      <c r="K39" s="252">
        <v>-2.000553424832384</v>
      </c>
      <c r="L39" s="252">
        <v>-1.6225327493115054</v>
      </c>
      <c r="M39" s="252">
        <v>-1.1647793288380264</v>
      </c>
      <c r="N39" s="252">
        <v>-0.5526721931995997</v>
      </c>
      <c r="O39" s="252">
        <v>-2.5450064606186373E-2</v>
      </c>
      <c r="P39" s="252">
        <v>0.58665707103224041</v>
      </c>
      <c r="Q39" s="252">
        <v>1.0444104915057193</v>
      </c>
      <c r="R39" s="252">
        <v>1.4224311670265979</v>
      </c>
      <c r="S39" s="252">
        <v>1.7503077273135981</v>
      </c>
      <c r="T39" s="253">
        <v>2.3911238653229998</v>
      </c>
      <c r="U39" s="249"/>
      <c r="V39" s="254">
        <v>-1.394638293448889</v>
      </c>
    </row>
    <row r="40" spans="1:22" x14ac:dyDescent="0.25">
      <c r="A40" s="238">
        <v>36944</v>
      </c>
      <c r="B40" s="239">
        <v>1746.5</v>
      </c>
      <c r="C40" s="242">
        <f t="shared" si="0"/>
        <v>-1.9219994705024501E-3</v>
      </c>
      <c r="G40" s="1095"/>
      <c r="H40" s="245">
        <v>37</v>
      </c>
      <c r="I40" s="251">
        <v>-3.7625207432052572</v>
      </c>
      <c r="J40" s="252">
        <v>-3.1217046051958555</v>
      </c>
      <c r="K40" s="252">
        <v>-2.7938280449088553</v>
      </c>
      <c r="L40" s="252">
        <v>-2.4158073693879767</v>
      </c>
      <c r="M40" s="252">
        <v>-1.9580539489144977</v>
      </c>
      <c r="N40" s="252">
        <v>-1.345946813276071</v>
      </c>
      <c r="O40" s="252">
        <v>-0.81872468468265769</v>
      </c>
      <c r="P40" s="252">
        <v>-0.20661754904423091</v>
      </c>
      <c r="Q40" s="252">
        <v>0.25113587142924798</v>
      </c>
      <c r="R40" s="252">
        <v>0.62915654695012657</v>
      </c>
      <c r="S40" s="252">
        <v>0.95703310723712676</v>
      </c>
      <c r="T40" s="253">
        <v>1.5978492452465285</v>
      </c>
      <c r="U40" s="249"/>
      <c r="V40" s="254">
        <v>-1.386350233226191</v>
      </c>
    </row>
    <row r="41" spans="1:22" x14ac:dyDescent="0.25">
      <c r="A41" s="238">
        <v>36945</v>
      </c>
      <c r="B41" s="239">
        <v>1736.82</v>
      </c>
      <c r="C41" s="242">
        <f t="shared" si="0"/>
        <v>-5.5579303184296039E-3</v>
      </c>
      <c r="G41" s="1095"/>
      <c r="H41" s="245">
        <v>38</v>
      </c>
      <c r="I41" s="251">
        <v>-3.7915265542937759</v>
      </c>
      <c r="J41" s="252">
        <v>-3.1507104162843742</v>
      </c>
      <c r="K41" s="252">
        <v>-2.822833855997374</v>
      </c>
      <c r="L41" s="252">
        <v>-2.4448131804764954</v>
      </c>
      <c r="M41" s="252">
        <v>-1.9870597600030164</v>
      </c>
      <c r="N41" s="252">
        <v>-1.3749526243645898</v>
      </c>
      <c r="O41" s="252">
        <v>-0.84773049577117643</v>
      </c>
      <c r="P41" s="252">
        <v>-0.23562336013274965</v>
      </c>
      <c r="Q41" s="252">
        <v>0.22213006034072924</v>
      </c>
      <c r="R41" s="252">
        <v>0.60015073586160783</v>
      </c>
      <c r="S41" s="252">
        <v>0.92802729614860802</v>
      </c>
      <c r="T41" s="253">
        <v>1.5688434341580098</v>
      </c>
      <c r="U41" s="249"/>
      <c r="V41" s="254">
        <v>-2.4221698087498744</v>
      </c>
    </row>
    <row r="42" spans="1:22" x14ac:dyDescent="0.25">
      <c r="A42" s="238">
        <v>36948</v>
      </c>
      <c r="B42" s="239">
        <v>1767.29</v>
      </c>
      <c r="C42" s="242">
        <f t="shared" si="0"/>
        <v>1.7391444902392021E-2</v>
      </c>
      <c r="G42" s="1095"/>
      <c r="H42" s="245">
        <v>39</v>
      </c>
      <c r="I42" s="251">
        <v>-4.5871170216954695</v>
      </c>
      <c r="J42" s="252">
        <v>-3.9463008836860682</v>
      </c>
      <c r="K42" s="252">
        <v>-3.6184243233990676</v>
      </c>
      <c r="L42" s="252">
        <v>-3.240403647878189</v>
      </c>
      <c r="M42" s="252">
        <v>-2.7826502274047105</v>
      </c>
      <c r="N42" s="252">
        <v>-2.1705430917662838</v>
      </c>
      <c r="O42" s="252">
        <v>-1.6433209631728702</v>
      </c>
      <c r="P42" s="252">
        <v>-1.0312138275344434</v>
      </c>
      <c r="Q42" s="252">
        <v>-0.57346040706096457</v>
      </c>
      <c r="R42" s="252">
        <v>-0.19543973154008598</v>
      </c>
      <c r="S42" s="252">
        <v>0.1324368287469142</v>
      </c>
      <c r="T42" s="253">
        <v>0.77325296675631594</v>
      </c>
      <c r="U42" s="249"/>
      <c r="V42" s="254">
        <v>-3.1193149187007068</v>
      </c>
    </row>
    <row r="43" spans="1:22" x14ac:dyDescent="0.25">
      <c r="A43" s="238">
        <v>36949</v>
      </c>
      <c r="B43" s="239">
        <v>1753.88</v>
      </c>
      <c r="C43" s="242">
        <f t="shared" si="0"/>
        <v>-7.6168232904483052E-3</v>
      </c>
      <c r="G43" s="1095"/>
      <c r="H43" s="245">
        <v>40</v>
      </c>
      <c r="I43" s="251">
        <v>-5.1571733604041352</v>
      </c>
      <c r="J43" s="252">
        <v>-4.516357222394733</v>
      </c>
      <c r="K43" s="252">
        <v>-4.1884806621077324</v>
      </c>
      <c r="L43" s="252">
        <v>-3.8104599865868543</v>
      </c>
      <c r="M43" s="252">
        <v>-3.3527065661133753</v>
      </c>
      <c r="N43" s="252">
        <v>-2.7405994304749486</v>
      </c>
      <c r="O43" s="252">
        <v>-2.2133773018815353</v>
      </c>
      <c r="P43" s="252">
        <v>-1.6012701662431086</v>
      </c>
      <c r="Q43" s="252">
        <v>-1.1435167457696296</v>
      </c>
      <c r="R43" s="252">
        <v>-0.76549607024875099</v>
      </c>
      <c r="S43" s="252">
        <v>-0.43761950996175081</v>
      </c>
      <c r="T43" s="253">
        <v>0.20319662804765093</v>
      </c>
      <c r="U43" s="249"/>
      <c r="V43" s="254">
        <v>-0.58087719654276526</v>
      </c>
    </row>
    <row r="44" spans="1:22" x14ac:dyDescent="0.25">
      <c r="A44" s="238">
        <v>36950</v>
      </c>
      <c r="B44" s="239">
        <v>1729.07</v>
      </c>
      <c r="C44" s="242">
        <f t="shared" si="0"/>
        <v>-1.4246784846679907E-2</v>
      </c>
      <c r="G44" s="1095"/>
      <c r="H44" s="245">
        <v>41</v>
      </c>
      <c r="I44" s="251">
        <v>-3.2360343144981116</v>
      </c>
      <c r="J44" s="252">
        <v>-2.5952181764887099</v>
      </c>
      <c r="K44" s="252">
        <v>-2.2673416162017097</v>
      </c>
      <c r="L44" s="252">
        <v>-1.8893209406808311</v>
      </c>
      <c r="M44" s="252">
        <v>-1.4315675202073521</v>
      </c>
      <c r="N44" s="252">
        <v>-0.81946038456892545</v>
      </c>
      <c r="O44" s="252">
        <v>-0.29223825597551212</v>
      </c>
      <c r="P44" s="252">
        <v>0.31986887966291466</v>
      </c>
      <c r="Q44" s="252">
        <v>0.77762230013639355</v>
      </c>
      <c r="R44" s="252">
        <v>1.1556429756572721</v>
      </c>
      <c r="S44" s="252">
        <v>1.4835195359442723</v>
      </c>
      <c r="T44" s="253">
        <v>2.1243356739536741</v>
      </c>
      <c r="U44" s="249"/>
      <c r="V44" s="254">
        <v>-0.96487011088896812</v>
      </c>
    </row>
    <row r="45" spans="1:22" x14ac:dyDescent="0.25">
      <c r="A45" s="238">
        <v>36951</v>
      </c>
      <c r="B45" s="239">
        <v>1730.91</v>
      </c>
      <c r="C45" s="242">
        <f t="shared" si="0"/>
        <v>1.0635900632110632E-3</v>
      </c>
      <c r="G45" s="1095"/>
      <c r="H45" s="245">
        <v>42</v>
      </c>
      <c r="I45" s="251">
        <v>-3.4448540843928441</v>
      </c>
      <c r="J45" s="252">
        <v>-2.8040379463834428</v>
      </c>
      <c r="K45" s="252">
        <v>-2.4761613860964422</v>
      </c>
      <c r="L45" s="252">
        <v>-2.0981407105755636</v>
      </c>
      <c r="M45" s="252">
        <v>-1.6403872901020851</v>
      </c>
      <c r="N45" s="252">
        <v>-1.0282801544636582</v>
      </c>
      <c r="O45" s="252">
        <v>-0.50105802587024484</v>
      </c>
      <c r="P45" s="252">
        <v>0.11104910976818194</v>
      </c>
      <c r="Q45" s="252">
        <v>0.56880253024166083</v>
      </c>
      <c r="R45" s="252">
        <v>0.94682320576253942</v>
      </c>
      <c r="S45" s="252">
        <v>1.2746997660495396</v>
      </c>
      <c r="T45" s="253">
        <v>1.9155159040589413</v>
      </c>
      <c r="U45" s="249"/>
      <c r="V45" s="254">
        <v>-1.5005599823695857</v>
      </c>
    </row>
    <row r="46" spans="1:22" x14ac:dyDescent="0.25">
      <c r="A46" s="238">
        <v>36952</v>
      </c>
      <c r="B46" s="239">
        <v>1721.0900000000001</v>
      </c>
      <c r="C46" s="242">
        <f t="shared" si="0"/>
        <v>-5.6894707355150138E-3</v>
      </c>
      <c r="G46" s="1095"/>
      <c r="H46" s="245">
        <v>43</v>
      </c>
      <c r="I46" s="251">
        <v>-3.8649455696285315</v>
      </c>
      <c r="J46" s="252">
        <v>-3.2241294316191293</v>
      </c>
      <c r="K46" s="252">
        <v>-2.8962528713321296</v>
      </c>
      <c r="L46" s="252">
        <v>-2.518232195811251</v>
      </c>
      <c r="M46" s="252">
        <v>-2.060478775337772</v>
      </c>
      <c r="N46" s="252">
        <v>-1.4483716396993451</v>
      </c>
      <c r="O46" s="252">
        <v>-0.9211495111059318</v>
      </c>
      <c r="P46" s="252">
        <v>-0.30904237546750501</v>
      </c>
      <c r="Q46" s="252">
        <v>0.14871104500597387</v>
      </c>
      <c r="R46" s="252">
        <v>0.52673172052685246</v>
      </c>
      <c r="S46" s="252">
        <v>0.85460828081385265</v>
      </c>
      <c r="T46" s="253">
        <v>1.4954244188232544</v>
      </c>
      <c r="U46" s="249"/>
      <c r="V46" s="254">
        <v>-2.6477345514766668</v>
      </c>
    </row>
    <row r="47" spans="1:22" x14ac:dyDescent="0.25">
      <c r="A47" s="238">
        <v>36955</v>
      </c>
      <c r="B47" s="239">
        <v>1731.42</v>
      </c>
      <c r="C47" s="242">
        <f t="shared" si="0"/>
        <v>5.9840700392719852E-3</v>
      </c>
      <c r="G47" s="1095"/>
      <c r="H47" s="245">
        <v>44</v>
      </c>
      <c r="I47" s="251">
        <v>-4.7633595831754469</v>
      </c>
      <c r="J47" s="252">
        <v>-4.1225434451660448</v>
      </c>
      <c r="K47" s="252">
        <v>-3.7946668848790446</v>
      </c>
      <c r="L47" s="252">
        <v>-3.416646209358166</v>
      </c>
      <c r="M47" s="252">
        <v>-2.958892788884687</v>
      </c>
      <c r="N47" s="252">
        <v>-2.3467856532462603</v>
      </c>
      <c r="O47" s="252">
        <v>-1.819563524652847</v>
      </c>
      <c r="P47" s="252">
        <v>-1.2074563890144203</v>
      </c>
      <c r="Q47" s="252">
        <v>-0.74970296854094132</v>
      </c>
      <c r="R47" s="252">
        <v>-0.37168229302006273</v>
      </c>
      <c r="S47" s="252">
        <v>-4.3805732733062541E-2</v>
      </c>
      <c r="T47" s="253">
        <v>0.5970104052763392</v>
      </c>
      <c r="U47" s="249"/>
      <c r="V47" s="254">
        <v>-1.417356303892942</v>
      </c>
    </row>
    <row r="48" spans="1:22" x14ac:dyDescent="0.25">
      <c r="A48" s="238">
        <v>36956</v>
      </c>
      <c r="B48" s="239">
        <v>1748.74</v>
      </c>
      <c r="C48" s="242">
        <f t="shared" si="0"/>
        <v>9.953647532387512E-3</v>
      </c>
      <c r="G48" s="1095"/>
      <c r="H48" s="245">
        <v>45</v>
      </c>
      <c r="I48" s="251">
        <v>-3.8599167527323703</v>
      </c>
      <c r="J48" s="252">
        <v>-3.2191006147229686</v>
      </c>
      <c r="K48" s="252">
        <v>-2.8912240544359684</v>
      </c>
      <c r="L48" s="252">
        <v>-2.5132033789150898</v>
      </c>
      <c r="M48" s="252">
        <v>-2.0554499584416108</v>
      </c>
      <c r="N48" s="252">
        <v>-1.4433428228031842</v>
      </c>
      <c r="O48" s="252">
        <v>-0.91612069420977083</v>
      </c>
      <c r="P48" s="252">
        <v>-0.30401355857134404</v>
      </c>
      <c r="Q48" s="252">
        <v>0.15373986190213484</v>
      </c>
      <c r="R48" s="252">
        <v>0.53176053742301344</v>
      </c>
      <c r="S48" s="252">
        <v>0.85963709771001362</v>
      </c>
      <c r="T48" s="253">
        <v>1.5004532357194154</v>
      </c>
      <c r="U48" s="249"/>
      <c r="V48" s="254">
        <v>-2.3368992745231654</v>
      </c>
    </row>
    <row r="49" spans="1:22" x14ac:dyDescent="0.25">
      <c r="A49" s="238">
        <v>36957</v>
      </c>
      <c r="B49" s="239">
        <v>1760.3600000000001</v>
      </c>
      <c r="C49" s="242">
        <f t="shared" si="0"/>
        <v>6.6228049770971744E-3</v>
      </c>
      <c r="G49" s="1095"/>
      <c r="H49" s="245">
        <v>46</v>
      </c>
      <c r="I49" s="251">
        <v>-4.5247776109788758</v>
      </c>
      <c r="J49" s="252">
        <v>-3.8839614729694745</v>
      </c>
      <c r="K49" s="252">
        <v>-3.5560849126824738</v>
      </c>
      <c r="L49" s="252">
        <v>-3.1780642371615953</v>
      </c>
      <c r="M49" s="252">
        <v>-2.7203108166881167</v>
      </c>
      <c r="N49" s="252">
        <v>-2.10820368104969</v>
      </c>
      <c r="O49" s="252">
        <v>-1.5809815524562765</v>
      </c>
      <c r="P49" s="252">
        <v>-0.96887441681784969</v>
      </c>
      <c r="Q49" s="252">
        <v>-0.5111209963443708</v>
      </c>
      <c r="R49" s="252">
        <v>-0.13310032082349221</v>
      </c>
      <c r="S49" s="252">
        <v>0.19477623946350797</v>
      </c>
      <c r="T49" s="253">
        <v>0.83559237747290971</v>
      </c>
      <c r="U49" s="249"/>
      <c r="V49" s="254">
        <v>-3.7876707992166341</v>
      </c>
    </row>
    <row r="50" spans="1:22" x14ac:dyDescent="0.25">
      <c r="A50" s="238">
        <v>36958</v>
      </c>
      <c r="B50" s="239">
        <v>1764.39</v>
      </c>
      <c r="C50" s="242">
        <f t="shared" si="0"/>
        <v>2.2866879954906764E-3</v>
      </c>
      <c r="G50" s="1095"/>
      <c r="H50" s="245">
        <v>47</v>
      </c>
      <c r="I50" s="251">
        <v>-5.6669098111239347</v>
      </c>
      <c r="J50" s="252">
        <v>-5.0260936731145325</v>
      </c>
      <c r="K50" s="252">
        <v>-4.6982171128275318</v>
      </c>
      <c r="L50" s="252">
        <v>-4.3201964373066541</v>
      </c>
      <c r="M50" s="252">
        <v>-3.8624430168331747</v>
      </c>
      <c r="N50" s="252">
        <v>-3.250335881194748</v>
      </c>
      <c r="O50" s="252">
        <v>-2.7231137526013347</v>
      </c>
      <c r="P50" s="252">
        <v>-2.111006616962908</v>
      </c>
      <c r="Q50" s="252">
        <v>-1.653253196489429</v>
      </c>
      <c r="R50" s="252">
        <v>-1.2752325209685504</v>
      </c>
      <c r="S50" s="252">
        <v>-0.94735596068155026</v>
      </c>
      <c r="T50" s="253">
        <v>-0.30653982267214852</v>
      </c>
      <c r="U50" s="249"/>
      <c r="V50" s="254">
        <v>-2.5735688853242373</v>
      </c>
    </row>
    <row r="51" spans="1:22" x14ac:dyDescent="0.25">
      <c r="A51" s="238">
        <v>36959</v>
      </c>
      <c r="B51" s="239">
        <v>1720.71</v>
      </c>
      <c r="C51" s="242">
        <f t="shared" si="0"/>
        <v>-2.5068025235132522E-2</v>
      </c>
      <c r="G51" s="1095"/>
      <c r="H51" s="245">
        <v>48</v>
      </c>
      <c r="I51" s="251">
        <v>-4.7868122458066011</v>
      </c>
      <c r="J51" s="252">
        <v>-4.145996107797199</v>
      </c>
      <c r="K51" s="252">
        <v>-3.8181195475101988</v>
      </c>
      <c r="L51" s="252">
        <v>-3.4400988719893202</v>
      </c>
      <c r="M51" s="252">
        <v>-2.9823454515158412</v>
      </c>
      <c r="N51" s="252">
        <v>-2.3702383158774145</v>
      </c>
      <c r="O51" s="252">
        <v>-1.8430161872840012</v>
      </c>
      <c r="P51" s="252">
        <v>-1.2309090516455745</v>
      </c>
      <c r="Q51" s="252">
        <v>-0.77315563117209551</v>
      </c>
      <c r="R51" s="252">
        <v>-0.39513495565121692</v>
      </c>
      <c r="S51" s="252">
        <v>-6.7258395364216739E-2</v>
      </c>
      <c r="T51" s="253">
        <v>0.573557742645185</v>
      </c>
      <c r="U51" s="249"/>
      <c r="V51" s="254">
        <v>-1.3321273911875402</v>
      </c>
    </row>
    <row r="52" spans="1:22" x14ac:dyDescent="0.25">
      <c r="A52" s="238">
        <v>36962</v>
      </c>
      <c r="B52" s="239">
        <v>1646.42</v>
      </c>
      <c r="C52" s="242">
        <f t="shared" si="0"/>
        <v>-4.4133762608300174E-2</v>
      </c>
      <c r="G52" s="1095"/>
      <c r="H52" s="245">
        <v>49</v>
      </c>
      <c r="I52" s="251">
        <v>-3.7956061040961027</v>
      </c>
      <c r="J52" s="252">
        <v>-3.1547899660867005</v>
      </c>
      <c r="K52" s="252">
        <v>-2.8269134057997007</v>
      </c>
      <c r="L52" s="252">
        <v>-2.4488927302788221</v>
      </c>
      <c r="M52" s="252">
        <v>-1.9911393098053431</v>
      </c>
      <c r="N52" s="252">
        <v>-1.3790321741669163</v>
      </c>
      <c r="O52" s="252">
        <v>-0.85181004557350293</v>
      </c>
      <c r="P52" s="252">
        <v>-0.23970290993507615</v>
      </c>
      <c r="Q52" s="252">
        <v>0.21805051053840274</v>
      </c>
      <c r="R52" s="252">
        <v>0.59607118605928133</v>
      </c>
      <c r="S52" s="252">
        <v>0.92394774634628152</v>
      </c>
      <c r="T52" s="253">
        <v>1.5647638843556833</v>
      </c>
      <c r="U52" s="249"/>
      <c r="V52" s="254">
        <v>-1.4393469105989065</v>
      </c>
    </row>
    <row r="53" spans="1:22" x14ac:dyDescent="0.25">
      <c r="A53" s="238">
        <v>36963</v>
      </c>
      <c r="B53" s="239">
        <v>1671.18</v>
      </c>
      <c r="C53" s="242">
        <f t="shared" si="0"/>
        <v>1.4926729999973892E-2</v>
      </c>
      <c r="G53" s="1095"/>
      <c r="H53" s="245">
        <v>50</v>
      </c>
      <c r="I53" s="251">
        <v>-3.83364082171836</v>
      </c>
      <c r="J53" s="252">
        <v>-3.1928246837089582</v>
      </c>
      <c r="K53" s="252">
        <v>-2.864948123421958</v>
      </c>
      <c r="L53" s="252">
        <v>-2.4869274479010794</v>
      </c>
      <c r="M53" s="252">
        <v>-2.0291740274276004</v>
      </c>
      <c r="N53" s="252">
        <v>-1.4170668917891738</v>
      </c>
      <c r="O53" s="252">
        <v>-0.88984476319576045</v>
      </c>
      <c r="P53" s="252">
        <v>-0.27773762755733367</v>
      </c>
      <c r="Q53" s="252">
        <v>0.18001579291614522</v>
      </c>
      <c r="R53" s="252">
        <v>0.55803646843702381</v>
      </c>
      <c r="S53" s="252">
        <v>0.885913028724024</v>
      </c>
      <c r="T53" s="253">
        <v>1.5267291667334257</v>
      </c>
      <c r="U53" s="249"/>
      <c r="V53" s="254">
        <v>-1.3224994326264514</v>
      </c>
    </row>
    <row r="54" spans="1:22" x14ac:dyDescent="0.25">
      <c r="A54" s="238">
        <v>36964</v>
      </c>
      <c r="B54" s="239">
        <v>1628.02</v>
      </c>
      <c r="C54" s="242">
        <f t="shared" si="0"/>
        <v>-2.616541122289516E-2</v>
      </c>
      <c r="G54" s="1095"/>
      <c r="H54" s="245">
        <v>51</v>
      </c>
      <c r="I54" s="251">
        <v>-3.7457341255182328</v>
      </c>
      <c r="J54" s="252">
        <v>-3.1049179875088315</v>
      </c>
      <c r="K54" s="252">
        <v>-2.7770414272218309</v>
      </c>
      <c r="L54" s="252">
        <v>-2.3990207517009523</v>
      </c>
      <c r="M54" s="252">
        <v>-1.9412673312274737</v>
      </c>
      <c r="N54" s="252">
        <v>-1.3291601955890469</v>
      </c>
      <c r="O54" s="252">
        <v>-0.80193806699563353</v>
      </c>
      <c r="P54" s="252">
        <v>-0.18983093135720674</v>
      </c>
      <c r="Q54" s="252">
        <v>0.26792248911627214</v>
      </c>
      <c r="R54" s="252">
        <v>0.64594316463715074</v>
      </c>
      <c r="S54" s="252">
        <v>0.97381972492415092</v>
      </c>
      <c r="T54" s="253">
        <v>1.6146358629335527</v>
      </c>
      <c r="U54" s="249"/>
      <c r="V54" s="254">
        <v>-2.2910015729417332</v>
      </c>
    </row>
    <row r="55" spans="1:22" x14ac:dyDescent="0.25">
      <c r="A55" s="238">
        <v>36965</v>
      </c>
      <c r="B55" s="239">
        <v>1637.6100000000001</v>
      </c>
      <c r="C55" s="242">
        <f t="shared" si="0"/>
        <v>5.8733093264380547E-3</v>
      </c>
      <c r="G55" s="1095"/>
      <c r="H55" s="245">
        <v>52</v>
      </c>
      <c r="I55" s="251">
        <v>-4.4844920249862303</v>
      </c>
      <c r="J55" s="252">
        <v>-3.843675886976829</v>
      </c>
      <c r="K55" s="252">
        <v>-3.5157993266898284</v>
      </c>
      <c r="L55" s="252">
        <v>-3.1377786511689498</v>
      </c>
      <c r="M55" s="252">
        <v>-2.6800252306954713</v>
      </c>
      <c r="N55" s="252">
        <v>-2.0679180950570446</v>
      </c>
      <c r="O55" s="252">
        <v>-1.5406959664636311</v>
      </c>
      <c r="P55" s="252">
        <v>-0.92858883082520427</v>
      </c>
      <c r="Q55" s="252">
        <v>-0.47083541035172538</v>
      </c>
      <c r="R55" s="252">
        <v>-9.281473483084679E-2</v>
      </c>
      <c r="S55" s="252">
        <v>0.23506182545615339</v>
      </c>
      <c r="T55" s="253">
        <v>0.87587796346555513</v>
      </c>
      <c r="U55" s="249"/>
      <c r="V55" s="254">
        <v>-0.48713583477618494</v>
      </c>
    </row>
    <row r="56" spans="1:22" x14ac:dyDescent="0.25">
      <c r="A56" s="238">
        <v>36966</v>
      </c>
      <c r="B56" s="239">
        <v>1605.48</v>
      </c>
      <c r="C56" s="242">
        <f t="shared" si="0"/>
        <v>-1.9815084552220169E-2</v>
      </c>
      <c r="G56" s="1095"/>
      <c r="H56" s="245">
        <v>53</v>
      </c>
      <c r="I56" s="251">
        <v>-3.1341649021125226</v>
      </c>
      <c r="J56" s="252">
        <v>-2.4933487641031213</v>
      </c>
      <c r="K56" s="252">
        <v>-2.1654722038161207</v>
      </c>
      <c r="L56" s="252">
        <v>-1.7874515282952423</v>
      </c>
      <c r="M56" s="252">
        <v>-1.3296981078217636</v>
      </c>
      <c r="N56" s="252">
        <v>-0.71759097218333667</v>
      </c>
      <c r="O56" s="252">
        <v>-0.19036884358992334</v>
      </c>
      <c r="P56" s="252">
        <v>0.42173829204850344</v>
      </c>
      <c r="Q56" s="252">
        <v>0.87949171252198233</v>
      </c>
      <c r="R56" s="252">
        <v>1.2575123880428609</v>
      </c>
      <c r="S56" s="252">
        <v>1.5853889483298611</v>
      </c>
      <c r="T56" s="253">
        <v>2.2262050863392631</v>
      </c>
      <c r="U56" s="249"/>
      <c r="V56" s="254">
        <v>-1.4060352152021469</v>
      </c>
    </row>
    <row r="57" spans="1:22" x14ac:dyDescent="0.25">
      <c r="A57" s="238">
        <v>36969</v>
      </c>
      <c r="B57" s="239">
        <v>1633.81</v>
      </c>
      <c r="C57" s="242">
        <f t="shared" si="0"/>
        <v>1.7491933315717398E-2</v>
      </c>
      <c r="G57" s="1095"/>
      <c r="H57" s="245">
        <v>54</v>
      </c>
      <c r="I57" s="251">
        <v>-3.7786117334006422</v>
      </c>
      <c r="J57" s="252">
        <v>-3.13779559539124</v>
      </c>
      <c r="K57" s="252">
        <v>-2.8099190351042402</v>
      </c>
      <c r="L57" s="252">
        <v>-2.4318983595833616</v>
      </c>
      <c r="M57" s="252">
        <v>-1.9741449391098826</v>
      </c>
      <c r="N57" s="252">
        <v>-1.3620378034714558</v>
      </c>
      <c r="O57" s="252">
        <v>-0.83481567487804242</v>
      </c>
      <c r="P57" s="252">
        <v>-0.22270853923961564</v>
      </c>
      <c r="Q57" s="252">
        <v>0.23504488123386325</v>
      </c>
      <c r="R57" s="252">
        <v>0.61306555675474184</v>
      </c>
      <c r="S57" s="252">
        <v>0.94094211704174202</v>
      </c>
      <c r="T57" s="253">
        <v>1.5817582550511438</v>
      </c>
      <c r="U57" s="249"/>
      <c r="V57" s="254">
        <v>-1.0676034686265934</v>
      </c>
    </row>
    <row r="58" spans="1:22" x14ac:dyDescent="0.25">
      <c r="A58" s="238">
        <v>36970</v>
      </c>
      <c r="B58" s="239">
        <v>1594.5</v>
      </c>
      <c r="C58" s="242">
        <f t="shared" si="0"/>
        <v>-2.4354503139133298E-2</v>
      </c>
      <c r="G58" s="1095"/>
      <c r="H58" s="245">
        <v>55</v>
      </c>
      <c r="I58" s="251">
        <v>-3.5478192617059903</v>
      </c>
      <c r="J58" s="252">
        <v>-2.9070031236965885</v>
      </c>
      <c r="K58" s="252">
        <v>-2.5791265634095883</v>
      </c>
      <c r="L58" s="252">
        <v>-2.2011058878887098</v>
      </c>
      <c r="M58" s="252">
        <v>-1.743352467415231</v>
      </c>
      <c r="N58" s="252">
        <v>-1.1312453317768041</v>
      </c>
      <c r="O58" s="252">
        <v>-0.60402320318339087</v>
      </c>
      <c r="P58" s="252">
        <v>8.0839324550359137E-3</v>
      </c>
      <c r="Q58" s="252">
        <v>0.4658373529285148</v>
      </c>
      <c r="R58" s="252">
        <v>0.84385802844939339</v>
      </c>
      <c r="S58" s="252">
        <v>1.1717345887363937</v>
      </c>
      <c r="T58" s="253">
        <v>1.8125507267457954</v>
      </c>
      <c r="U58" s="249"/>
      <c r="V58" s="254">
        <v>-0.46764235639181961</v>
      </c>
    </row>
    <row r="59" spans="1:22" x14ac:dyDescent="0.25">
      <c r="A59" s="238">
        <v>36971</v>
      </c>
      <c r="B59" s="239">
        <v>1565.98</v>
      </c>
      <c r="C59" s="242">
        <f t="shared" si="0"/>
        <v>-1.8048381373000581E-2</v>
      </c>
      <c r="G59" s="1095"/>
      <c r="H59" s="245">
        <v>56</v>
      </c>
      <c r="I59" s="251">
        <v>-3.0774631985453964</v>
      </c>
      <c r="J59" s="252">
        <v>-2.4366470605359947</v>
      </c>
      <c r="K59" s="252">
        <v>-2.1087705002489945</v>
      </c>
      <c r="L59" s="252">
        <v>-1.7307498247281159</v>
      </c>
      <c r="M59" s="252">
        <v>-1.2729964042546369</v>
      </c>
      <c r="N59" s="252">
        <v>-0.66088926861621022</v>
      </c>
      <c r="O59" s="252">
        <v>-0.13366714002279689</v>
      </c>
      <c r="P59" s="252">
        <v>0.47843999561562989</v>
      </c>
      <c r="Q59" s="252">
        <v>0.93619341608910878</v>
      </c>
      <c r="R59" s="252">
        <v>1.3142140916099874</v>
      </c>
      <c r="S59" s="252">
        <v>1.6420906518969876</v>
      </c>
      <c r="T59" s="253">
        <v>2.2829067899063893</v>
      </c>
      <c r="U59" s="249"/>
      <c r="V59" s="254">
        <v>-2.1021603873908354</v>
      </c>
    </row>
    <row r="60" spans="1:22" x14ac:dyDescent="0.25">
      <c r="A60" s="238">
        <v>36972</v>
      </c>
      <c r="B60" s="239">
        <v>1559.65</v>
      </c>
      <c r="C60" s="242">
        <f t="shared" si="0"/>
        <v>-4.0503889801277457E-3</v>
      </c>
      <c r="G60" s="1095"/>
      <c r="H60" s="245">
        <v>57</v>
      </c>
      <c r="I60" s="251">
        <v>-4.3098938179817985</v>
      </c>
      <c r="J60" s="252">
        <v>-3.6690776799723963</v>
      </c>
      <c r="K60" s="252">
        <v>-3.3412011196853966</v>
      </c>
      <c r="L60" s="252">
        <v>-2.963180444164518</v>
      </c>
      <c r="M60" s="252">
        <v>-2.505427023691039</v>
      </c>
      <c r="N60" s="252">
        <v>-1.8933198880526121</v>
      </c>
      <c r="O60" s="252">
        <v>-1.3660977594591988</v>
      </c>
      <c r="P60" s="252">
        <v>-0.75399062382077198</v>
      </c>
      <c r="Q60" s="252">
        <v>-0.29623720334729309</v>
      </c>
      <c r="R60" s="252">
        <v>8.1783472173585503E-2</v>
      </c>
      <c r="S60" s="252">
        <v>0.40966003246058569</v>
      </c>
      <c r="T60" s="253">
        <v>1.0504761704699874</v>
      </c>
      <c r="U60" s="249"/>
      <c r="V60" s="254">
        <v>-1.5881953057684706</v>
      </c>
    </row>
    <row r="61" spans="1:22" x14ac:dyDescent="0.25">
      <c r="A61" s="238">
        <v>36973</v>
      </c>
      <c r="B61" s="239">
        <v>1590.7</v>
      </c>
      <c r="C61" s="242">
        <f t="shared" si="0"/>
        <v>1.9712733807330955E-2</v>
      </c>
      <c r="G61" s="1095"/>
      <c r="H61" s="245">
        <v>58</v>
      </c>
      <c r="I61" s="251">
        <v>-3.9707073378951523</v>
      </c>
      <c r="J61" s="252">
        <v>-3.3298911998857506</v>
      </c>
      <c r="K61" s="252">
        <v>-3.0020146395987504</v>
      </c>
      <c r="L61" s="252">
        <v>-2.6239939640778718</v>
      </c>
      <c r="M61" s="252">
        <v>-2.1662405436043928</v>
      </c>
      <c r="N61" s="252">
        <v>-1.5541334079659661</v>
      </c>
      <c r="O61" s="252">
        <v>-1.0269112793725528</v>
      </c>
      <c r="P61" s="252">
        <v>-0.414804143734126</v>
      </c>
      <c r="Q61" s="252">
        <v>4.2949276739352893E-2</v>
      </c>
      <c r="R61" s="252">
        <v>0.42096995226023148</v>
      </c>
      <c r="S61" s="252">
        <v>0.74884651254723167</v>
      </c>
      <c r="T61" s="253">
        <v>1.3896626505566334</v>
      </c>
      <c r="U61" s="249"/>
      <c r="V61" s="254">
        <v>0.80906013015780287</v>
      </c>
    </row>
    <row r="62" spans="1:22" x14ac:dyDescent="0.25">
      <c r="A62" s="238">
        <v>36976</v>
      </c>
      <c r="B62" s="239">
        <v>1608.65</v>
      </c>
      <c r="C62" s="242">
        <f t="shared" si="0"/>
        <v>1.122114701184492E-2</v>
      </c>
      <c r="G62" s="1095"/>
      <c r="H62" s="245">
        <v>59</v>
      </c>
      <c r="I62" s="251">
        <v>-2.1173003086633759</v>
      </c>
      <c r="J62" s="252">
        <v>-1.4764841706539742</v>
      </c>
      <c r="K62" s="252">
        <v>-1.148607610366974</v>
      </c>
      <c r="L62" s="252">
        <v>-0.77058693484609542</v>
      </c>
      <c r="M62" s="252">
        <v>-0.31283351437261653</v>
      </c>
      <c r="N62" s="252">
        <v>0.29927362126581025</v>
      </c>
      <c r="O62" s="252">
        <v>0.82649574985922358</v>
      </c>
      <c r="P62" s="252">
        <v>1.4386028854976503</v>
      </c>
      <c r="Q62" s="252">
        <v>1.8963563059711293</v>
      </c>
      <c r="R62" s="252">
        <v>2.2743769814920078</v>
      </c>
      <c r="S62" s="252">
        <v>2.602253541779008</v>
      </c>
      <c r="T62" s="253">
        <v>3.2430696797884098</v>
      </c>
      <c r="U62" s="249"/>
      <c r="V62" s="254">
        <v>1.4196875827706474</v>
      </c>
    </row>
    <row r="63" spans="1:22" x14ac:dyDescent="0.25">
      <c r="A63" s="238">
        <v>36977</v>
      </c>
      <c r="B63" s="239">
        <v>1649.79</v>
      </c>
      <c r="C63" s="242">
        <f t="shared" si="0"/>
        <v>2.5252689151333083E-2</v>
      </c>
      <c r="G63" s="1095"/>
      <c r="H63" s="245">
        <v>60</v>
      </c>
      <c r="I63" s="251">
        <v>-1.5664346251604579</v>
      </c>
      <c r="J63" s="252">
        <v>-0.92561848715105621</v>
      </c>
      <c r="K63" s="252">
        <v>-0.59774192686405603</v>
      </c>
      <c r="L63" s="252">
        <v>-0.21972125134317744</v>
      </c>
      <c r="M63" s="252">
        <v>0.23803216913030145</v>
      </c>
      <c r="N63" s="252">
        <v>0.85013930476872823</v>
      </c>
      <c r="O63" s="252">
        <v>1.3773614333621416</v>
      </c>
      <c r="P63" s="252">
        <v>1.9894685690005685</v>
      </c>
      <c r="Q63" s="252">
        <v>2.4472219894740475</v>
      </c>
      <c r="R63" s="252">
        <v>2.825242664994926</v>
      </c>
      <c r="S63" s="252">
        <v>3.1531192252819258</v>
      </c>
      <c r="T63" s="253">
        <v>3.793935363291328</v>
      </c>
      <c r="U63" s="249"/>
      <c r="V63" s="254">
        <v>-0.61195500739519648</v>
      </c>
    </row>
    <row r="64" spans="1:22" x14ac:dyDescent="0.25">
      <c r="A64" s="238">
        <v>36978</v>
      </c>
      <c r="B64" s="239">
        <v>1609.67</v>
      </c>
      <c r="C64" s="242">
        <f t="shared" si="0"/>
        <v>-2.4618818042088278E-2</v>
      </c>
      <c r="G64" s="1095"/>
      <c r="H64" s="245">
        <v>61</v>
      </c>
      <c r="I64" s="251">
        <v>-3.0998034268707939</v>
      </c>
      <c r="J64" s="252">
        <v>-2.4589872888613922</v>
      </c>
      <c r="K64" s="252">
        <v>-2.131110728574392</v>
      </c>
      <c r="L64" s="252">
        <v>-1.7530900530535134</v>
      </c>
      <c r="M64" s="252">
        <v>-1.2953366325800344</v>
      </c>
      <c r="N64" s="252">
        <v>-0.68322949694160762</v>
      </c>
      <c r="O64" s="252">
        <v>-0.15600736834819429</v>
      </c>
      <c r="P64" s="252">
        <v>0.45609976729023249</v>
      </c>
      <c r="Q64" s="252">
        <v>0.91385318776371138</v>
      </c>
      <c r="R64" s="252">
        <v>1.2918738632845899</v>
      </c>
      <c r="S64" s="252">
        <v>1.61975042357159</v>
      </c>
      <c r="T64" s="253">
        <v>2.2605665615809918</v>
      </c>
      <c r="U64" s="249"/>
      <c r="V64" s="254">
        <v>-1.1957990515473442</v>
      </c>
    </row>
    <row r="65" spans="1:22" x14ac:dyDescent="0.25">
      <c r="A65" s="238">
        <v>36979</v>
      </c>
      <c r="B65" s="239">
        <v>1602.26</v>
      </c>
      <c r="C65" s="242">
        <f t="shared" si="0"/>
        <v>-4.6140564372648563E-3</v>
      </c>
      <c r="G65" s="1095"/>
      <c r="H65" s="245">
        <v>62</v>
      </c>
      <c r="I65" s="251">
        <v>-3.6158646311031424</v>
      </c>
      <c r="J65" s="252">
        <v>-2.9750484930937411</v>
      </c>
      <c r="K65" s="252">
        <v>-2.6471719328067405</v>
      </c>
      <c r="L65" s="252">
        <v>-2.2691512572858619</v>
      </c>
      <c r="M65" s="252">
        <v>-1.8113978368123833</v>
      </c>
      <c r="N65" s="252">
        <v>-1.1992907011739564</v>
      </c>
      <c r="O65" s="252">
        <v>-0.67206857258054309</v>
      </c>
      <c r="P65" s="252">
        <v>-5.9961436942116308E-2</v>
      </c>
      <c r="Q65" s="252">
        <v>0.39779198353136258</v>
      </c>
      <c r="R65" s="252">
        <v>0.77581265905224117</v>
      </c>
      <c r="S65" s="252">
        <v>1.1036892193392414</v>
      </c>
      <c r="T65" s="253">
        <v>1.7445053573486431</v>
      </c>
      <c r="U65" s="249"/>
      <c r="V65" s="254">
        <v>-2.7678216109410001</v>
      </c>
    </row>
    <row r="66" spans="1:22" x14ac:dyDescent="0.25">
      <c r="A66" s="238">
        <v>36980</v>
      </c>
      <c r="B66" s="239">
        <v>1619.54</v>
      </c>
      <c r="C66" s="242">
        <f t="shared" si="0"/>
        <v>1.0727025699396457E-2</v>
      </c>
      <c r="G66" s="1095"/>
      <c r="H66" s="245">
        <v>63</v>
      </c>
      <c r="I66" s="251">
        <v>-4.8443428021915853</v>
      </c>
      <c r="J66" s="252">
        <v>-4.203526664182184</v>
      </c>
      <c r="K66" s="252">
        <v>-3.8756501038951838</v>
      </c>
      <c r="L66" s="252">
        <v>-3.4976294283743052</v>
      </c>
      <c r="M66" s="252">
        <v>-3.0398760079008262</v>
      </c>
      <c r="N66" s="252">
        <v>-2.4277688722623996</v>
      </c>
      <c r="O66" s="252">
        <v>-1.9005467436689862</v>
      </c>
      <c r="P66" s="252">
        <v>-1.2884396080305596</v>
      </c>
      <c r="Q66" s="252">
        <v>-0.83068618755708057</v>
      </c>
      <c r="R66" s="252">
        <v>-0.45266551203620198</v>
      </c>
      <c r="S66" s="252">
        <v>-0.12478895174920179</v>
      </c>
      <c r="T66" s="253">
        <v>0.51602718626019994</v>
      </c>
      <c r="U66" s="249"/>
      <c r="V66" s="254">
        <v>-1.777007001453585</v>
      </c>
    </row>
    <row r="67" spans="1:22" x14ac:dyDescent="0.25">
      <c r="A67" s="238">
        <v>36983</v>
      </c>
      <c r="B67" s="239">
        <v>1599.3500000000001</v>
      </c>
      <c r="C67" s="242">
        <f t="shared" si="0"/>
        <v>-1.2544861601550579E-2</v>
      </c>
      <c r="G67" s="1095"/>
      <c r="H67" s="245">
        <v>64</v>
      </c>
      <c r="I67" s="251">
        <v>-4.1393176278238313</v>
      </c>
      <c r="J67" s="252">
        <v>-3.4985014898144291</v>
      </c>
      <c r="K67" s="252">
        <v>-3.1706249295274294</v>
      </c>
      <c r="L67" s="252">
        <v>-2.7926042540065508</v>
      </c>
      <c r="M67" s="252">
        <v>-2.3348508335330718</v>
      </c>
      <c r="N67" s="252">
        <v>-1.7227436978946449</v>
      </c>
      <c r="O67" s="252">
        <v>-1.1955215693012315</v>
      </c>
      <c r="P67" s="252">
        <v>-0.58341443366280477</v>
      </c>
      <c r="Q67" s="252">
        <v>-0.12566101318932588</v>
      </c>
      <c r="R67" s="252">
        <v>0.25235966233155271</v>
      </c>
      <c r="S67" s="252">
        <v>0.5802362226185529</v>
      </c>
      <c r="T67" s="253">
        <v>1.2210523606279546</v>
      </c>
      <c r="U67" s="249"/>
      <c r="V67" s="254">
        <v>-1.0035749687193094</v>
      </c>
    </row>
    <row r="68" spans="1:22" x14ac:dyDescent="0.25">
      <c r="A68" s="238">
        <v>36984</v>
      </c>
      <c r="B68" s="239">
        <v>1544.3500000000001</v>
      </c>
      <c r="C68" s="242">
        <f t="shared" si="0"/>
        <v>-3.4994186852361941E-2</v>
      </c>
      <c r="G68" s="1095"/>
      <c r="H68" s="245">
        <v>65</v>
      </c>
      <c r="I68" s="251">
        <v>-3.5147992672452086</v>
      </c>
      <c r="J68" s="252">
        <v>-2.8739831292358069</v>
      </c>
      <c r="K68" s="252">
        <v>-2.5461065689488067</v>
      </c>
      <c r="L68" s="252">
        <v>-2.1680858934279281</v>
      </c>
      <c r="M68" s="252">
        <v>-1.7103324729544491</v>
      </c>
      <c r="N68" s="252">
        <v>-1.0982253373160225</v>
      </c>
      <c r="O68" s="252">
        <v>-0.57100320872260901</v>
      </c>
      <c r="P68" s="252">
        <v>4.1103926915817768E-2</v>
      </c>
      <c r="Q68" s="252">
        <v>0.49885734738929666</v>
      </c>
      <c r="R68" s="252">
        <v>0.87687802291017525</v>
      </c>
      <c r="S68" s="252">
        <v>1.2047545831971753</v>
      </c>
      <c r="T68" s="253">
        <v>1.8455707212065771</v>
      </c>
      <c r="U68" s="249"/>
      <c r="V68" s="254">
        <v>-1.4139525182954045</v>
      </c>
    </row>
    <row r="69" spans="1:22" x14ac:dyDescent="0.25">
      <c r="A69" s="238">
        <v>36985</v>
      </c>
      <c r="B69" s="239">
        <v>1540.17</v>
      </c>
      <c r="C69" s="242">
        <f t="shared" ref="C69:C132" si="1">LN(B69/B68)</f>
        <v>-2.7103099080438182E-3</v>
      </c>
      <c r="G69" s="1095"/>
      <c r="H69" s="245">
        <v>66</v>
      </c>
      <c r="I69" s="251">
        <v>-3.8016502766806264</v>
      </c>
      <c r="J69" s="252">
        <v>-3.1608341386712242</v>
      </c>
      <c r="K69" s="252">
        <v>-2.8329575783842245</v>
      </c>
      <c r="L69" s="252">
        <v>-2.4549369028633459</v>
      </c>
      <c r="M69" s="252">
        <v>-1.9971834823898669</v>
      </c>
      <c r="N69" s="252">
        <v>-1.38507634675144</v>
      </c>
      <c r="O69" s="252">
        <v>-0.85785421815802665</v>
      </c>
      <c r="P69" s="252">
        <v>-0.24574708251959987</v>
      </c>
      <c r="Q69" s="252">
        <v>0.21200633795387902</v>
      </c>
      <c r="R69" s="252">
        <v>0.59002701347475761</v>
      </c>
      <c r="S69" s="252">
        <v>0.9179035737617578</v>
      </c>
      <c r="T69" s="253">
        <v>1.5587197117711595</v>
      </c>
      <c r="U69" s="249"/>
      <c r="V69" s="254">
        <v>-1.330250829675991</v>
      </c>
    </row>
    <row r="70" spans="1:22" x14ac:dyDescent="0.25">
      <c r="A70" s="238">
        <v>36986</v>
      </c>
      <c r="B70" s="239">
        <v>1607.46</v>
      </c>
      <c r="C70" s="242">
        <f t="shared" si="1"/>
        <v>4.27624935173452E-2</v>
      </c>
      <c r="G70" s="1095"/>
      <c r="H70" s="245">
        <v>67</v>
      </c>
      <c r="I70" s="251">
        <v>-3.7502521050427262</v>
      </c>
      <c r="J70" s="252">
        <v>-3.1094359670333249</v>
      </c>
      <c r="K70" s="252">
        <v>-2.7815594067463243</v>
      </c>
      <c r="L70" s="252">
        <v>-2.4035387312254457</v>
      </c>
      <c r="M70" s="252">
        <v>-1.9457853107519671</v>
      </c>
      <c r="N70" s="252">
        <v>-1.3336781751135403</v>
      </c>
      <c r="O70" s="252">
        <v>-0.80645604652012692</v>
      </c>
      <c r="P70" s="252">
        <v>-0.19434891088170014</v>
      </c>
      <c r="Q70" s="252">
        <v>0.26340450959177875</v>
      </c>
      <c r="R70" s="252">
        <v>0.64142518511265734</v>
      </c>
      <c r="S70" s="252">
        <v>0.96930174539965752</v>
      </c>
      <c r="T70" s="253">
        <v>1.6101178834090593</v>
      </c>
      <c r="U70" s="249"/>
      <c r="V70" s="254">
        <v>-1.5491284059365564</v>
      </c>
    </row>
    <row r="71" spans="1:22" x14ac:dyDescent="0.25">
      <c r="A71" s="238">
        <v>36987</v>
      </c>
      <c r="B71" s="239">
        <v>1575.71</v>
      </c>
      <c r="C71" s="242">
        <f t="shared" si="1"/>
        <v>-1.9949329109330081E-2</v>
      </c>
      <c r="G71" s="1095"/>
      <c r="H71" s="245">
        <v>68</v>
      </c>
      <c r="I71" s="251">
        <v>-3.915802843303382</v>
      </c>
      <c r="J71" s="252">
        <v>-3.2749867052939803</v>
      </c>
      <c r="K71" s="252">
        <v>-2.9471101450069801</v>
      </c>
      <c r="L71" s="252">
        <v>-2.5690894694861015</v>
      </c>
      <c r="M71" s="252">
        <v>-2.1113360490126225</v>
      </c>
      <c r="N71" s="252">
        <v>-1.4992289133741958</v>
      </c>
      <c r="O71" s="252">
        <v>-0.97200678478078251</v>
      </c>
      <c r="P71" s="252">
        <v>-0.35989964914235573</v>
      </c>
      <c r="Q71" s="252">
        <v>9.7853771331123163E-2</v>
      </c>
      <c r="R71" s="252">
        <v>0.47587444685200175</v>
      </c>
      <c r="S71" s="252">
        <v>0.80375100713900194</v>
      </c>
      <c r="T71" s="253">
        <v>1.4445671451484037</v>
      </c>
      <c r="U71" s="249"/>
      <c r="V71" s="254">
        <v>-1.5401038817841395</v>
      </c>
    </row>
    <row r="72" spans="1:22" x14ac:dyDescent="0.25">
      <c r="A72" s="238">
        <v>36990</v>
      </c>
      <c r="B72" s="239">
        <v>1588.5</v>
      </c>
      <c r="C72" s="242">
        <f t="shared" si="1"/>
        <v>8.0842103759758317E-3</v>
      </c>
      <c r="G72" s="1095"/>
      <c r="H72" s="245">
        <v>69</v>
      </c>
      <c r="I72" s="251">
        <v>-3.9162622272681222</v>
      </c>
      <c r="J72" s="252">
        <v>-3.2754460892587209</v>
      </c>
      <c r="K72" s="252">
        <v>-2.9475695289717203</v>
      </c>
      <c r="L72" s="252">
        <v>-2.5695488534508417</v>
      </c>
      <c r="M72" s="252">
        <v>-2.1117954329773632</v>
      </c>
      <c r="N72" s="252">
        <v>-1.4996882973389363</v>
      </c>
      <c r="O72" s="252">
        <v>-0.97246616874552294</v>
      </c>
      <c r="P72" s="252">
        <v>-0.36035903310709616</v>
      </c>
      <c r="Q72" s="252">
        <v>9.7394387366382729E-2</v>
      </c>
      <c r="R72" s="252">
        <v>0.47541506288726132</v>
      </c>
      <c r="S72" s="252">
        <v>0.8032916231742615</v>
      </c>
      <c r="T72" s="253">
        <v>1.4441077611836632</v>
      </c>
      <c r="U72" s="249"/>
      <c r="V72" s="254">
        <v>-1.606289025020065</v>
      </c>
    </row>
    <row r="73" spans="1:22" x14ac:dyDescent="0.25">
      <c r="A73" s="238">
        <v>36991</v>
      </c>
      <c r="B73" s="239">
        <v>1631.68</v>
      </c>
      <c r="C73" s="242">
        <f t="shared" si="1"/>
        <v>2.6819984157220086E-2</v>
      </c>
      <c r="G73" s="1095"/>
      <c r="H73" s="245">
        <v>70</v>
      </c>
      <c r="I73" s="251">
        <v>-3.9670354562426833</v>
      </c>
      <c r="J73" s="252">
        <v>-3.3262193182332815</v>
      </c>
      <c r="K73" s="252">
        <v>-2.9983427579462814</v>
      </c>
      <c r="L73" s="252">
        <v>-2.6203220824254028</v>
      </c>
      <c r="M73" s="252">
        <v>-2.1625686619519238</v>
      </c>
      <c r="N73" s="252">
        <v>-1.5504615263134971</v>
      </c>
      <c r="O73" s="252">
        <v>-1.0232393977200838</v>
      </c>
      <c r="P73" s="252">
        <v>-0.41113226208165699</v>
      </c>
      <c r="Q73" s="252">
        <v>4.6621158391821904E-2</v>
      </c>
      <c r="R73" s="252">
        <v>0.42464183391270049</v>
      </c>
      <c r="S73" s="252">
        <v>0.75251839419970068</v>
      </c>
      <c r="T73" s="253">
        <v>1.3933345322091024</v>
      </c>
      <c r="U73" s="249"/>
      <c r="V73" s="254">
        <v>-0.54888022666981739</v>
      </c>
    </row>
    <row r="74" spans="1:22" x14ac:dyDescent="0.25">
      <c r="A74" s="238">
        <v>36992</v>
      </c>
      <c r="B74" s="239">
        <v>1628.23</v>
      </c>
      <c r="C74" s="242">
        <f t="shared" si="1"/>
        <v>-2.1166236417737858E-3</v>
      </c>
      <c r="G74" s="1095"/>
      <c r="H74" s="245">
        <v>71</v>
      </c>
      <c r="I74" s="251">
        <v>-3.1584459899263879</v>
      </c>
      <c r="J74" s="252">
        <v>-2.5176298519169862</v>
      </c>
      <c r="K74" s="252">
        <v>-2.189753291629986</v>
      </c>
      <c r="L74" s="252">
        <v>-1.8117326161091074</v>
      </c>
      <c r="M74" s="252">
        <v>-1.3539791956356284</v>
      </c>
      <c r="N74" s="252">
        <v>-0.74187205999720163</v>
      </c>
      <c r="O74" s="252">
        <v>-0.2146499314037883</v>
      </c>
      <c r="P74" s="252">
        <v>0.39745720423463848</v>
      </c>
      <c r="Q74" s="252">
        <v>0.85521062470811737</v>
      </c>
      <c r="R74" s="252">
        <v>1.2332313002289959</v>
      </c>
      <c r="S74" s="252">
        <v>1.561107860515996</v>
      </c>
      <c r="T74" s="253">
        <v>2.2019239985253978</v>
      </c>
      <c r="U74" s="249"/>
      <c r="V74" s="254">
        <v>-1.0269296597623376</v>
      </c>
    </row>
    <row r="75" spans="1:22" x14ac:dyDescent="0.25">
      <c r="A75" s="238">
        <v>36993</v>
      </c>
      <c r="B75" s="239">
        <v>1652.83</v>
      </c>
      <c r="C75" s="242">
        <f t="shared" si="1"/>
        <v>1.4995434992086236E-2</v>
      </c>
      <c r="G75" s="1095"/>
      <c r="H75" s="245">
        <v>72</v>
      </c>
      <c r="I75" s="251">
        <v>-3.4889845963996313</v>
      </c>
      <c r="J75" s="252">
        <v>-2.8481684583902296</v>
      </c>
      <c r="K75" s="252">
        <v>-2.5202918981032294</v>
      </c>
      <c r="L75" s="252">
        <v>-2.1422712225823508</v>
      </c>
      <c r="M75" s="252">
        <v>-1.6845178021088718</v>
      </c>
      <c r="N75" s="252">
        <v>-1.0724106664704451</v>
      </c>
      <c r="O75" s="252">
        <v>-0.54518853787703181</v>
      </c>
      <c r="P75" s="252">
        <v>6.6918597761394971E-2</v>
      </c>
      <c r="Q75" s="252">
        <v>0.52467201823487386</v>
      </c>
      <c r="R75" s="252">
        <v>0.90269269375575245</v>
      </c>
      <c r="S75" s="252">
        <v>1.2305692540427526</v>
      </c>
      <c r="T75" s="253">
        <v>1.8713853920521544</v>
      </c>
      <c r="U75" s="249"/>
      <c r="V75" s="254">
        <v>-1.3154813760429491</v>
      </c>
    </row>
    <row r="76" spans="1:22" x14ac:dyDescent="0.25">
      <c r="A76" s="238">
        <v>36997</v>
      </c>
      <c r="B76" s="239">
        <v>1647.5</v>
      </c>
      <c r="C76" s="242">
        <f t="shared" si="1"/>
        <v>-3.2299828404409327E-3</v>
      </c>
      <c r="G76" s="1095"/>
      <c r="H76" s="245">
        <v>73</v>
      </c>
      <c r="I76" s="251">
        <v>-3.724988928145613</v>
      </c>
      <c r="J76" s="252">
        <v>-3.0841727901362113</v>
      </c>
      <c r="K76" s="252">
        <v>-2.7562962298492111</v>
      </c>
      <c r="L76" s="252">
        <v>-2.3782755543283325</v>
      </c>
      <c r="M76" s="252">
        <v>-1.9205221338548535</v>
      </c>
      <c r="N76" s="252">
        <v>-1.3084149982164268</v>
      </c>
      <c r="O76" s="252">
        <v>-0.78119286962301349</v>
      </c>
      <c r="P76" s="252">
        <v>-0.16908573398458671</v>
      </c>
      <c r="Q76" s="252">
        <v>0.28866768648889218</v>
      </c>
      <c r="R76" s="252">
        <v>0.66668836200977077</v>
      </c>
      <c r="S76" s="252">
        <v>0.99456492229677096</v>
      </c>
      <c r="T76" s="253">
        <v>1.6353810603061727</v>
      </c>
      <c r="U76" s="249"/>
      <c r="V76" s="254">
        <v>-1.463161671361235</v>
      </c>
    </row>
    <row r="77" spans="1:22" x14ac:dyDescent="0.25">
      <c r="A77" s="238">
        <v>36998</v>
      </c>
      <c r="B77" s="239">
        <v>1664.44</v>
      </c>
      <c r="C77" s="242">
        <f t="shared" si="1"/>
        <v>1.0229743127794478E-2</v>
      </c>
      <c r="G77" s="1095"/>
      <c r="H77" s="245">
        <v>74</v>
      </c>
      <c r="I77" s="251">
        <v>-3.848754832936311</v>
      </c>
      <c r="J77" s="252">
        <v>-3.2079386949269093</v>
      </c>
      <c r="K77" s="252">
        <v>-2.8800621346399091</v>
      </c>
      <c r="L77" s="252">
        <v>-2.5020414591190305</v>
      </c>
      <c r="M77" s="252">
        <v>-2.0442880386455515</v>
      </c>
      <c r="N77" s="252">
        <v>-1.4321809030071249</v>
      </c>
      <c r="O77" s="252">
        <v>-0.90495877441371153</v>
      </c>
      <c r="P77" s="252">
        <v>-0.29285163877528475</v>
      </c>
      <c r="Q77" s="252">
        <v>0.16490178169819414</v>
      </c>
      <c r="R77" s="252">
        <v>0.54292245721907273</v>
      </c>
      <c r="S77" s="252">
        <v>0.87079901750607291</v>
      </c>
      <c r="T77" s="253">
        <v>1.5116151555154747</v>
      </c>
      <c r="U77" s="249"/>
      <c r="V77" s="254">
        <v>-0.14089939234442017</v>
      </c>
    </row>
    <row r="78" spans="1:22" x14ac:dyDescent="0.25">
      <c r="A78" s="238">
        <v>36999</v>
      </c>
      <c r="B78" s="239">
        <v>1729.26</v>
      </c>
      <c r="C78" s="242">
        <f t="shared" si="1"/>
        <v>3.8204840813354977E-2</v>
      </c>
      <c r="G78" s="1095"/>
      <c r="H78" s="245">
        <v>75</v>
      </c>
      <c r="I78" s="251">
        <v>-2.840321532773137</v>
      </c>
      <c r="J78" s="252">
        <v>-2.1995053947637353</v>
      </c>
      <c r="K78" s="252">
        <v>-1.8716288344767351</v>
      </c>
      <c r="L78" s="252">
        <v>-1.4936081589558565</v>
      </c>
      <c r="M78" s="252">
        <v>-1.0358547384823775</v>
      </c>
      <c r="N78" s="252">
        <v>-0.42374760284395074</v>
      </c>
      <c r="O78" s="252">
        <v>0.10347452574946259</v>
      </c>
      <c r="P78" s="252">
        <v>0.71558166138788937</v>
      </c>
      <c r="Q78" s="252">
        <v>1.1733350818613681</v>
      </c>
      <c r="R78" s="252">
        <v>1.5513557573822467</v>
      </c>
      <c r="S78" s="252">
        <v>1.8792323176692469</v>
      </c>
      <c r="T78" s="253">
        <v>2.5200484556786487</v>
      </c>
      <c r="U78" s="249"/>
      <c r="V78" s="254">
        <v>0.39263818450661292</v>
      </c>
    </row>
    <row r="79" spans="1:22" x14ac:dyDescent="0.25">
      <c r="A79" s="238">
        <v>37000</v>
      </c>
      <c r="B79" s="239">
        <v>1750.98</v>
      </c>
      <c r="C79" s="242">
        <f t="shared" si="1"/>
        <v>1.2482059858261917E-2</v>
      </c>
      <c r="G79" s="1095"/>
      <c r="H79" s="245">
        <v>76</v>
      </c>
      <c r="I79" s="251">
        <v>-2.386236581580151</v>
      </c>
      <c r="J79" s="252">
        <v>-1.7454204435707492</v>
      </c>
      <c r="K79" s="252">
        <v>-1.417543883283749</v>
      </c>
      <c r="L79" s="252">
        <v>-1.0395232077628704</v>
      </c>
      <c r="M79" s="252">
        <v>-0.58176978728939155</v>
      </c>
      <c r="N79" s="252">
        <v>3.0337348349035231E-2</v>
      </c>
      <c r="O79" s="252">
        <v>0.55755947694244856</v>
      </c>
      <c r="P79" s="252">
        <v>1.1696666125808752</v>
      </c>
      <c r="Q79" s="252">
        <v>1.6274200330543542</v>
      </c>
      <c r="R79" s="252">
        <v>2.0054407085752328</v>
      </c>
      <c r="S79" s="252">
        <v>2.333317268862233</v>
      </c>
      <c r="T79" s="253">
        <v>2.9741334068716347</v>
      </c>
      <c r="U79" s="249"/>
      <c r="V79" s="254">
        <v>-4.2617855081737654E-2</v>
      </c>
    </row>
    <row r="80" spans="1:22" x14ac:dyDescent="0.25">
      <c r="A80" s="238">
        <v>37001</v>
      </c>
      <c r="B80" s="239">
        <v>1736.02</v>
      </c>
      <c r="C80" s="242">
        <f t="shared" si="1"/>
        <v>-8.580494284814371E-3</v>
      </c>
      <c r="G80" s="1095"/>
      <c r="H80" s="245">
        <v>77</v>
      </c>
      <c r="I80" s="251">
        <v>-2.6997624742606456</v>
      </c>
      <c r="J80" s="252">
        <v>-2.0589463362512439</v>
      </c>
      <c r="K80" s="252">
        <v>-1.7310697759642435</v>
      </c>
      <c r="L80" s="252">
        <v>-1.3530491004433649</v>
      </c>
      <c r="M80" s="252">
        <v>-0.89529567996988613</v>
      </c>
      <c r="N80" s="252">
        <v>-0.28318854433145929</v>
      </c>
      <c r="O80" s="252">
        <v>0.24403358426195404</v>
      </c>
      <c r="P80" s="252">
        <v>0.85614071990038076</v>
      </c>
      <c r="Q80" s="252">
        <v>1.3138941403738598</v>
      </c>
      <c r="R80" s="252">
        <v>1.6919148158947384</v>
      </c>
      <c r="S80" s="252">
        <v>2.0197913761817383</v>
      </c>
      <c r="T80" s="253">
        <v>2.6606075141911401</v>
      </c>
      <c r="U80" s="249"/>
      <c r="V80" s="254">
        <v>0.49244027663403472</v>
      </c>
    </row>
    <row r="81" spans="1:22" x14ac:dyDescent="0.25">
      <c r="A81" s="238">
        <v>37004</v>
      </c>
      <c r="B81" s="239">
        <v>1710.01</v>
      </c>
      <c r="C81" s="242">
        <f t="shared" si="1"/>
        <v>-1.5095918458436761E-2</v>
      </c>
      <c r="G81" s="1095"/>
      <c r="H81" s="245">
        <v>78</v>
      </c>
      <c r="I81" s="251">
        <v>-2.3034397265743003</v>
      </c>
      <c r="J81" s="252">
        <v>-1.6626235885648988</v>
      </c>
      <c r="K81" s="252">
        <v>-1.3347470282778986</v>
      </c>
      <c r="L81" s="252">
        <v>-0.95672635275702</v>
      </c>
      <c r="M81" s="252">
        <v>-0.49897293228354112</v>
      </c>
      <c r="N81" s="252">
        <v>0.11313420335488567</v>
      </c>
      <c r="O81" s="252">
        <v>0.640356331948299</v>
      </c>
      <c r="P81" s="252">
        <v>1.2524634675867259</v>
      </c>
      <c r="Q81" s="252">
        <v>1.7102168880602047</v>
      </c>
      <c r="R81" s="252">
        <v>2.0882375635810835</v>
      </c>
      <c r="S81" s="252">
        <v>2.4161141238680832</v>
      </c>
      <c r="T81" s="253">
        <v>3.0569302618774854</v>
      </c>
      <c r="U81" s="249"/>
      <c r="V81" s="254">
        <v>-1.3654569359648017</v>
      </c>
    </row>
    <row r="82" spans="1:22" x14ac:dyDescent="0.25">
      <c r="A82" s="238">
        <v>37005</v>
      </c>
      <c r="B82" s="239">
        <v>1689.23</v>
      </c>
      <c r="C82" s="242">
        <f t="shared" si="1"/>
        <v>-1.2226414644402396E-2</v>
      </c>
      <c r="G82" s="1095"/>
      <c r="H82" s="245">
        <v>79</v>
      </c>
      <c r="I82" s="251">
        <v>-3.7104643370233532</v>
      </c>
      <c r="J82" s="252">
        <v>-3.0696481990139515</v>
      </c>
      <c r="K82" s="252">
        <v>-2.7417716387269513</v>
      </c>
      <c r="L82" s="252">
        <v>-2.3637509632060727</v>
      </c>
      <c r="M82" s="252">
        <v>-1.9059975427325937</v>
      </c>
      <c r="N82" s="252">
        <v>-1.293890407094167</v>
      </c>
      <c r="O82" s="252">
        <v>-0.7666682785007537</v>
      </c>
      <c r="P82" s="252">
        <v>-0.15456114286232692</v>
      </c>
      <c r="Q82" s="252">
        <v>0.30319227761115197</v>
      </c>
      <c r="R82" s="252">
        <v>0.68121295313203056</v>
      </c>
      <c r="S82" s="252">
        <v>1.0090895134190307</v>
      </c>
      <c r="T82" s="253">
        <v>1.6499056514284325</v>
      </c>
      <c r="U82" s="249"/>
      <c r="V82" s="254">
        <v>-0.44469564278857132</v>
      </c>
    </row>
    <row r="83" spans="1:22" x14ac:dyDescent="0.25">
      <c r="A83" s="238">
        <v>37006</v>
      </c>
      <c r="B83" s="239">
        <v>1716.17</v>
      </c>
      <c r="C83" s="242">
        <f t="shared" si="1"/>
        <v>1.5822259951684396E-2</v>
      </c>
      <c r="G83" s="1095"/>
      <c r="H83" s="245">
        <v>80</v>
      </c>
      <c r="I83" s="251">
        <v>-3.0671171063597575</v>
      </c>
      <c r="J83" s="252">
        <v>-2.4263009683503558</v>
      </c>
      <c r="K83" s="252">
        <v>-2.0984244080633556</v>
      </c>
      <c r="L83" s="252">
        <v>-1.720403732542477</v>
      </c>
      <c r="M83" s="252">
        <v>-1.262650312068998</v>
      </c>
      <c r="N83" s="252">
        <v>-0.65054317643057136</v>
      </c>
      <c r="O83" s="252">
        <v>-0.12332104783715803</v>
      </c>
      <c r="P83" s="252">
        <v>0.48878608780126875</v>
      </c>
      <c r="Q83" s="252">
        <v>0.94653950827474764</v>
      </c>
      <c r="R83" s="252">
        <v>1.3245601837956262</v>
      </c>
      <c r="S83" s="252">
        <v>1.6524367440826264</v>
      </c>
      <c r="T83" s="253">
        <v>2.2932528820920282</v>
      </c>
      <c r="U83" s="249"/>
      <c r="V83" s="254">
        <v>-3.2491599424698125</v>
      </c>
    </row>
    <row r="84" spans="1:22" x14ac:dyDescent="0.25">
      <c r="A84" s="238">
        <v>37007</v>
      </c>
      <c r="B84" s="239">
        <v>1724.38</v>
      </c>
      <c r="C84" s="242">
        <f t="shared" si="1"/>
        <v>4.7725018285468598E-3</v>
      </c>
      <c r="G84" s="1095"/>
      <c r="H84" s="245">
        <v>81</v>
      </c>
      <c r="I84" s="251">
        <v>-5.1889862585295905</v>
      </c>
      <c r="J84" s="252">
        <v>-4.5481701205201883</v>
      </c>
      <c r="K84" s="252">
        <v>-4.2202935602331886</v>
      </c>
      <c r="L84" s="252">
        <v>-3.84227288471231</v>
      </c>
      <c r="M84" s="252">
        <v>-3.384519464238831</v>
      </c>
      <c r="N84" s="252">
        <v>-2.7724123286004043</v>
      </c>
      <c r="O84" s="252">
        <v>-2.245190200006991</v>
      </c>
      <c r="P84" s="252">
        <v>-1.6330830643685643</v>
      </c>
      <c r="Q84" s="252">
        <v>-1.1753296438950853</v>
      </c>
      <c r="R84" s="252">
        <v>-0.79730896837420673</v>
      </c>
      <c r="S84" s="252">
        <v>-0.46943240808720654</v>
      </c>
      <c r="T84" s="253">
        <v>0.17138372992219519</v>
      </c>
      <c r="U84" s="249"/>
      <c r="V84" s="254">
        <v>-1.6905545291171455</v>
      </c>
    </row>
    <row r="85" spans="1:22" x14ac:dyDescent="0.25">
      <c r="A85" s="238">
        <v>37008</v>
      </c>
      <c r="B85" s="239">
        <v>1750.32</v>
      </c>
      <c r="C85" s="242">
        <f t="shared" si="1"/>
        <v>1.4931062775435759E-2</v>
      </c>
      <c r="G85" s="1095"/>
      <c r="H85" s="245">
        <v>82</v>
      </c>
      <c r="I85" s="251">
        <v>-4.0883862532840993</v>
      </c>
      <c r="J85" s="252">
        <v>-3.4475701152746976</v>
      </c>
      <c r="K85" s="252">
        <v>-3.1196935549876974</v>
      </c>
      <c r="L85" s="252">
        <v>-2.7416728794668188</v>
      </c>
      <c r="M85" s="252">
        <v>-2.2839194589933398</v>
      </c>
      <c r="N85" s="252">
        <v>-1.6718123233549131</v>
      </c>
      <c r="O85" s="252">
        <v>-1.1445901947614998</v>
      </c>
      <c r="P85" s="252">
        <v>-0.53248305912307303</v>
      </c>
      <c r="Q85" s="252">
        <v>-7.4729638649594143E-2</v>
      </c>
      <c r="R85" s="252">
        <v>0.30329103687128445</v>
      </c>
      <c r="S85" s="252">
        <v>0.63116759715828463</v>
      </c>
      <c r="T85" s="253">
        <v>1.2719837351676864</v>
      </c>
      <c r="U85" s="249"/>
      <c r="V85" s="254">
        <v>-0.64466222549423868</v>
      </c>
    </row>
    <row r="86" spans="1:22" x14ac:dyDescent="0.25">
      <c r="A86" s="238">
        <v>37011</v>
      </c>
      <c r="B86" s="239">
        <v>1745.39</v>
      </c>
      <c r="C86" s="242">
        <f t="shared" si="1"/>
        <v>-2.8206019769977473E-3</v>
      </c>
      <c r="G86" s="1095"/>
      <c r="H86" s="245">
        <v>83</v>
      </c>
      <c r="I86" s="251">
        <v>-3.2373038813478061</v>
      </c>
      <c r="J86" s="252">
        <v>-2.5964877433384048</v>
      </c>
      <c r="K86" s="252">
        <v>-2.2686111830514042</v>
      </c>
      <c r="L86" s="252">
        <v>-1.8905905075305258</v>
      </c>
      <c r="M86" s="252">
        <v>-1.432837087057047</v>
      </c>
      <c r="N86" s="252">
        <v>-0.82072995141862015</v>
      </c>
      <c r="O86" s="252">
        <v>-0.29350782282520682</v>
      </c>
      <c r="P86" s="252">
        <v>0.31859931281321996</v>
      </c>
      <c r="Q86" s="252">
        <v>0.77635273328669885</v>
      </c>
      <c r="R86" s="252">
        <v>1.1543734088075774</v>
      </c>
      <c r="S86" s="252">
        <v>1.4822499690945776</v>
      </c>
      <c r="T86" s="253">
        <v>2.1230661071039796</v>
      </c>
      <c r="U86" s="249"/>
      <c r="V86" s="254">
        <v>-1.227390141771681</v>
      </c>
    </row>
    <row r="87" spans="1:22" x14ac:dyDescent="0.25">
      <c r="A87" s="238">
        <v>37012</v>
      </c>
      <c r="B87" s="239">
        <v>1769.1200000000001</v>
      </c>
      <c r="C87" s="242">
        <f t="shared" si="1"/>
        <v>1.3504221427002076E-2</v>
      </c>
      <c r="G87" s="1095"/>
      <c r="H87" s="245">
        <v>84</v>
      </c>
      <c r="I87" s="251">
        <v>-3.6462189040670192</v>
      </c>
      <c r="J87" s="252">
        <v>-3.0054027660576175</v>
      </c>
      <c r="K87" s="252">
        <v>-2.6775262057706173</v>
      </c>
      <c r="L87" s="252">
        <v>-2.2995055302497387</v>
      </c>
      <c r="M87" s="252">
        <v>-1.8417521097762597</v>
      </c>
      <c r="N87" s="252">
        <v>-1.229644974137833</v>
      </c>
      <c r="O87" s="252">
        <v>-0.70242284554441969</v>
      </c>
      <c r="P87" s="252">
        <v>-9.0315709905992914E-2</v>
      </c>
      <c r="Q87" s="252">
        <v>0.36743771056748598</v>
      </c>
      <c r="R87" s="252">
        <v>0.74545838608836457</v>
      </c>
      <c r="S87" s="252">
        <v>1.0733349463753648</v>
      </c>
      <c r="T87" s="253">
        <v>1.7141510843847665</v>
      </c>
      <c r="U87" s="249"/>
      <c r="V87" s="254">
        <v>-1.0419854616374036</v>
      </c>
    </row>
    <row r="88" spans="1:22" x14ac:dyDescent="0.25">
      <c r="A88" s="238">
        <v>37013</v>
      </c>
      <c r="B88" s="239">
        <v>1770.66</v>
      </c>
      <c r="C88" s="242">
        <f t="shared" si="1"/>
        <v>8.701106267396657E-4</v>
      </c>
      <c r="G88" s="1095"/>
      <c r="H88" s="245">
        <v>85</v>
      </c>
      <c r="I88" s="251">
        <v>-3.5222730076218656</v>
      </c>
      <c r="J88" s="252">
        <v>-2.8814568696124638</v>
      </c>
      <c r="K88" s="252">
        <v>-2.5535803093254636</v>
      </c>
      <c r="L88" s="252">
        <v>-2.1755596338045851</v>
      </c>
      <c r="M88" s="252">
        <v>-1.7178062133311063</v>
      </c>
      <c r="N88" s="252">
        <v>-1.1056990776926794</v>
      </c>
      <c r="O88" s="252">
        <v>-0.57847694909926617</v>
      </c>
      <c r="P88" s="252">
        <v>3.3630186539160611E-2</v>
      </c>
      <c r="Q88" s="252">
        <v>0.4913836070126395</v>
      </c>
      <c r="R88" s="252">
        <v>0.86940428253351809</v>
      </c>
      <c r="S88" s="252">
        <v>1.1972808428205184</v>
      </c>
      <c r="T88" s="253">
        <v>1.8380969808299201</v>
      </c>
      <c r="U88" s="249"/>
      <c r="V88" s="254">
        <v>0.44135826841527892</v>
      </c>
    </row>
    <row r="89" spans="1:22" x14ac:dyDescent="0.25">
      <c r="A89" s="238">
        <v>37014</v>
      </c>
      <c r="B89" s="239">
        <v>1744.54</v>
      </c>
      <c r="C89" s="242">
        <f t="shared" si="1"/>
        <v>-1.486144785079656E-2</v>
      </c>
      <c r="G89" s="1095"/>
      <c r="H89" s="245">
        <v>86</v>
      </c>
      <c r="I89" s="251">
        <v>-2.3792755177577263</v>
      </c>
      <c r="J89" s="252">
        <v>-1.7384593797483245</v>
      </c>
      <c r="K89" s="252">
        <v>-1.4105828194613244</v>
      </c>
      <c r="L89" s="252">
        <v>-1.0325621439404458</v>
      </c>
      <c r="M89" s="252">
        <v>-0.57480872346696699</v>
      </c>
      <c r="N89" s="252">
        <v>3.7298412171459794E-2</v>
      </c>
      <c r="O89" s="252">
        <v>0.56452054076487312</v>
      </c>
      <c r="P89" s="252">
        <v>1.1766276764032999</v>
      </c>
      <c r="Q89" s="252">
        <v>1.6343810968767789</v>
      </c>
      <c r="R89" s="252">
        <v>2.0124017723976575</v>
      </c>
      <c r="S89" s="252">
        <v>2.3402783326846577</v>
      </c>
      <c r="T89" s="253">
        <v>2.9810944706940594</v>
      </c>
      <c r="U89" s="249"/>
      <c r="V89" s="254">
        <v>-0.59432635984425319</v>
      </c>
    </row>
    <row r="90" spans="1:22" x14ac:dyDescent="0.25">
      <c r="A90" s="238">
        <v>37015</v>
      </c>
      <c r="B90" s="239">
        <v>1769.78</v>
      </c>
      <c r="C90" s="242">
        <f t="shared" si="1"/>
        <v>1.4364334487416615E-2</v>
      </c>
      <c r="G90" s="1095"/>
      <c r="H90" s="245">
        <v>87</v>
      </c>
      <c r="I90" s="251">
        <v>-3.1225187900920552</v>
      </c>
      <c r="J90" s="252">
        <v>-2.4817026520826535</v>
      </c>
      <c r="K90" s="252">
        <v>-2.1538260917956533</v>
      </c>
      <c r="L90" s="252">
        <v>-1.7758054162747747</v>
      </c>
      <c r="M90" s="252">
        <v>-1.318051995801296</v>
      </c>
      <c r="N90" s="252">
        <v>-0.70594486016286906</v>
      </c>
      <c r="O90" s="252">
        <v>-0.17872273156945578</v>
      </c>
      <c r="P90" s="252">
        <v>0.433384404068971</v>
      </c>
      <c r="Q90" s="252">
        <v>0.89113782454244994</v>
      </c>
      <c r="R90" s="252">
        <v>1.2691585000633285</v>
      </c>
      <c r="S90" s="252">
        <v>1.5970350603503287</v>
      </c>
      <c r="T90" s="253">
        <v>2.2378511983597305</v>
      </c>
      <c r="U90" s="249"/>
      <c r="V90" s="254">
        <v>-0.11142822994069745</v>
      </c>
    </row>
    <row r="91" spans="1:22" x14ac:dyDescent="0.25">
      <c r="A91" s="238">
        <v>37018</v>
      </c>
      <c r="B91" s="239">
        <v>1765.49</v>
      </c>
      <c r="C91" s="242">
        <f t="shared" si="1"/>
        <v>-2.4269728228651141E-3</v>
      </c>
      <c r="G91" s="1095"/>
      <c r="H91" s="245">
        <v>88</v>
      </c>
      <c r="I91" s="251">
        <v>-2.7853491580934047</v>
      </c>
      <c r="J91" s="252">
        <v>-2.1445330200840029</v>
      </c>
      <c r="K91" s="252">
        <v>-1.816656459797003</v>
      </c>
      <c r="L91" s="252">
        <v>-1.4386357842761244</v>
      </c>
      <c r="M91" s="252">
        <v>-0.98088236380264537</v>
      </c>
      <c r="N91" s="252">
        <v>-0.36877522816421865</v>
      </c>
      <c r="O91" s="252">
        <v>0.15844690042919468</v>
      </c>
      <c r="P91" s="252">
        <v>0.77055403606762152</v>
      </c>
      <c r="Q91" s="252">
        <v>1.2283074565411003</v>
      </c>
      <c r="R91" s="252">
        <v>1.6063281320619789</v>
      </c>
      <c r="S91" s="252">
        <v>1.9342046923489791</v>
      </c>
      <c r="T91" s="253">
        <v>2.575020830358381</v>
      </c>
      <c r="U91" s="249"/>
      <c r="V91" s="254">
        <v>-0.44243836781686008</v>
      </c>
    </row>
    <row r="92" spans="1:22" x14ac:dyDescent="0.25">
      <c r="A92" s="238">
        <v>37019</v>
      </c>
      <c r="B92" s="239">
        <v>1762.41</v>
      </c>
      <c r="C92" s="242">
        <f t="shared" si="1"/>
        <v>-1.7460816817515259E-3</v>
      </c>
      <c r="G92" s="1095"/>
      <c r="H92" s="245">
        <v>89</v>
      </c>
      <c r="I92" s="251">
        <v>-3.0241478358616569</v>
      </c>
      <c r="J92" s="252">
        <v>-2.3833316978522552</v>
      </c>
      <c r="K92" s="252">
        <v>-2.055455137565255</v>
      </c>
      <c r="L92" s="252">
        <v>-1.6774344620443764</v>
      </c>
      <c r="M92" s="252">
        <v>-1.2196810415708974</v>
      </c>
      <c r="N92" s="252">
        <v>-0.60757390593247074</v>
      </c>
      <c r="O92" s="252">
        <v>-8.0351777339057406E-2</v>
      </c>
      <c r="P92" s="252">
        <v>0.53175535829936937</v>
      </c>
      <c r="Q92" s="252">
        <v>0.98950877877284826</v>
      </c>
      <c r="R92" s="252">
        <v>1.3675294542937269</v>
      </c>
      <c r="S92" s="252">
        <v>1.695406014580727</v>
      </c>
      <c r="T92" s="253">
        <v>2.3362221525901288</v>
      </c>
      <c r="U92" s="249"/>
      <c r="V92" s="254">
        <v>-2.3152803739725409</v>
      </c>
    </row>
    <row r="93" spans="1:22" x14ac:dyDescent="0.25">
      <c r="A93" s="238">
        <v>37020</v>
      </c>
      <c r="B93" s="239">
        <v>1754.71</v>
      </c>
      <c r="C93" s="242">
        <f t="shared" si="1"/>
        <v>-4.3785894721014972E-3</v>
      </c>
      <c r="G93" s="1095"/>
      <c r="H93" s="245">
        <v>90</v>
      </c>
      <c r="I93" s="251">
        <v>-4.4709440024155782</v>
      </c>
      <c r="J93" s="252">
        <v>-3.8301278644061769</v>
      </c>
      <c r="K93" s="252">
        <v>-3.5022513041191767</v>
      </c>
      <c r="L93" s="252">
        <v>-3.1242306285982981</v>
      </c>
      <c r="M93" s="252">
        <v>-2.6664772081248191</v>
      </c>
      <c r="N93" s="252">
        <v>-2.0543700724863925</v>
      </c>
      <c r="O93" s="252">
        <v>-1.5271479438929791</v>
      </c>
      <c r="P93" s="252">
        <v>-0.91504080825455236</v>
      </c>
      <c r="Q93" s="252">
        <v>-0.45728738778107347</v>
      </c>
      <c r="R93" s="252">
        <v>-7.9266712260194883E-2</v>
      </c>
      <c r="S93" s="252">
        <v>0.2486098480268053</v>
      </c>
      <c r="T93" s="253">
        <v>0.88942598603620704</v>
      </c>
      <c r="U93" s="249"/>
      <c r="V93" s="254">
        <v>-2.0855734450785808</v>
      </c>
    </row>
    <row r="94" spans="1:22" x14ac:dyDescent="0.25">
      <c r="A94" s="238">
        <v>37021</v>
      </c>
      <c r="B94" s="239">
        <v>1754.46</v>
      </c>
      <c r="C94" s="242">
        <f t="shared" si="1"/>
        <v>-1.4248383544992376E-4</v>
      </c>
      <c r="G94" s="1095"/>
      <c r="H94" s="245">
        <v>91</v>
      </c>
      <c r="I94" s="251">
        <v>-4.3592908415804743</v>
      </c>
      <c r="J94" s="252">
        <v>-3.7184747035710721</v>
      </c>
      <c r="K94" s="252">
        <v>-3.3905981432840719</v>
      </c>
      <c r="L94" s="252">
        <v>-3.0125774677631934</v>
      </c>
      <c r="M94" s="252">
        <v>-2.5548240472897144</v>
      </c>
      <c r="N94" s="252">
        <v>-1.9427169116512877</v>
      </c>
      <c r="O94" s="252">
        <v>-1.4154947830578744</v>
      </c>
      <c r="P94" s="252">
        <v>-0.80338764741944757</v>
      </c>
      <c r="Q94" s="252">
        <v>-0.34563422694596868</v>
      </c>
      <c r="R94" s="252">
        <v>3.238644857490991E-2</v>
      </c>
      <c r="S94" s="252">
        <v>0.36026300886191009</v>
      </c>
      <c r="T94" s="253">
        <v>1.0010791468713118</v>
      </c>
      <c r="U94" s="249"/>
      <c r="V94" s="254">
        <v>-1.6351591104198195</v>
      </c>
    </row>
    <row r="95" spans="1:22" x14ac:dyDescent="0.25">
      <c r="A95" s="238">
        <v>37022</v>
      </c>
      <c r="B95" s="239">
        <v>1741.33</v>
      </c>
      <c r="C95" s="242">
        <f t="shared" si="1"/>
        <v>-7.5119282009184531E-3</v>
      </c>
      <c r="G95" s="1095"/>
      <c r="H95" s="245">
        <v>92</v>
      </c>
      <c r="I95" s="251">
        <v>-4.0089225332794758</v>
      </c>
      <c r="J95" s="252">
        <v>-3.3681063952700736</v>
      </c>
      <c r="K95" s="252">
        <v>-3.0402298349830734</v>
      </c>
      <c r="L95" s="252">
        <v>-2.6622091594621948</v>
      </c>
      <c r="M95" s="252">
        <v>-2.2044557389887158</v>
      </c>
      <c r="N95" s="252">
        <v>-1.5923486033502892</v>
      </c>
      <c r="O95" s="252">
        <v>-1.0651264747568758</v>
      </c>
      <c r="P95" s="252">
        <v>-0.45301933911844905</v>
      </c>
      <c r="Q95" s="252">
        <v>4.73408135502984E-3</v>
      </c>
      <c r="R95" s="252">
        <v>0.38275475687590843</v>
      </c>
      <c r="S95" s="252">
        <v>0.71063131716290862</v>
      </c>
      <c r="T95" s="253">
        <v>1.3514474551723104</v>
      </c>
      <c r="U95" s="249"/>
      <c r="V95" s="254">
        <v>-1.8789472419560236</v>
      </c>
    </row>
    <row r="96" spans="1:22" x14ac:dyDescent="0.25">
      <c r="A96" s="238">
        <v>37025</v>
      </c>
      <c r="B96" s="239">
        <v>1746.01</v>
      </c>
      <c r="C96" s="242">
        <f t="shared" si="1"/>
        <v>2.6839957156426664E-3</v>
      </c>
      <c r="G96" s="1095"/>
      <c r="H96" s="245">
        <v>93</v>
      </c>
      <c r="I96" s="251">
        <v>-4.1802484129403075</v>
      </c>
      <c r="J96" s="252">
        <v>-3.5394322749309057</v>
      </c>
      <c r="K96" s="252">
        <v>-3.2115557146439055</v>
      </c>
      <c r="L96" s="252">
        <v>-2.833535039123027</v>
      </c>
      <c r="M96" s="252">
        <v>-2.375781618649548</v>
      </c>
      <c r="N96" s="252">
        <v>-1.7636744830111213</v>
      </c>
      <c r="O96" s="252">
        <v>-1.236452354417708</v>
      </c>
      <c r="P96" s="252">
        <v>-0.62434521877928117</v>
      </c>
      <c r="Q96" s="252">
        <v>-0.16659179830580229</v>
      </c>
      <c r="R96" s="252">
        <v>0.21142887721507631</v>
      </c>
      <c r="S96" s="252">
        <v>0.53930543750207649</v>
      </c>
      <c r="T96" s="253">
        <v>1.1801215755114782</v>
      </c>
      <c r="U96" s="249"/>
      <c r="V96" s="254">
        <v>-1.1439773155796322</v>
      </c>
    </row>
    <row r="97" spans="1:22" x14ac:dyDescent="0.25">
      <c r="A97" s="238">
        <v>37026</v>
      </c>
      <c r="B97" s="239">
        <v>1746.75</v>
      </c>
      <c r="C97" s="242">
        <f t="shared" si="1"/>
        <v>4.2373367255242269E-4</v>
      </c>
      <c r="G97" s="1095"/>
      <c r="H97" s="245">
        <v>94</v>
      </c>
      <c r="I97" s="251">
        <v>-3.6242885423604569</v>
      </c>
      <c r="J97" s="252">
        <v>-2.9834724043510548</v>
      </c>
      <c r="K97" s="252">
        <v>-2.655595844064055</v>
      </c>
      <c r="L97" s="252">
        <v>-2.2775751685431764</v>
      </c>
      <c r="M97" s="252">
        <v>-1.8198217480696974</v>
      </c>
      <c r="N97" s="252">
        <v>-1.2077146124312705</v>
      </c>
      <c r="O97" s="252">
        <v>-0.68049248383785721</v>
      </c>
      <c r="P97" s="252">
        <v>-6.8385348199430429E-2</v>
      </c>
      <c r="Q97" s="252">
        <v>0.38936807227404846</v>
      </c>
      <c r="R97" s="252">
        <v>0.76738874779492705</v>
      </c>
      <c r="S97" s="252">
        <v>1.0952653080819272</v>
      </c>
      <c r="T97" s="253">
        <v>1.736081446091329</v>
      </c>
      <c r="U97" s="249"/>
      <c r="V97" s="254">
        <v>-1.8433335386028491</v>
      </c>
    </row>
    <row r="98" spans="1:22" x14ac:dyDescent="0.25">
      <c r="A98" s="238">
        <v>37027</v>
      </c>
      <c r="B98" s="239">
        <v>1796.72</v>
      </c>
      <c r="C98" s="242">
        <f t="shared" si="1"/>
        <v>2.8205861962907246E-2</v>
      </c>
      <c r="G98" s="1095"/>
      <c r="H98" s="245">
        <v>95</v>
      </c>
      <c r="I98" s="251">
        <v>-4.1357931509244974</v>
      </c>
      <c r="J98" s="252">
        <v>-3.4949770129150961</v>
      </c>
      <c r="K98" s="252">
        <v>-3.1671004526280955</v>
      </c>
      <c r="L98" s="252">
        <v>-2.7890797771072169</v>
      </c>
      <c r="M98" s="252">
        <v>-2.3313263566337383</v>
      </c>
      <c r="N98" s="252">
        <v>-1.7192192209953114</v>
      </c>
      <c r="O98" s="252">
        <v>-1.1919970924018981</v>
      </c>
      <c r="P98" s="252">
        <v>-0.57988995676347133</v>
      </c>
      <c r="Q98" s="252">
        <v>-0.12213653628999244</v>
      </c>
      <c r="R98" s="252">
        <v>0.25588413923088615</v>
      </c>
      <c r="S98" s="252">
        <v>0.58376069951788634</v>
      </c>
      <c r="T98" s="253">
        <v>1.2245768375272881</v>
      </c>
      <c r="U98" s="249"/>
      <c r="V98" s="254">
        <v>-0.58657474252975361</v>
      </c>
    </row>
    <row r="99" spans="1:22" x14ac:dyDescent="0.25">
      <c r="A99" s="238">
        <v>37028</v>
      </c>
      <c r="B99" s="239">
        <v>1801.63</v>
      </c>
      <c r="C99" s="242">
        <f t="shared" si="1"/>
        <v>2.7290302762720724E-3</v>
      </c>
      <c r="G99" s="1095"/>
      <c r="H99" s="245">
        <v>96</v>
      </c>
      <c r="I99" s="251">
        <v>-3.1948738884989516</v>
      </c>
      <c r="J99" s="252">
        <v>-2.5540577504895499</v>
      </c>
      <c r="K99" s="252">
        <v>-2.2261811902025497</v>
      </c>
      <c r="L99" s="252">
        <v>-1.8481605146816711</v>
      </c>
      <c r="M99" s="252">
        <v>-1.3904070942081921</v>
      </c>
      <c r="N99" s="252">
        <v>-0.77829995856976542</v>
      </c>
      <c r="O99" s="252">
        <v>-0.25107782997635208</v>
      </c>
      <c r="P99" s="252">
        <v>0.3610293056620747</v>
      </c>
      <c r="Q99" s="252">
        <v>0.81878272613555358</v>
      </c>
      <c r="R99" s="252">
        <v>1.1968034016564322</v>
      </c>
      <c r="S99" s="252">
        <v>1.5246799619434324</v>
      </c>
      <c r="T99" s="253">
        <v>2.1654960999528341</v>
      </c>
      <c r="U99" s="249"/>
      <c r="V99" s="254">
        <v>-2.1258556581180725</v>
      </c>
    </row>
    <row r="100" spans="1:22" x14ac:dyDescent="0.25">
      <c r="A100" s="238">
        <v>37029</v>
      </c>
      <c r="B100" s="239">
        <v>1806.83</v>
      </c>
      <c r="C100" s="242">
        <f t="shared" si="1"/>
        <v>2.8821179115342708E-3</v>
      </c>
      <c r="G100" s="1095"/>
      <c r="H100" s="245">
        <v>97</v>
      </c>
      <c r="I100" s="251">
        <v>-4.3332978101153143</v>
      </c>
      <c r="J100" s="252">
        <v>-3.692481672105913</v>
      </c>
      <c r="K100" s="252">
        <v>-3.3646051118189124</v>
      </c>
      <c r="L100" s="252">
        <v>-2.9865844362980338</v>
      </c>
      <c r="M100" s="252">
        <v>-2.5288310158245553</v>
      </c>
      <c r="N100" s="252">
        <v>-1.9167238801861284</v>
      </c>
      <c r="O100" s="252">
        <v>-1.3895017515927151</v>
      </c>
      <c r="P100" s="252">
        <v>-0.77739461595428827</v>
      </c>
      <c r="Q100" s="252">
        <v>-0.31964119548080938</v>
      </c>
      <c r="R100" s="252">
        <v>5.8379480040069209E-2</v>
      </c>
      <c r="S100" s="252">
        <v>0.38625604032706939</v>
      </c>
      <c r="T100" s="253">
        <v>1.0270721783364711</v>
      </c>
      <c r="U100" s="249"/>
      <c r="V100" s="254">
        <v>-0.98580400117561584</v>
      </c>
    </row>
    <row r="101" spans="1:22" x14ac:dyDescent="0.25">
      <c r="A101" s="238">
        <v>37032</v>
      </c>
      <c r="B101" s="239">
        <v>1836.02</v>
      </c>
      <c r="C101" s="242">
        <f t="shared" si="1"/>
        <v>1.6026256784018499E-2</v>
      </c>
      <c r="G101" s="1095"/>
      <c r="H101" s="245">
        <v>98</v>
      </c>
      <c r="I101" s="251">
        <v>-3.5098188991904342</v>
      </c>
      <c r="J101" s="252">
        <v>-2.8690027611810325</v>
      </c>
      <c r="K101" s="252">
        <v>-2.5411262008940323</v>
      </c>
      <c r="L101" s="252">
        <v>-2.1631055253731537</v>
      </c>
      <c r="M101" s="252">
        <v>-1.7053521048996747</v>
      </c>
      <c r="N101" s="252">
        <v>-1.093244969261248</v>
      </c>
      <c r="O101" s="252">
        <v>-0.56602284066783459</v>
      </c>
      <c r="P101" s="252">
        <v>4.6084294970592188E-2</v>
      </c>
      <c r="Q101" s="252">
        <v>0.50383771544407108</v>
      </c>
      <c r="R101" s="252">
        <v>0.88185839096494967</v>
      </c>
      <c r="S101" s="252">
        <v>1.2097349512519497</v>
      </c>
      <c r="T101" s="253">
        <v>1.8505510892613515</v>
      </c>
      <c r="U101" s="249"/>
      <c r="V101" s="254">
        <v>-0.94426964942557245</v>
      </c>
    </row>
    <row r="102" spans="1:22" x14ac:dyDescent="0.25">
      <c r="A102" s="238">
        <v>37033</v>
      </c>
      <c r="B102" s="239">
        <v>1831.2</v>
      </c>
      <c r="C102" s="242">
        <f t="shared" si="1"/>
        <v>-2.6286957289352406E-3</v>
      </c>
      <c r="G102" s="1095"/>
      <c r="H102" s="245">
        <v>99</v>
      </c>
      <c r="I102" s="251">
        <v>-3.4412613703063348</v>
      </c>
      <c r="J102" s="252">
        <v>-2.8004452322969331</v>
      </c>
      <c r="K102" s="252">
        <v>-2.4725686720099329</v>
      </c>
      <c r="L102" s="252">
        <v>-2.0945479964890543</v>
      </c>
      <c r="M102" s="252">
        <v>-1.6367945760155753</v>
      </c>
      <c r="N102" s="252">
        <v>-1.0246874403771487</v>
      </c>
      <c r="O102" s="252">
        <v>-0.49746531178373521</v>
      </c>
      <c r="P102" s="252">
        <v>0.11464182385469157</v>
      </c>
      <c r="Q102" s="252">
        <v>0.57239524432817046</v>
      </c>
      <c r="R102" s="252">
        <v>0.95041591984904905</v>
      </c>
      <c r="S102" s="252">
        <v>1.2782924801360491</v>
      </c>
      <c r="T102" s="253">
        <v>1.9191086181454509</v>
      </c>
      <c r="U102" s="249"/>
      <c r="V102" s="254">
        <v>-1.3640841351702329</v>
      </c>
    </row>
    <row r="103" spans="1:22" x14ac:dyDescent="0.25">
      <c r="A103" s="238">
        <v>37034</v>
      </c>
      <c r="B103" s="239">
        <v>1802.8400000000001</v>
      </c>
      <c r="C103" s="242">
        <f t="shared" si="1"/>
        <v>-1.5608290359997418E-2</v>
      </c>
      <c r="G103" s="1095"/>
      <c r="H103" s="245">
        <v>100</v>
      </c>
      <c r="I103" s="251">
        <v>-3.7601316497257136</v>
      </c>
      <c r="J103" s="252">
        <v>-3.1193155117163114</v>
      </c>
      <c r="K103" s="252">
        <v>-2.7914389514293116</v>
      </c>
      <c r="L103" s="252">
        <v>-2.4134182759084331</v>
      </c>
      <c r="M103" s="252">
        <v>-1.9556648554349541</v>
      </c>
      <c r="N103" s="252">
        <v>-1.3435577197965272</v>
      </c>
      <c r="O103" s="252">
        <v>-0.81633559120311383</v>
      </c>
      <c r="P103" s="252">
        <v>-0.20422845556468705</v>
      </c>
      <c r="Q103" s="252">
        <v>0.25352496490879184</v>
      </c>
      <c r="R103" s="252">
        <v>0.63154564042967043</v>
      </c>
      <c r="S103" s="252">
        <v>0.95942220071667061</v>
      </c>
      <c r="T103" s="253">
        <v>1.6002383387260724</v>
      </c>
      <c r="U103" s="249"/>
      <c r="V103" s="254">
        <v>-1.4200919877513098</v>
      </c>
    </row>
    <row r="104" spans="1:22" x14ac:dyDescent="0.25">
      <c r="A104" s="238">
        <v>37035</v>
      </c>
      <c r="B104" s="239">
        <v>1808.64</v>
      </c>
      <c r="C104" s="242">
        <f t="shared" si="1"/>
        <v>3.2119823376937561E-3</v>
      </c>
      <c r="G104" s="1095"/>
      <c r="H104" s="245">
        <v>101</v>
      </c>
      <c r="I104" s="251">
        <v>-3.8172942456038097</v>
      </c>
      <c r="J104" s="252">
        <v>-3.1764781075944084</v>
      </c>
      <c r="K104" s="252">
        <v>-2.8486015473074078</v>
      </c>
      <c r="L104" s="252">
        <v>-2.4705808717865292</v>
      </c>
      <c r="M104" s="252">
        <v>-2.0128274513130506</v>
      </c>
      <c r="N104" s="252">
        <v>-1.4007203156746237</v>
      </c>
      <c r="O104" s="252">
        <v>-0.87349818708121041</v>
      </c>
      <c r="P104" s="252">
        <v>-0.26139105144278363</v>
      </c>
      <c r="Q104" s="252">
        <v>0.19636236903069526</v>
      </c>
      <c r="R104" s="252">
        <v>0.57438304455157385</v>
      </c>
      <c r="S104" s="252">
        <v>0.90225960483857404</v>
      </c>
      <c r="T104" s="253">
        <v>1.5430757428479758</v>
      </c>
      <c r="U104" s="249"/>
      <c r="V104" s="254">
        <v>-0.68227553889207726</v>
      </c>
    </row>
    <row r="105" spans="1:22" x14ac:dyDescent="0.25">
      <c r="A105" s="238">
        <v>37036</v>
      </c>
      <c r="B105" s="239">
        <v>1787.28</v>
      </c>
      <c r="C105" s="242">
        <f t="shared" si="1"/>
        <v>-1.1880270545553545E-2</v>
      </c>
      <c r="G105" s="1095"/>
      <c r="H105" s="245">
        <v>102</v>
      </c>
      <c r="I105" s="251">
        <v>-3.2540625855902943</v>
      </c>
      <c r="J105" s="252">
        <v>-2.6132464475808925</v>
      </c>
      <c r="K105" s="252">
        <v>-2.2853698872938923</v>
      </c>
      <c r="L105" s="252">
        <v>-1.9073492117730138</v>
      </c>
      <c r="M105" s="252">
        <v>-1.4495957912995348</v>
      </c>
      <c r="N105" s="252">
        <v>-0.83748865566110808</v>
      </c>
      <c r="O105" s="252">
        <v>-0.31026652706769475</v>
      </c>
      <c r="P105" s="252">
        <v>0.30184060857073203</v>
      </c>
      <c r="Q105" s="252">
        <v>0.75959402904421092</v>
      </c>
      <c r="R105" s="252">
        <v>1.1376147045650895</v>
      </c>
      <c r="S105" s="252">
        <v>1.4654912648520897</v>
      </c>
      <c r="T105" s="253">
        <v>2.1063074028614914</v>
      </c>
      <c r="U105" s="249"/>
      <c r="V105" s="254">
        <v>1.126843828434031</v>
      </c>
    </row>
    <row r="106" spans="1:22" x14ac:dyDescent="0.25">
      <c r="A106" s="238">
        <v>37040</v>
      </c>
      <c r="B106" s="239">
        <v>1773.45</v>
      </c>
      <c r="C106" s="242">
        <f t="shared" si="1"/>
        <v>-7.7681090932676701E-3</v>
      </c>
      <c r="G106" s="1095"/>
      <c r="H106" s="245">
        <v>103</v>
      </c>
      <c r="I106" s="251">
        <v>-1.8416687866887984</v>
      </c>
      <c r="J106" s="252">
        <v>-1.2008526486793967</v>
      </c>
      <c r="K106" s="252">
        <v>-0.87297608839239649</v>
      </c>
      <c r="L106" s="252">
        <v>-0.4949554128715179</v>
      </c>
      <c r="M106" s="252">
        <v>-3.7201992398039008E-2</v>
      </c>
      <c r="N106" s="252">
        <v>0.57490514324038777</v>
      </c>
      <c r="O106" s="252">
        <v>1.1021272718338011</v>
      </c>
      <c r="P106" s="252">
        <v>1.7142344074722278</v>
      </c>
      <c r="Q106" s="252">
        <v>2.1719878279457068</v>
      </c>
      <c r="R106" s="252">
        <v>2.5500085034665854</v>
      </c>
      <c r="S106" s="252">
        <v>2.8778850637535855</v>
      </c>
      <c r="T106" s="253">
        <v>3.5187012017629873</v>
      </c>
      <c r="U106" s="249"/>
      <c r="V106" s="254">
        <v>2.3943124777757614</v>
      </c>
    </row>
    <row r="107" spans="1:22" x14ac:dyDescent="0.25">
      <c r="A107" s="238">
        <v>37041</v>
      </c>
      <c r="B107" s="239">
        <v>1746.1100000000001</v>
      </c>
      <c r="C107" s="242">
        <f t="shared" si="1"/>
        <v>-1.5536345416697994E-2</v>
      </c>
      <c r="G107" s="1095"/>
      <c r="H107" s="245">
        <v>104</v>
      </c>
      <c r="I107" s="251">
        <v>-0.80677638096503124</v>
      </c>
      <c r="J107" s="252">
        <v>-0.1659602429556295</v>
      </c>
      <c r="K107" s="252">
        <v>0.16191631733137068</v>
      </c>
      <c r="L107" s="252">
        <v>0.53993699285224928</v>
      </c>
      <c r="M107" s="252">
        <v>0.99769041332572816</v>
      </c>
      <c r="N107" s="252">
        <v>1.6097975489641549</v>
      </c>
      <c r="O107" s="252">
        <v>2.1370196775575683</v>
      </c>
      <c r="P107" s="252">
        <v>2.7491268131959949</v>
      </c>
      <c r="Q107" s="252">
        <v>3.2068802336694739</v>
      </c>
      <c r="R107" s="252">
        <v>3.5849009091903525</v>
      </c>
      <c r="S107" s="252">
        <v>3.9127774694773527</v>
      </c>
      <c r="T107" s="253">
        <v>4.5535936074867545</v>
      </c>
      <c r="U107" s="249"/>
      <c r="V107" s="254">
        <v>3.2648238986011182</v>
      </c>
    </row>
    <row r="108" spans="1:22" x14ac:dyDescent="0.25">
      <c r="A108" s="238">
        <v>37042</v>
      </c>
      <c r="B108" s="239">
        <v>1757.0900000000001</v>
      </c>
      <c r="C108" s="242">
        <f t="shared" si="1"/>
        <v>6.2685749913970103E-3</v>
      </c>
      <c r="G108" s="1095"/>
      <c r="H108" s="245">
        <v>105</v>
      </c>
      <c r="I108" s="251">
        <v>-9.3110335472589956E-2</v>
      </c>
      <c r="J108" s="252">
        <v>0.54770580253681178</v>
      </c>
      <c r="K108" s="252">
        <v>0.87558236282381197</v>
      </c>
      <c r="L108" s="252">
        <v>1.2536030383446906</v>
      </c>
      <c r="M108" s="252">
        <v>1.7113564588181696</v>
      </c>
      <c r="N108" s="252">
        <v>2.3234635944565962</v>
      </c>
      <c r="O108" s="252">
        <v>2.8506857230500096</v>
      </c>
      <c r="P108" s="252">
        <v>3.4627928586884362</v>
      </c>
      <c r="Q108" s="252">
        <v>3.9205462791619152</v>
      </c>
      <c r="R108" s="252">
        <v>4.2985669546827943</v>
      </c>
      <c r="S108" s="252">
        <v>4.626443514969794</v>
      </c>
      <c r="T108" s="253">
        <v>5.2672596529791953</v>
      </c>
      <c r="U108" s="249"/>
      <c r="V108" s="254">
        <v>1.8226268625589421</v>
      </c>
    </row>
    <row r="109" spans="1:22" x14ac:dyDescent="0.25">
      <c r="A109" s="238">
        <v>37043</v>
      </c>
      <c r="B109" s="239">
        <v>1763.8700000000001</v>
      </c>
      <c r="C109" s="242">
        <f t="shared" si="1"/>
        <v>3.851227153986466E-3</v>
      </c>
      <c r="G109" s="1095"/>
      <c r="H109" s="245">
        <v>106</v>
      </c>
      <c r="I109" s="251">
        <v>-1.1672175640733657</v>
      </c>
      <c r="J109" s="252">
        <v>-0.52640142606396401</v>
      </c>
      <c r="K109" s="252">
        <v>-0.19852486577696382</v>
      </c>
      <c r="L109" s="252">
        <v>0.17949580974391477</v>
      </c>
      <c r="M109" s="252">
        <v>0.63724923021739366</v>
      </c>
      <c r="N109" s="252">
        <v>1.2493563658558204</v>
      </c>
      <c r="O109" s="252">
        <v>1.7765784944492338</v>
      </c>
      <c r="P109" s="252">
        <v>2.3886856300876604</v>
      </c>
      <c r="Q109" s="252">
        <v>2.8464390505611394</v>
      </c>
      <c r="R109" s="252">
        <v>3.224459726082018</v>
      </c>
      <c r="S109" s="252">
        <v>3.5523362863690182</v>
      </c>
      <c r="T109" s="253">
        <v>4.19315242437842</v>
      </c>
      <c r="U109" s="249"/>
      <c r="V109" s="254">
        <v>3.8942137459302648</v>
      </c>
    </row>
    <row r="110" spans="1:22" x14ac:dyDescent="0.25">
      <c r="A110" s="238">
        <v>37046</v>
      </c>
      <c r="B110" s="239">
        <v>1772.91</v>
      </c>
      <c r="C110" s="242">
        <f t="shared" si="1"/>
        <v>5.112005658566063E-3</v>
      </c>
      <c r="G110" s="1095"/>
      <c r="H110" s="245">
        <v>107</v>
      </c>
      <c r="I110" s="251">
        <v>0.37345748292169967</v>
      </c>
      <c r="J110" s="252">
        <v>1.0142736209311014</v>
      </c>
      <c r="K110" s="252">
        <v>1.3421501812181016</v>
      </c>
      <c r="L110" s="252">
        <v>1.7201708567389802</v>
      </c>
      <c r="M110" s="252">
        <v>2.1779242772124592</v>
      </c>
      <c r="N110" s="252">
        <v>2.7900314128508859</v>
      </c>
      <c r="O110" s="252">
        <v>3.3172535414442992</v>
      </c>
      <c r="P110" s="252">
        <v>3.9293606770827259</v>
      </c>
      <c r="Q110" s="252">
        <v>4.3871140975562053</v>
      </c>
      <c r="R110" s="252">
        <v>4.765134773077083</v>
      </c>
      <c r="S110" s="252">
        <v>5.0930113333640836</v>
      </c>
      <c r="T110" s="253">
        <v>5.7338274713734858</v>
      </c>
      <c r="U110" s="249"/>
      <c r="V110" s="254">
        <v>4.1814279683958668</v>
      </c>
    </row>
    <row r="111" spans="1:22" x14ac:dyDescent="0.25">
      <c r="A111" s="238">
        <v>37047</v>
      </c>
      <c r="B111" s="239">
        <v>1795.96</v>
      </c>
      <c r="C111" s="242">
        <f t="shared" si="1"/>
        <v>1.2917433534720968E-2</v>
      </c>
      <c r="G111" s="1095"/>
      <c r="H111" s="245">
        <v>108</v>
      </c>
      <c r="I111" s="251">
        <v>0.66237973670209005</v>
      </c>
      <c r="J111" s="252">
        <v>1.3031958747114918</v>
      </c>
      <c r="K111" s="252">
        <v>1.631072434998492</v>
      </c>
      <c r="L111" s="252">
        <v>2.0090931105193706</v>
      </c>
      <c r="M111" s="252">
        <v>2.4668465309928496</v>
      </c>
      <c r="N111" s="252">
        <v>3.0789536666312762</v>
      </c>
      <c r="O111" s="252">
        <v>3.6061757952246896</v>
      </c>
      <c r="P111" s="252">
        <v>4.2182829308631167</v>
      </c>
      <c r="Q111" s="252">
        <v>4.6760363513365952</v>
      </c>
      <c r="R111" s="252">
        <v>5.0540570268574738</v>
      </c>
      <c r="S111" s="252">
        <v>5.3819335871444736</v>
      </c>
      <c r="T111" s="253">
        <v>6.0227497251538757</v>
      </c>
      <c r="U111" s="249"/>
      <c r="V111" s="254">
        <v>1.7689299933494633</v>
      </c>
    </row>
    <row r="112" spans="1:22" x14ac:dyDescent="0.25">
      <c r="A112" s="238">
        <v>37048</v>
      </c>
      <c r="B112" s="239">
        <v>1777.25</v>
      </c>
      <c r="C112" s="242">
        <f t="shared" si="1"/>
        <v>-1.0472472089612106E-2</v>
      </c>
      <c r="G112" s="1095"/>
      <c r="H112" s="245">
        <v>109</v>
      </c>
      <c r="I112" s="251">
        <v>-1.1747168884787205</v>
      </c>
      <c r="J112" s="252">
        <v>-0.53390075046931873</v>
      </c>
      <c r="K112" s="252">
        <v>-0.20602419018231855</v>
      </c>
      <c r="L112" s="252">
        <v>0.17199648533856005</v>
      </c>
      <c r="M112" s="252">
        <v>0.62974990581203893</v>
      </c>
      <c r="N112" s="252">
        <v>1.2418570414504657</v>
      </c>
      <c r="O112" s="252">
        <v>1.769079170043879</v>
      </c>
      <c r="P112" s="252">
        <v>2.3811863056823057</v>
      </c>
      <c r="Q112" s="252">
        <v>2.8389397261557847</v>
      </c>
      <c r="R112" s="252">
        <v>3.2169604016766633</v>
      </c>
      <c r="S112" s="252">
        <v>3.5448369619636635</v>
      </c>
      <c r="T112" s="253">
        <v>4.1856530999730648</v>
      </c>
      <c r="U112" s="249"/>
      <c r="V112" s="254">
        <v>8.0528712550017589E-2</v>
      </c>
    </row>
    <row r="113" spans="1:35" x14ac:dyDescent="0.25">
      <c r="A113" s="238">
        <v>37049</v>
      </c>
      <c r="B113" s="239">
        <v>1786.99</v>
      </c>
      <c r="C113" s="242">
        <f t="shared" si="1"/>
        <v>5.4654143632771679E-3</v>
      </c>
      <c r="G113" s="1095"/>
      <c r="H113" s="245">
        <v>110</v>
      </c>
      <c r="I113" s="251">
        <v>-2.5513247828984449</v>
      </c>
      <c r="J113" s="252">
        <v>-1.9105086448890432</v>
      </c>
      <c r="K113" s="252">
        <v>-1.582632084602043</v>
      </c>
      <c r="L113" s="252">
        <v>-1.2046114090811644</v>
      </c>
      <c r="M113" s="252">
        <v>-0.74685798860768549</v>
      </c>
      <c r="N113" s="252">
        <v>-0.13475085296925871</v>
      </c>
      <c r="O113" s="252">
        <v>0.39247127562415463</v>
      </c>
      <c r="P113" s="252">
        <v>1.0045784112625813</v>
      </c>
      <c r="Q113" s="252">
        <v>1.4623318317360603</v>
      </c>
      <c r="R113" s="252">
        <v>1.8403525072569389</v>
      </c>
      <c r="S113" s="252">
        <v>2.1682290675439391</v>
      </c>
      <c r="T113" s="253">
        <v>2.8090452055533408</v>
      </c>
      <c r="U113" s="249"/>
      <c r="V113" s="254">
        <v>-2.0104505705240729</v>
      </c>
    </row>
    <row r="114" spans="1:35" x14ac:dyDescent="0.25">
      <c r="A114" s="238">
        <v>37050</v>
      </c>
      <c r="B114" s="239">
        <v>1770.21</v>
      </c>
      <c r="C114" s="242">
        <f t="shared" si="1"/>
        <v>-9.4344565748488637E-3</v>
      </c>
      <c r="G114" s="1095"/>
      <c r="H114" s="245">
        <v>111</v>
      </c>
      <c r="I114" s="251">
        <v>-4.2161146141064467</v>
      </c>
      <c r="J114" s="252">
        <v>-3.5752984760970454</v>
      </c>
      <c r="K114" s="252">
        <v>-3.2474219158100452</v>
      </c>
      <c r="L114" s="252">
        <v>-2.8694012402891667</v>
      </c>
      <c r="M114" s="252">
        <v>-2.4116478198156877</v>
      </c>
      <c r="N114" s="252">
        <v>-1.799540684177261</v>
      </c>
      <c r="O114" s="252">
        <v>-1.2723185555838477</v>
      </c>
      <c r="P114" s="252">
        <v>-0.66021141994542087</v>
      </c>
      <c r="Q114" s="252">
        <v>-0.20245799947194199</v>
      </c>
      <c r="R114" s="252">
        <v>0.17556267604893661</v>
      </c>
      <c r="S114" s="252">
        <v>0.50343923633593679</v>
      </c>
      <c r="T114" s="253">
        <v>1.1442553743453385</v>
      </c>
      <c r="U114" s="249"/>
      <c r="V114" s="254">
        <v>-0.82664925981617587</v>
      </c>
    </row>
    <row r="115" spans="1:35" x14ac:dyDescent="0.25">
      <c r="A115" s="238">
        <v>37053</v>
      </c>
      <c r="B115" s="239">
        <v>1755.42</v>
      </c>
      <c r="C115" s="242">
        <f t="shared" si="1"/>
        <v>-8.3900390903015667E-3</v>
      </c>
      <c r="G115" s="1095"/>
      <c r="H115" s="245">
        <v>112</v>
      </c>
      <c r="I115" s="251">
        <v>-3.3825506663691942</v>
      </c>
      <c r="J115" s="252">
        <v>-2.7417345283597925</v>
      </c>
      <c r="K115" s="252">
        <v>-2.4138579680727923</v>
      </c>
      <c r="L115" s="252">
        <v>-2.0358372925519137</v>
      </c>
      <c r="M115" s="252">
        <v>-1.5780838720784347</v>
      </c>
      <c r="N115" s="252">
        <v>-0.96597673644000803</v>
      </c>
      <c r="O115" s="252">
        <v>-0.4387546078465947</v>
      </c>
      <c r="P115" s="252">
        <v>0.17335252779183208</v>
      </c>
      <c r="Q115" s="252">
        <v>0.63110594826531097</v>
      </c>
      <c r="R115" s="252">
        <v>1.0091266237861896</v>
      </c>
      <c r="S115" s="252">
        <v>1.3370031840731897</v>
      </c>
      <c r="T115" s="253">
        <v>1.9778193220825915</v>
      </c>
      <c r="U115" s="249"/>
      <c r="V115" s="254">
        <v>-1.0525984485611717</v>
      </c>
    </row>
    <row r="116" spans="1:35" x14ac:dyDescent="0.25">
      <c r="A116" s="238">
        <v>37054</v>
      </c>
      <c r="B116" s="239">
        <v>1757.48</v>
      </c>
      <c r="C116" s="242">
        <f t="shared" si="1"/>
        <v>1.1728203114968212E-3</v>
      </c>
      <c r="G116" s="1095"/>
      <c r="H116" s="245">
        <v>113</v>
      </c>
      <c r="I116" s="251">
        <v>-3.5186579774754301</v>
      </c>
      <c r="J116" s="252">
        <v>-2.8778418394660283</v>
      </c>
      <c r="K116" s="252">
        <v>-2.5499652791790282</v>
      </c>
      <c r="L116" s="252">
        <v>-2.1719446036581496</v>
      </c>
      <c r="M116" s="252">
        <v>-1.7141911831846706</v>
      </c>
      <c r="N116" s="252">
        <v>-1.1020840475462439</v>
      </c>
      <c r="O116" s="252">
        <v>-0.57486191895283056</v>
      </c>
      <c r="P116" s="252">
        <v>3.7245216685596216E-2</v>
      </c>
      <c r="Q116" s="252">
        <v>0.49499863715907511</v>
      </c>
      <c r="R116" s="252">
        <v>0.8730193126799537</v>
      </c>
      <c r="S116" s="252">
        <v>1.2008958729669539</v>
      </c>
      <c r="T116" s="253">
        <v>1.8417120109763556</v>
      </c>
      <c r="U116" s="249"/>
      <c r="V116" s="254">
        <v>-2.0298527226372656</v>
      </c>
    </row>
    <row r="117" spans="1:35" x14ac:dyDescent="0.25">
      <c r="A117" s="238">
        <v>37055</v>
      </c>
      <c r="B117" s="239">
        <v>1737.94</v>
      </c>
      <c r="C117" s="242">
        <f t="shared" si="1"/>
        <v>-1.1180461029377541E-2</v>
      </c>
      <c r="G117" s="1095"/>
      <c r="H117" s="245">
        <v>114</v>
      </c>
      <c r="I117" s="251">
        <v>-4.2741130182691425</v>
      </c>
      <c r="J117" s="252">
        <v>-3.6332968802597412</v>
      </c>
      <c r="K117" s="252">
        <v>-3.3054203199727406</v>
      </c>
      <c r="L117" s="252">
        <v>-2.927399644451862</v>
      </c>
      <c r="M117" s="252">
        <v>-2.4696462239783834</v>
      </c>
      <c r="N117" s="252">
        <v>-1.8575390883399565</v>
      </c>
      <c r="O117" s="252">
        <v>-1.3303169597465432</v>
      </c>
      <c r="P117" s="252">
        <v>-0.7182098241081164</v>
      </c>
      <c r="Q117" s="252">
        <v>-0.26045640363463751</v>
      </c>
      <c r="R117" s="252">
        <v>0.11756427188624108</v>
      </c>
      <c r="S117" s="252">
        <v>0.44544083217324126</v>
      </c>
      <c r="T117" s="253">
        <v>1.086256970182643</v>
      </c>
      <c r="U117" s="249"/>
      <c r="V117" s="254">
        <v>-1.6711925147681923</v>
      </c>
    </row>
    <row r="118" spans="1:35" x14ac:dyDescent="0.25">
      <c r="A118" s="238">
        <v>37056</v>
      </c>
      <c r="B118" s="239">
        <v>1707.56</v>
      </c>
      <c r="C118" s="242">
        <f t="shared" si="1"/>
        <v>-1.7635052870016696E-2</v>
      </c>
      <c r="G118" s="1095"/>
      <c r="H118" s="245">
        <v>115</v>
      </c>
      <c r="I118" s="251">
        <v>-4.0327571050116156</v>
      </c>
      <c r="J118" s="252">
        <v>-3.3919409670022143</v>
      </c>
      <c r="K118" s="252">
        <v>-3.0640644067152141</v>
      </c>
      <c r="L118" s="252">
        <v>-2.6860437311943355</v>
      </c>
      <c r="M118" s="252">
        <v>-2.2282903107208565</v>
      </c>
      <c r="N118" s="252">
        <v>-1.6161831750824298</v>
      </c>
      <c r="O118" s="252">
        <v>-1.0889610464890165</v>
      </c>
      <c r="P118" s="252">
        <v>-0.4768539108505897</v>
      </c>
      <c r="Q118" s="252">
        <v>-1.9100490377110813E-2</v>
      </c>
      <c r="R118" s="252">
        <v>0.35892018514376778</v>
      </c>
      <c r="S118" s="252">
        <v>0.68679674543076796</v>
      </c>
      <c r="T118" s="253">
        <v>1.3276128834401697</v>
      </c>
      <c r="U118" s="249"/>
      <c r="V118" s="254">
        <v>-0.88861426571088831</v>
      </c>
    </row>
    <row r="119" spans="1:35" x14ac:dyDescent="0.25">
      <c r="A119" s="238">
        <v>37057</v>
      </c>
      <c r="B119" s="239">
        <v>1699.8500000000001</v>
      </c>
      <c r="C119" s="242">
        <f t="shared" si="1"/>
        <v>-4.5254390625944956E-3</v>
      </c>
      <c r="G119" s="1095"/>
      <c r="H119" s="245">
        <v>116</v>
      </c>
      <c r="I119" s="251">
        <v>-3.421893868206916</v>
      </c>
      <c r="J119" s="252">
        <v>-2.7810777301975138</v>
      </c>
      <c r="K119" s="252">
        <v>-2.4532011699105141</v>
      </c>
      <c r="L119" s="252">
        <v>-2.0751804943896355</v>
      </c>
      <c r="M119" s="252">
        <v>-1.6174270739161565</v>
      </c>
      <c r="N119" s="252">
        <v>-1.0053199382777296</v>
      </c>
      <c r="O119" s="252">
        <v>-0.47809780968431626</v>
      </c>
      <c r="P119" s="252">
        <v>0.13400932595411053</v>
      </c>
      <c r="Q119" s="252">
        <v>0.59176274642758941</v>
      </c>
      <c r="R119" s="252">
        <v>0.96978342194846801</v>
      </c>
      <c r="S119" s="252">
        <v>1.2976599822354682</v>
      </c>
      <c r="T119" s="253">
        <v>1.9384761202448699</v>
      </c>
      <c r="U119" s="249"/>
      <c r="V119" s="254">
        <v>-0.66545648150113457</v>
      </c>
    </row>
    <row r="120" spans="1:35" x14ac:dyDescent="0.25">
      <c r="A120" s="238">
        <v>37060</v>
      </c>
      <c r="B120" s="239">
        <v>1691.5900000000001</v>
      </c>
      <c r="C120" s="242">
        <f t="shared" si="1"/>
        <v>-4.8710968393843312E-3</v>
      </c>
      <c r="G120" s="1095"/>
      <c r="H120" s="245">
        <v>117</v>
      </c>
      <c r="I120" s="251">
        <v>-3.2235396943549484</v>
      </c>
      <c r="J120" s="252">
        <v>-2.5827235563455466</v>
      </c>
      <c r="K120" s="252">
        <v>-2.2548469960585464</v>
      </c>
      <c r="L120" s="252">
        <v>-1.8768263205376678</v>
      </c>
      <c r="M120" s="252">
        <v>-1.4190729000641888</v>
      </c>
      <c r="N120" s="252">
        <v>-0.80696576442576218</v>
      </c>
      <c r="O120" s="252">
        <v>-0.27974363583234885</v>
      </c>
      <c r="P120" s="252">
        <v>0.33236349980607793</v>
      </c>
      <c r="Q120" s="252">
        <v>0.79011692027955682</v>
      </c>
      <c r="R120" s="252">
        <v>1.1681375958004354</v>
      </c>
      <c r="S120" s="252">
        <v>1.4960141560874356</v>
      </c>
      <c r="T120" s="253">
        <v>2.1368302940968373</v>
      </c>
      <c r="U120" s="249"/>
      <c r="V120" s="254">
        <v>-1.8508986797116986</v>
      </c>
    </row>
    <row r="121" spans="1:35" x14ac:dyDescent="0.25">
      <c r="A121" s="238">
        <v>37061</v>
      </c>
      <c r="B121" s="239">
        <v>1697.41</v>
      </c>
      <c r="C121" s="242">
        <f t="shared" si="1"/>
        <v>3.4346448636409627E-3</v>
      </c>
      <c r="G121" s="1095"/>
      <c r="H121" s="245">
        <v>118</v>
      </c>
      <c r="I121" s="251">
        <v>-4.1237303781670116</v>
      </c>
      <c r="J121" s="252">
        <v>-3.4829142401576099</v>
      </c>
      <c r="K121" s="252">
        <v>-3.1550376798706097</v>
      </c>
      <c r="L121" s="252">
        <v>-2.7770170043497311</v>
      </c>
      <c r="M121" s="252">
        <v>-2.3192635838762521</v>
      </c>
      <c r="N121" s="252">
        <v>-1.7071564482378254</v>
      </c>
      <c r="O121" s="252">
        <v>-1.1799343196444121</v>
      </c>
      <c r="P121" s="252">
        <v>-0.56782718400598531</v>
      </c>
      <c r="Q121" s="252">
        <v>-0.11007376353250642</v>
      </c>
      <c r="R121" s="252">
        <v>0.26794691198837217</v>
      </c>
      <c r="S121" s="252">
        <v>0.59582347227537236</v>
      </c>
      <c r="T121" s="253">
        <v>1.2366396102847741</v>
      </c>
      <c r="U121" s="249"/>
      <c r="V121" s="254">
        <v>-1.810189530158125</v>
      </c>
    </row>
    <row r="122" spans="1:35" x14ac:dyDescent="0.25">
      <c r="A122" s="238">
        <v>37062</v>
      </c>
      <c r="B122" s="239">
        <v>1712.26</v>
      </c>
      <c r="C122" s="242">
        <f t="shared" si="1"/>
        <v>8.710575448128751E-3</v>
      </c>
      <c r="G122" s="1095"/>
      <c r="H122" s="245">
        <v>119</v>
      </c>
      <c r="I122" s="251">
        <v>-2.3847943930030837</v>
      </c>
      <c r="J122" s="252">
        <v>-2.3847943930030837</v>
      </c>
      <c r="K122" s="252">
        <v>-2.3847943930030837</v>
      </c>
      <c r="L122" s="252">
        <v>-2.3847943930030837</v>
      </c>
      <c r="M122" s="252">
        <v>-2.3847943930030837</v>
      </c>
      <c r="N122" s="252">
        <v>-2.3847943930030837</v>
      </c>
      <c r="O122" s="252">
        <v>-2.3847943930030837</v>
      </c>
      <c r="P122" s="252">
        <v>-2.3847943930030837</v>
      </c>
      <c r="Q122" s="252">
        <v>-2.3847943930030837</v>
      </c>
      <c r="R122" s="252">
        <v>-2.3847943930030837</v>
      </c>
      <c r="S122" s="252">
        <v>-2.3847943930030837</v>
      </c>
      <c r="T122" s="253">
        <v>-2.3847943930030837</v>
      </c>
      <c r="U122" s="249"/>
      <c r="V122" s="255">
        <v>-2.3847943930030837</v>
      </c>
    </row>
    <row r="123" spans="1:35" ht="21.75" customHeight="1" x14ac:dyDescent="0.25">
      <c r="A123" s="238">
        <v>37063</v>
      </c>
      <c r="B123" s="239">
        <v>1731.75</v>
      </c>
      <c r="C123" s="242">
        <f t="shared" si="1"/>
        <v>1.1318322573101714E-2</v>
      </c>
      <c r="G123" s="1096" t="s">
        <v>117</v>
      </c>
      <c r="H123" s="245">
        <v>120</v>
      </c>
      <c r="I123" s="251">
        <v>-4.5736620791611156</v>
      </c>
      <c r="J123" s="252">
        <v>-3.9328459411517134</v>
      </c>
      <c r="K123" s="252">
        <v>-3.6049693808647136</v>
      </c>
      <c r="L123" s="252">
        <v>-3.226948705343835</v>
      </c>
      <c r="M123" s="252">
        <v>-2.769195284870356</v>
      </c>
      <c r="N123" s="252">
        <v>-2.1570881492319289</v>
      </c>
      <c r="O123" s="252">
        <v>-1.6298660206385158</v>
      </c>
      <c r="P123" s="252">
        <v>-1.0177588850000889</v>
      </c>
      <c r="Q123" s="252">
        <v>-0.56000546452661015</v>
      </c>
      <c r="R123" s="252">
        <v>-0.18198478900573156</v>
      </c>
      <c r="S123" s="252">
        <v>0.14589177128126862</v>
      </c>
      <c r="T123" s="253">
        <v>0.78670790929067036</v>
      </c>
      <c r="U123" s="249"/>
      <c r="V123"/>
      <c r="W123"/>
      <c r="X123"/>
      <c r="Y123"/>
      <c r="Z123"/>
      <c r="AA123"/>
      <c r="AB123"/>
      <c r="AC123"/>
      <c r="AD123"/>
      <c r="AE123"/>
      <c r="AF123"/>
      <c r="AG123"/>
      <c r="AH123"/>
      <c r="AI123"/>
    </row>
    <row r="124" spans="1:35" ht="21.75" customHeight="1" x14ac:dyDescent="0.25">
      <c r="A124" s="238">
        <v>37064</v>
      </c>
      <c r="B124" s="239">
        <v>1715.39</v>
      </c>
      <c r="C124" s="242">
        <f t="shared" si="1"/>
        <v>-9.4919979075147945E-3</v>
      </c>
      <c r="G124" s="1096"/>
      <c r="H124" s="245">
        <v>121</v>
      </c>
      <c r="I124" s="251">
        <v>-4.9138678867837937</v>
      </c>
      <c r="J124" s="252">
        <v>-4.1063306723253046</v>
      </c>
      <c r="K124" s="252">
        <v>-3.6931504971148752</v>
      </c>
      <c r="L124" s="252">
        <v>-3.2167802167625279</v>
      </c>
      <c r="M124" s="252">
        <v>-2.6399331304418405</v>
      </c>
      <c r="N124" s="252">
        <v>-1.8685741368948212</v>
      </c>
      <c r="O124" s="252">
        <v>-1.2041846749693879</v>
      </c>
      <c r="P124" s="252">
        <v>-0.43282568142236832</v>
      </c>
      <c r="Q124" s="252">
        <v>0.14402140489831905</v>
      </c>
      <c r="R124" s="252">
        <v>0.62039168525066613</v>
      </c>
      <c r="S124" s="252">
        <v>1.0335718604610951</v>
      </c>
      <c r="T124" s="253">
        <v>1.8411090749195846</v>
      </c>
      <c r="U124" s="249"/>
      <c r="V124"/>
      <c r="W124"/>
      <c r="X124"/>
      <c r="Y124"/>
      <c r="Z124"/>
      <c r="AA124"/>
      <c r="AB124"/>
      <c r="AC124"/>
      <c r="AD124"/>
      <c r="AE124"/>
      <c r="AF124"/>
      <c r="AG124"/>
      <c r="AH124"/>
      <c r="AI124"/>
    </row>
    <row r="125" spans="1:35" ht="21.75" customHeight="1" x14ac:dyDescent="0.25">
      <c r="A125" s="238">
        <v>37067</v>
      </c>
      <c r="B125" s="239">
        <v>1705.94</v>
      </c>
      <c r="C125" s="242">
        <f t="shared" si="1"/>
        <v>-5.5241815503304205E-3</v>
      </c>
      <c r="G125" s="1096"/>
      <c r="H125" s="245">
        <v>122</v>
      </c>
      <c r="I125" s="251">
        <v>-5.0133841255762306</v>
      </c>
      <c r="J125" s="252">
        <v>-4.1127753708620745</v>
      </c>
      <c r="K125" s="252">
        <v>-3.6519747087918191</v>
      </c>
      <c r="L125" s="252">
        <v>-3.1207010568912676</v>
      </c>
      <c r="M125" s="252">
        <v>-2.4773702892558291</v>
      </c>
      <c r="N125" s="252">
        <v>-1.6171094242729236</v>
      </c>
      <c r="O125" s="252">
        <v>-0.87614671043550363</v>
      </c>
      <c r="P125" s="252">
        <v>-1.588584545259808E-2</v>
      </c>
      <c r="Q125" s="252">
        <v>0.62744492218284043</v>
      </c>
      <c r="R125" s="252">
        <v>1.1587185740833919</v>
      </c>
      <c r="S125" s="252">
        <v>1.6195192361536472</v>
      </c>
      <c r="T125" s="253">
        <v>2.5201279908678034</v>
      </c>
      <c r="U125" s="249"/>
      <c r="V125"/>
      <c r="W125"/>
      <c r="X125"/>
      <c r="Y125"/>
      <c r="Z125"/>
      <c r="AA125"/>
      <c r="AB125"/>
      <c r="AC125"/>
      <c r="AD125"/>
      <c r="AE125"/>
      <c r="AF125"/>
      <c r="AG125"/>
      <c r="AH125"/>
      <c r="AI125"/>
    </row>
    <row r="126" spans="1:35" ht="21.75" customHeight="1" x14ac:dyDescent="0.25">
      <c r="A126" s="238">
        <v>37068</v>
      </c>
      <c r="B126" s="239">
        <v>1703.3700000000001</v>
      </c>
      <c r="C126" s="242">
        <f t="shared" si="1"/>
        <v>-1.5076367281320459E-3</v>
      </c>
      <c r="G126" s="1096"/>
      <c r="H126" s="245">
        <v>123</v>
      </c>
      <c r="I126" s="251">
        <v>-5.0139489792179806</v>
      </c>
      <c r="J126" s="252">
        <v>-4.0569927176175122</v>
      </c>
      <c r="K126" s="252">
        <v>-3.5673615913270176</v>
      </c>
      <c r="L126" s="252">
        <v>-3.0028482605955804</v>
      </c>
      <c r="M126" s="252">
        <v>-2.3192668461950885</v>
      </c>
      <c r="N126" s="252">
        <v>-1.4051828812701512</v>
      </c>
      <c r="O126" s="252">
        <v>-0.61786107820346259</v>
      </c>
      <c r="P126" s="252">
        <v>0.29622288672147468</v>
      </c>
      <c r="Q126" s="252">
        <v>0.97980430112196659</v>
      </c>
      <c r="R126" s="252">
        <v>1.5443176318534038</v>
      </c>
      <c r="S126" s="252">
        <v>2.0339487581438984</v>
      </c>
      <c r="T126" s="253">
        <v>2.9909050197443663</v>
      </c>
      <c r="U126" s="249"/>
      <c r="V126"/>
      <c r="W126"/>
      <c r="X126"/>
      <c r="Y126"/>
      <c r="Z126"/>
      <c r="AA126"/>
      <c r="AB126"/>
      <c r="AC126"/>
      <c r="AD126"/>
      <c r="AE126"/>
      <c r="AF126"/>
      <c r="AG126"/>
      <c r="AH126"/>
      <c r="AI126"/>
    </row>
    <row r="127" spans="1:35" ht="21.75" customHeight="1" x14ac:dyDescent="0.25">
      <c r="A127" s="238">
        <v>37069</v>
      </c>
      <c r="B127" s="239">
        <v>1695.6100000000001</v>
      </c>
      <c r="C127" s="242">
        <f t="shared" si="1"/>
        <v>-4.5660836382832746E-3</v>
      </c>
      <c r="G127" s="1096"/>
      <c r="H127" s="245">
        <v>124</v>
      </c>
      <c r="I127" s="251">
        <v>-4.9710441792901632</v>
      </c>
      <c r="J127" s="252">
        <v>-3.978735053530055</v>
      </c>
      <c r="K127" s="252">
        <v>-3.4710154697095064</v>
      </c>
      <c r="L127" s="252">
        <v>-2.8856473059010828</v>
      </c>
      <c r="M127" s="252">
        <v>-2.176812322601906</v>
      </c>
      <c r="N127" s="252">
        <v>-1.2289593260720648</v>
      </c>
      <c r="O127" s="252">
        <v>-0.41255146978577706</v>
      </c>
      <c r="P127" s="252">
        <v>0.53530152674406406</v>
      </c>
      <c r="Q127" s="252">
        <v>1.2441365100432407</v>
      </c>
      <c r="R127" s="252">
        <v>1.8295046738516643</v>
      </c>
      <c r="S127" s="252">
        <v>2.3372242576722129</v>
      </c>
      <c r="T127" s="253">
        <v>3.3295333834323211</v>
      </c>
      <c r="U127" s="249"/>
      <c r="V127"/>
      <c r="W127"/>
      <c r="X127"/>
      <c r="Y127"/>
      <c r="Z127"/>
      <c r="AA127"/>
      <c r="AB127"/>
      <c r="AC127"/>
      <c r="AD127"/>
      <c r="AE127"/>
      <c r="AF127"/>
      <c r="AG127"/>
      <c r="AH127"/>
      <c r="AI127"/>
    </row>
    <row r="128" spans="1:35" ht="21.75" customHeight="1" x14ac:dyDescent="0.25">
      <c r="A128" s="238">
        <v>37070</v>
      </c>
      <c r="B128" s="239">
        <v>1716.81</v>
      </c>
      <c r="C128" s="242">
        <f t="shared" si="1"/>
        <v>1.2425359571323742E-2</v>
      </c>
      <c r="G128" s="1096"/>
      <c r="H128" s="245">
        <v>125</v>
      </c>
      <c r="I128" s="251">
        <v>-4.9107933854210355</v>
      </c>
      <c r="J128" s="252">
        <v>-3.8958806888332034</v>
      </c>
      <c r="K128" s="252">
        <v>-3.3765958827693145</v>
      </c>
      <c r="L128" s="252">
        <v>-2.7778937583961292</v>
      </c>
      <c r="M128" s="252">
        <v>-2.0529123935569276</v>
      </c>
      <c r="N128" s="252">
        <v>-1.0834684816710261</v>
      </c>
      <c r="O128" s="252">
        <v>-0.24846386725279868</v>
      </c>
      <c r="P128" s="252">
        <v>0.72098004463310261</v>
      </c>
      <c r="Q128" s="252">
        <v>1.4459614094723041</v>
      </c>
      <c r="R128" s="252">
        <v>2.0446635338454895</v>
      </c>
      <c r="S128" s="252">
        <v>2.5639483399093783</v>
      </c>
      <c r="T128" s="253">
        <v>3.5788610364972104</v>
      </c>
      <c r="U128" s="249"/>
      <c r="V128"/>
      <c r="W128"/>
      <c r="X128"/>
      <c r="Y128"/>
      <c r="Z128"/>
      <c r="AA128"/>
      <c r="AB128"/>
      <c r="AC128"/>
      <c r="AD128"/>
      <c r="AE128"/>
      <c r="AF128"/>
      <c r="AG128"/>
      <c r="AH128"/>
      <c r="AI128"/>
    </row>
    <row r="129" spans="1:35" ht="21.75" customHeight="1" x14ac:dyDescent="0.25">
      <c r="A129" s="238">
        <v>37071</v>
      </c>
      <c r="B129" s="239">
        <v>1714.32</v>
      </c>
      <c r="C129" s="242">
        <f t="shared" si="1"/>
        <v>-1.4514171349508172E-3</v>
      </c>
      <c r="G129" s="1096"/>
      <c r="H129" s="245">
        <v>126</v>
      </c>
      <c r="I129" s="251">
        <v>-4.8463056808571148</v>
      </c>
      <c r="J129" s="252">
        <v>-3.8167821270471931</v>
      </c>
      <c r="K129" s="252">
        <v>-3.2900216078658038</v>
      </c>
      <c r="L129" s="252">
        <v>-2.6827004650418815</v>
      </c>
      <c r="M129" s="252">
        <v>-1.9472821441512345</v>
      </c>
      <c r="N129" s="252">
        <v>-0.96388195146501487</v>
      </c>
      <c r="O129" s="252">
        <v>-0.11685646742709765</v>
      </c>
      <c r="P129" s="252">
        <v>0.86654372525912204</v>
      </c>
      <c r="Q129" s="252">
        <v>1.6019620461497692</v>
      </c>
      <c r="R129" s="252">
        <v>2.2092831889736915</v>
      </c>
      <c r="S129" s="252">
        <v>2.7360437081550808</v>
      </c>
      <c r="T129" s="253">
        <v>3.7655672619650025</v>
      </c>
      <c r="U129" s="249"/>
      <c r="V129"/>
      <c r="W129"/>
      <c r="X129"/>
      <c r="Y129"/>
      <c r="Z129"/>
      <c r="AA129"/>
      <c r="AB129"/>
      <c r="AC129"/>
      <c r="AD129"/>
      <c r="AE129"/>
      <c r="AF129"/>
      <c r="AG129"/>
      <c r="AH129"/>
      <c r="AI129"/>
    </row>
    <row r="130" spans="1:35" ht="21.75" customHeight="1" x14ac:dyDescent="0.25">
      <c r="A130" s="238">
        <v>37074</v>
      </c>
      <c r="B130" s="239">
        <v>1731.53</v>
      </c>
      <c r="C130" s="242">
        <f t="shared" si="1"/>
        <v>9.988910195459829E-3</v>
      </c>
      <c r="G130" s="1096"/>
      <c r="H130" s="245">
        <v>127</v>
      </c>
      <c r="I130" s="251">
        <v>-4.7841595398365442</v>
      </c>
      <c r="J130" s="252">
        <v>-3.7451286430905268</v>
      </c>
      <c r="K130" s="252">
        <v>-3.2135036476351164</v>
      </c>
      <c r="L130" s="252">
        <v>-2.6005740752072279</v>
      </c>
      <c r="M130" s="252">
        <v>-1.8583643854816276</v>
      </c>
      <c r="N130" s="252">
        <v>-0.86588278534174545</v>
      </c>
      <c r="O130" s="252">
        <v>-1.1035273607074958E-2</v>
      </c>
      <c r="P130" s="252">
        <v>0.98144632653280728</v>
      </c>
      <c r="Q130" s="252">
        <v>1.7236560162584074</v>
      </c>
      <c r="R130" s="252">
        <v>2.3365855886862965</v>
      </c>
      <c r="S130" s="252">
        <v>2.868210584141706</v>
      </c>
      <c r="T130" s="253">
        <v>3.9072414808877234</v>
      </c>
      <c r="U130" s="249"/>
      <c r="V130"/>
      <c r="W130"/>
      <c r="X130"/>
      <c r="Y130"/>
      <c r="Z130"/>
      <c r="AA130"/>
      <c r="AB130"/>
      <c r="AC130"/>
      <c r="AD130"/>
      <c r="AE130"/>
      <c r="AF130"/>
      <c r="AG130"/>
      <c r="AH130"/>
      <c r="AI130"/>
    </row>
    <row r="131" spans="1:35" ht="21.75" customHeight="1" x14ac:dyDescent="0.25">
      <c r="A131" s="238">
        <v>37075</v>
      </c>
      <c r="B131" s="239">
        <v>1728.65</v>
      </c>
      <c r="C131" s="242">
        <f t="shared" si="1"/>
        <v>-1.6646536683392922E-3</v>
      </c>
      <c r="G131" s="1096"/>
      <c r="H131" s="245">
        <v>128</v>
      </c>
      <c r="I131" s="251">
        <v>-4.7274513813301553</v>
      </c>
      <c r="J131" s="252">
        <v>-3.6822082457225429</v>
      </c>
      <c r="K131" s="252">
        <v>-3.1474047293329566</v>
      </c>
      <c r="L131" s="252">
        <v>-2.5308105258328042</v>
      </c>
      <c r="M131" s="252">
        <v>-1.7841632549992645</v>
      </c>
      <c r="N131" s="252">
        <v>-0.78574772855833008</v>
      </c>
      <c r="O131" s="252">
        <v>7.421081206851976E-2</v>
      </c>
      <c r="P131" s="252">
        <v>1.0726263385094541</v>
      </c>
      <c r="Q131" s="252">
        <v>1.819273609342994</v>
      </c>
      <c r="R131" s="252">
        <v>2.4358678128431466</v>
      </c>
      <c r="S131" s="252">
        <v>2.9706713292327329</v>
      </c>
      <c r="T131" s="253">
        <v>4.0159144648403444</v>
      </c>
      <c r="U131" s="249"/>
      <c r="V131"/>
      <c r="W131"/>
      <c r="X131"/>
      <c r="Y131"/>
      <c r="Z131"/>
      <c r="AA131"/>
      <c r="AB131"/>
      <c r="AC131"/>
      <c r="AD131"/>
      <c r="AE131"/>
      <c r="AF131"/>
      <c r="AG131"/>
      <c r="AH131"/>
      <c r="AI131"/>
    </row>
    <row r="132" spans="1:35" ht="21.75" customHeight="1" x14ac:dyDescent="0.25">
      <c r="A132" s="238">
        <v>37077</v>
      </c>
      <c r="B132" s="239">
        <v>1707.68</v>
      </c>
      <c r="C132" s="242">
        <f t="shared" si="1"/>
        <v>-1.2205032876292337E-2</v>
      </c>
      <c r="G132" s="1096"/>
      <c r="H132" s="245">
        <v>129</v>
      </c>
      <c r="I132" s="251">
        <v>-4.6773780580234181</v>
      </c>
      <c r="J132" s="252">
        <v>-3.6280649844349848</v>
      </c>
      <c r="K132" s="252">
        <v>-3.0911790653302011</v>
      </c>
      <c r="L132" s="252">
        <v>-2.4721839848645946</v>
      </c>
      <c r="M132" s="252">
        <v>-1.7226294401324562</v>
      </c>
      <c r="N132" s="252">
        <v>-0.72032631172287442</v>
      </c>
      <c r="O132" s="252">
        <v>0.14298071100081688</v>
      </c>
      <c r="P132" s="252">
        <v>1.1452838394103986</v>
      </c>
      <c r="Q132" s="252">
        <v>1.8948383841425371</v>
      </c>
      <c r="R132" s="252">
        <v>2.5138334646081439</v>
      </c>
      <c r="S132" s="252">
        <v>3.0507193837129276</v>
      </c>
      <c r="T132" s="253">
        <v>4.10003245730136</v>
      </c>
      <c r="U132" s="249"/>
      <c r="V132"/>
      <c r="W132"/>
      <c r="X132"/>
      <c r="Y132"/>
      <c r="Z132"/>
      <c r="AA132"/>
      <c r="AB132"/>
      <c r="AC132"/>
      <c r="AD132"/>
      <c r="AE132"/>
      <c r="AF132"/>
      <c r="AG132"/>
      <c r="AH132"/>
      <c r="AI132"/>
    </row>
    <row r="133" spans="1:35" ht="21.75" customHeight="1" x14ac:dyDescent="0.25">
      <c r="A133" s="238">
        <v>37078</v>
      </c>
      <c r="B133" s="239">
        <v>1667.9</v>
      </c>
      <c r="C133" s="242">
        <f t="shared" ref="C133:C196" si="2">LN(B133/B132)</f>
        <v>-2.3570374082527372E-2</v>
      </c>
      <c r="G133" s="1096"/>
      <c r="H133" s="245">
        <v>130</v>
      </c>
      <c r="I133" s="251">
        <v>-4.6341074304044954</v>
      </c>
      <c r="J133" s="252">
        <v>-3.58212338569153</v>
      </c>
      <c r="K133" s="252">
        <v>-3.0438708517763606</v>
      </c>
      <c r="L133" s="252">
        <v>-2.4233001519577066</v>
      </c>
      <c r="M133" s="252">
        <v>-1.6718376556373962</v>
      </c>
      <c r="N133" s="252">
        <v>-0.66698321744106404</v>
      </c>
      <c r="O133" s="252">
        <v>0.19852130780817578</v>
      </c>
      <c r="P133" s="252">
        <v>1.203375746004508</v>
      </c>
      <c r="Q133" s="252">
        <v>1.9548382423248183</v>
      </c>
      <c r="R133" s="252">
        <v>2.575408942143472</v>
      </c>
      <c r="S133" s="252">
        <v>3.1136614760586414</v>
      </c>
      <c r="T133" s="253">
        <v>4.1656455207716077</v>
      </c>
      <c r="U133" s="249"/>
      <c r="V133"/>
      <c r="W133"/>
      <c r="X133"/>
      <c r="Y133"/>
      <c r="Z133"/>
      <c r="AA133"/>
      <c r="AB133"/>
      <c r="AC133"/>
      <c r="AD133"/>
      <c r="AE133"/>
      <c r="AF133"/>
      <c r="AG133"/>
      <c r="AH133"/>
      <c r="AI133"/>
    </row>
    <row r="134" spans="1:35" ht="21.75" customHeight="1" x14ac:dyDescent="0.25">
      <c r="A134" s="238">
        <v>37081</v>
      </c>
      <c r="B134" s="239">
        <v>1679.4</v>
      </c>
      <c r="C134" s="242">
        <f t="shared" si="2"/>
        <v>6.8712366663353352E-3</v>
      </c>
      <c r="G134" s="1096"/>
      <c r="H134" s="245">
        <v>131</v>
      </c>
      <c r="I134" s="251">
        <v>-4.5972724207039795</v>
      </c>
      <c r="J134" s="252">
        <v>-3.5435335571726623</v>
      </c>
      <c r="K134" s="252">
        <v>-3.0043831620396473</v>
      </c>
      <c r="L134" s="252">
        <v>-2.3827772857393419</v>
      </c>
      <c r="M134" s="252">
        <v>-1.6300612718049041</v>
      </c>
      <c r="N134" s="252">
        <v>-0.62353063187650815</v>
      </c>
      <c r="O134" s="252">
        <v>0.24341764495424026</v>
      </c>
      <c r="P134" s="252">
        <v>1.2499482848826362</v>
      </c>
      <c r="Q134" s="252">
        <v>2.002664298817074</v>
      </c>
      <c r="R134" s="252">
        <v>2.6242701751173794</v>
      </c>
      <c r="S134" s="252">
        <v>3.1634205702503944</v>
      </c>
      <c r="T134" s="253">
        <v>4.2171594337817124</v>
      </c>
      <c r="U134" s="249"/>
      <c r="V134"/>
      <c r="W134"/>
      <c r="X134"/>
      <c r="Y134"/>
      <c r="Z134"/>
      <c r="AA134"/>
      <c r="AB134"/>
      <c r="AC134"/>
      <c r="AD134"/>
      <c r="AE134"/>
      <c r="AF134"/>
      <c r="AG134"/>
      <c r="AH134"/>
      <c r="AI134"/>
    </row>
    <row r="135" spans="1:35" ht="21.75" customHeight="1" x14ac:dyDescent="0.25">
      <c r="A135" s="238">
        <v>37082</v>
      </c>
      <c r="B135" s="239">
        <v>1655.3</v>
      </c>
      <c r="C135" s="242">
        <f t="shared" si="2"/>
        <v>-1.4454325483343144E-2</v>
      </c>
      <c r="G135" s="1096"/>
      <c r="H135" s="245">
        <v>132</v>
      </c>
      <c r="I135" s="251">
        <v>-4.5662544658091351</v>
      </c>
      <c r="J135" s="252">
        <v>-3.5113618577138208</v>
      </c>
      <c r="K135" s="252">
        <v>-2.971621143803461</v>
      </c>
      <c r="L135" s="252">
        <v>-2.3493346677591864</v>
      </c>
      <c r="M135" s="252">
        <v>-1.595794500859185</v>
      </c>
      <c r="N135" s="252">
        <v>-0.58816180491434777</v>
      </c>
      <c r="O135" s="252">
        <v>0.2797356984242918</v>
      </c>
      <c r="P135" s="252">
        <v>1.2873683943691288</v>
      </c>
      <c r="Q135" s="252">
        <v>2.0409085612691307</v>
      </c>
      <c r="R135" s="252">
        <v>2.6631950373134052</v>
      </c>
      <c r="S135" s="252">
        <v>3.2029357512237651</v>
      </c>
      <c r="T135" s="253">
        <v>4.2578283593190784</v>
      </c>
      <c r="U135" s="249"/>
      <c r="V135"/>
      <c r="W135"/>
      <c r="X135"/>
      <c r="Y135"/>
      <c r="Z135"/>
      <c r="AA135"/>
      <c r="AB135"/>
      <c r="AC135"/>
      <c r="AD135"/>
      <c r="AE135"/>
      <c r="AF135"/>
      <c r="AG135"/>
      <c r="AH135"/>
      <c r="AI135"/>
    </row>
    <row r="136" spans="1:35" ht="21.75" customHeight="1" x14ac:dyDescent="0.25">
      <c r="A136" s="238">
        <v>37083</v>
      </c>
      <c r="B136" s="239">
        <v>1653.54</v>
      </c>
      <c r="C136" s="242">
        <f t="shared" si="2"/>
        <v>-1.0638170271053714E-3</v>
      </c>
      <c r="G136" s="1096"/>
      <c r="H136" s="245">
        <v>133</v>
      </c>
      <c r="I136" s="251">
        <v>-4.5403449948689056</v>
      </c>
      <c r="J136" s="252">
        <v>-3.4846934724293797</v>
      </c>
      <c r="K136" s="252">
        <v>-2.9445644564617313</v>
      </c>
      <c r="L136" s="252">
        <v>-2.3218302930137766</v>
      </c>
      <c r="M136" s="252">
        <v>-1.5677480117438269</v>
      </c>
      <c r="N136" s="252">
        <v>-0.55939040133776252</v>
      </c>
      <c r="O136" s="252">
        <v>0.30913148770567311</v>
      </c>
      <c r="P136" s="252">
        <v>1.3174890981117373</v>
      </c>
      <c r="Q136" s="252">
        <v>2.071571379381687</v>
      </c>
      <c r="R136" s="252">
        <v>2.6943055428296416</v>
      </c>
      <c r="S136" s="252">
        <v>3.23443455879729</v>
      </c>
      <c r="T136" s="253">
        <v>4.290086081236816</v>
      </c>
      <c r="U136" s="249"/>
      <c r="V136"/>
      <c r="W136"/>
      <c r="X136"/>
      <c r="Y136"/>
      <c r="Z136"/>
      <c r="AA136"/>
      <c r="AB136"/>
      <c r="AC136"/>
      <c r="AD136"/>
      <c r="AE136"/>
      <c r="AF136"/>
      <c r="AG136"/>
      <c r="AH136"/>
      <c r="AI136"/>
    </row>
    <row r="137" spans="1:35" ht="21.75" customHeight="1" x14ac:dyDescent="0.25">
      <c r="A137" s="238">
        <v>37084</v>
      </c>
      <c r="B137" s="239">
        <v>1692.73</v>
      </c>
      <c r="C137" s="242">
        <f t="shared" si="2"/>
        <v>2.3424165963159362E-2</v>
      </c>
      <c r="G137" s="1096"/>
      <c r="H137" s="15">
        <v>134</v>
      </c>
      <c r="I137" s="256">
        <v>-4.518834915519033</v>
      </c>
      <c r="J137" s="257">
        <v>-3.4626840365113796</v>
      </c>
      <c r="K137" s="257">
        <v>-2.9222995224309289</v>
      </c>
      <c r="L137" s="257">
        <v>-2.299270786022007</v>
      </c>
      <c r="M137" s="257">
        <v>-1.5448317999758538</v>
      </c>
      <c r="N137" s="257">
        <v>-0.5359972045183079</v>
      </c>
      <c r="O137" s="257">
        <v>0.33293552285637362</v>
      </c>
      <c r="P137" s="257">
        <v>1.3417701183139195</v>
      </c>
      <c r="Q137" s="257">
        <v>2.096209104360073</v>
      </c>
      <c r="R137" s="257">
        <v>2.719237840768995</v>
      </c>
      <c r="S137" s="257">
        <v>3.2596223548494456</v>
      </c>
      <c r="T137" s="258">
        <v>4.3157732338570991</v>
      </c>
      <c r="U137" s="249"/>
      <c r="V137"/>
      <c r="W137"/>
      <c r="X137"/>
      <c r="Y137"/>
      <c r="Z137"/>
      <c r="AA137"/>
      <c r="AB137"/>
      <c r="AC137"/>
      <c r="AD137"/>
      <c r="AE137"/>
      <c r="AF137"/>
      <c r="AG137"/>
      <c r="AH137"/>
      <c r="AI137"/>
    </row>
    <row r="138" spans="1:35" x14ac:dyDescent="0.25">
      <c r="A138" s="238">
        <v>37085</v>
      </c>
      <c r="B138" s="239">
        <v>1703.31</v>
      </c>
      <c r="C138" s="242">
        <f t="shared" si="2"/>
        <v>6.2308066035027046E-3</v>
      </c>
      <c r="V138"/>
      <c r="W138"/>
      <c r="X138"/>
      <c r="Y138"/>
      <c r="Z138"/>
      <c r="AA138"/>
      <c r="AB138"/>
      <c r="AC138"/>
      <c r="AD138"/>
      <c r="AE138"/>
      <c r="AF138"/>
      <c r="AG138"/>
      <c r="AH138"/>
      <c r="AI138"/>
    </row>
    <row r="139" spans="1:35" x14ac:dyDescent="0.25">
      <c r="A139" s="238">
        <v>37088</v>
      </c>
      <c r="B139" s="239">
        <v>1684.77</v>
      </c>
      <c r="C139" s="242">
        <f t="shared" si="2"/>
        <v>-1.0944360852305039E-2</v>
      </c>
      <c r="V139"/>
      <c r="W139"/>
      <c r="X139"/>
      <c r="Y139"/>
      <c r="Z139"/>
      <c r="AA139"/>
      <c r="AB139"/>
      <c r="AC139"/>
      <c r="AD139"/>
      <c r="AE139"/>
      <c r="AF139"/>
      <c r="AG139"/>
      <c r="AH139"/>
      <c r="AI139"/>
    </row>
    <row r="140" spans="1:35" x14ac:dyDescent="0.25">
      <c r="A140" s="238">
        <v>37089</v>
      </c>
      <c r="B140" s="239">
        <v>1701.57</v>
      </c>
      <c r="C140" s="242">
        <f t="shared" si="2"/>
        <v>9.9222983117933563E-3</v>
      </c>
      <c r="V140"/>
      <c r="W140"/>
      <c r="X140"/>
      <c r="Y140"/>
      <c r="Z140"/>
      <c r="AA140"/>
      <c r="AB140"/>
      <c r="AC140"/>
      <c r="AD140"/>
      <c r="AE140"/>
      <c r="AF140"/>
      <c r="AG140"/>
      <c r="AH140"/>
      <c r="AI140"/>
    </row>
    <row r="141" spans="1:35" x14ac:dyDescent="0.25">
      <c r="A141" s="238">
        <v>37090</v>
      </c>
      <c r="B141" s="239">
        <v>1692.27</v>
      </c>
      <c r="C141" s="242">
        <f t="shared" si="2"/>
        <v>-5.4805313615621043E-3</v>
      </c>
      <c r="V141"/>
      <c r="W141"/>
      <c r="X141"/>
      <c r="Y141"/>
      <c r="Z141"/>
      <c r="AA141"/>
      <c r="AB141"/>
      <c r="AC141"/>
      <c r="AD141"/>
      <c r="AE141"/>
      <c r="AF141"/>
      <c r="AG141"/>
      <c r="AH141"/>
      <c r="AI141"/>
    </row>
    <row r="142" spans="1:35" x14ac:dyDescent="0.25">
      <c r="A142" s="238">
        <v>37091</v>
      </c>
      <c r="B142" s="239">
        <v>1702.52</v>
      </c>
      <c r="C142" s="242">
        <f t="shared" si="2"/>
        <v>6.0386834813138963E-3</v>
      </c>
      <c r="V142"/>
      <c r="W142"/>
      <c r="X142"/>
      <c r="Y142"/>
      <c r="Z142"/>
      <c r="AA142"/>
      <c r="AB142"/>
      <c r="AC142"/>
      <c r="AD142"/>
      <c r="AE142"/>
      <c r="AF142"/>
      <c r="AG142"/>
      <c r="AH142"/>
      <c r="AI142"/>
    </row>
    <row r="143" spans="1:35" x14ac:dyDescent="0.25">
      <c r="A143" s="238">
        <v>37092</v>
      </c>
      <c r="B143" s="239">
        <v>1696.67</v>
      </c>
      <c r="C143" s="242">
        <f t="shared" si="2"/>
        <v>-3.4419998738453648E-3</v>
      </c>
      <c r="V143"/>
      <c r="W143"/>
      <c r="X143"/>
      <c r="Y143"/>
      <c r="Z143"/>
      <c r="AA143"/>
      <c r="AB143"/>
      <c r="AC143"/>
      <c r="AD143"/>
      <c r="AE143"/>
      <c r="AF143"/>
      <c r="AG143"/>
      <c r="AH143"/>
      <c r="AI143"/>
    </row>
    <row r="144" spans="1:35" x14ac:dyDescent="0.25">
      <c r="A144" s="238">
        <v>37095</v>
      </c>
      <c r="B144" s="239">
        <v>1668.9</v>
      </c>
      <c r="C144" s="242">
        <f t="shared" si="2"/>
        <v>-1.650277976171383E-2</v>
      </c>
      <c r="V144"/>
      <c r="W144"/>
      <c r="X144"/>
      <c r="Y144"/>
      <c r="Z144"/>
      <c r="AA144"/>
      <c r="AB144"/>
      <c r="AC144"/>
      <c r="AD144"/>
      <c r="AE144"/>
      <c r="AF144"/>
      <c r="AG144"/>
      <c r="AH144"/>
      <c r="AI144"/>
    </row>
    <row r="145" spans="1:35" x14ac:dyDescent="0.25">
      <c r="A145" s="238">
        <v>37096</v>
      </c>
      <c r="B145" s="239">
        <v>1641.76</v>
      </c>
      <c r="C145" s="242">
        <f t="shared" si="2"/>
        <v>-1.6395889635458308E-2</v>
      </c>
      <c r="V145"/>
      <c r="W145"/>
      <c r="X145"/>
      <c r="Y145"/>
      <c r="Z145"/>
      <c r="AA145"/>
      <c r="AB145"/>
      <c r="AC145"/>
      <c r="AD145"/>
      <c r="AE145"/>
      <c r="AF145"/>
      <c r="AG145"/>
      <c r="AH145"/>
      <c r="AI145"/>
    </row>
    <row r="146" spans="1:35" x14ac:dyDescent="0.25">
      <c r="A146" s="238">
        <v>37097</v>
      </c>
      <c r="B146" s="239">
        <v>1668.16</v>
      </c>
      <c r="C146" s="242">
        <f t="shared" si="2"/>
        <v>1.5952385465842153E-2</v>
      </c>
      <c r="V146"/>
      <c r="W146"/>
      <c r="X146"/>
      <c r="Y146"/>
      <c r="Z146"/>
      <c r="AA146"/>
      <c r="AB146"/>
      <c r="AC146"/>
      <c r="AD146"/>
      <c r="AE146"/>
      <c r="AF146"/>
      <c r="AG146"/>
      <c r="AH146"/>
      <c r="AI146"/>
    </row>
    <row r="147" spans="1:35" x14ac:dyDescent="0.25">
      <c r="A147" s="238">
        <v>37098</v>
      </c>
      <c r="B147" s="239">
        <v>1685.6200000000001</v>
      </c>
      <c r="C147" s="242">
        <f t="shared" si="2"/>
        <v>1.0412226051047843E-2</v>
      </c>
      <c r="V147"/>
      <c r="W147"/>
      <c r="X147"/>
      <c r="Y147"/>
      <c r="Z147"/>
      <c r="AA147"/>
      <c r="AB147"/>
      <c r="AC147"/>
      <c r="AD147"/>
      <c r="AE147"/>
      <c r="AF147"/>
      <c r="AG147"/>
      <c r="AH147"/>
      <c r="AI147"/>
    </row>
    <row r="148" spans="1:35" x14ac:dyDescent="0.25">
      <c r="A148" s="238">
        <v>37099</v>
      </c>
      <c r="B148" s="239">
        <v>1689.78</v>
      </c>
      <c r="C148" s="242">
        <f t="shared" si="2"/>
        <v>2.4648942977091447E-3</v>
      </c>
      <c r="V148"/>
      <c r="W148"/>
      <c r="X148"/>
      <c r="Y148"/>
      <c r="Z148"/>
      <c r="AA148"/>
      <c r="AB148"/>
      <c r="AC148"/>
      <c r="AD148"/>
      <c r="AE148"/>
      <c r="AF148"/>
      <c r="AG148"/>
      <c r="AH148"/>
      <c r="AI148"/>
    </row>
    <row r="149" spans="1:35" x14ac:dyDescent="0.25">
      <c r="A149" s="238">
        <v>37102</v>
      </c>
      <c r="B149" s="239">
        <v>1688.03</v>
      </c>
      <c r="C149" s="242">
        <f t="shared" si="2"/>
        <v>-1.0361744186765868E-3</v>
      </c>
      <c r="V149"/>
      <c r="W149"/>
      <c r="X149"/>
      <c r="Y149"/>
      <c r="Z149"/>
      <c r="AA149"/>
      <c r="AB149"/>
      <c r="AC149"/>
      <c r="AD149"/>
      <c r="AE149"/>
      <c r="AF149"/>
      <c r="AG149"/>
      <c r="AH149"/>
      <c r="AI149"/>
    </row>
    <row r="150" spans="1:35" x14ac:dyDescent="0.25">
      <c r="A150" s="238">
        <v>37103</v>
      </c>
      <c r="B150" s="239">
        <v>1697.44</v>
      </c>
      <c r="C150" s="242">
        <f t="shared" si="2"/>
        <v>5.559065201139953E-3</v>
      </c>
      <c r="V150"/>
      <c r="W150"/>
      <c r="X150"/>
      <c r="Y150"/>
      <c r="Z150"/>
      <c r="AA150"/>
      <c r="AB150"/>
      <c r="AC150"/>
      <c r="AD150"/>
      <c r="AE150"/>
      <c r="AF150"/>
      <c r="AG150"/>
      <c r="AH150"/>
      <c r="AI150"/>
    </row>
    <row r="151" spans="1:35" x14ac:dyDescent="0.25">
      <c r="A151" s="238">
        <v>37104</v>
      </c>
      <c r="B151" s="239">
        <v>1704.24</v>
      </c>
      <c r="C151" s="242">
        <f t="shared" si="2"/>
        <v>3.9980298309864985E-3</v>
      </c>
      <c r="V151"/>
      <c r="W151"/>
      <c r="X151"/>
      <c r="Y151"/>
      <c r="Z151"/>
      <c r="AA151"/>
      <c r="AB151"/>
      <c r="AC151"/>
      <c r="AD151"/>
      <c r="AE151"/>
      <c r="AF151"/>
      <c r="AG151"/>
      <c r="AH151"/>
      <c r="AI151"/>
    </row>
    <row r="152" spans="1:35" x14ac:dyDescent="0.25">
      <c r="A152" s="238">
        <v>37105</v>
      </c>
      <c r="B152" s="239">
        <v>1711.17</v>
      </c>
      <c r="C152" s="242">
        <f t="shared" si="2"/>
        <v>4.0580835157663477E-3</v>
      </c>
      <c r="V152"/>
      <c r="W152"/>
      <c r="X152"/>
      <c r="Y152"/>
      <c r="Z152"/>
      <c r="AA152"/>
      <c r="AB152"/>
      <c r="AC152"/>
      <c r="AD152"/>
      <c r="AE152"/>
      <c r="AF152"/>
      <c r="AG152"/>
      <c r="AH152"/>
      <c r="AI152"/>
    </row>
    <row r="153" spans="1:35" x14ac:dyDescent="0.25">
      <c r="A153" s="238">
        <v>37106</v>
      </c>
      <c r="B153" s="239">
        <v>1702.43</v>
      </c>
      <c r="C153" s="242">
        <f t="shared" si="2"/>
        <v>-5.1207048852065385E-3</v>
      </c>
      <c r="V153"/>
      <c r="W153"/>
      <c r="X153"/>
      <c r="Y153"/>
      <c r="Z153"/>
      <c r="AA153"/>
      <c r="AB153"/>
      <c r="AC153"/>
      <c r="AD153"/>
      <c r="AE153"/>
      <c r="AF153"/>
      <c r="AG153"/>
      <c r="AH153"/>
      <c r="AI153"/>
    </row>
    <row r="154" spans="1:35" x14ac:dyDescent="0.25">
      <c r="A154" s="238">
        <v>37109</v>
      </c>
      <c r="B154" s="239">
        <v>1683.03</v>
      </c>
      <c r="C154" s="242">
        <f t="shared" si="2"/>
        <v>-1.146090182862766E-2</v>
      </c>
      <c r="V154"/>
      <c r="W154"/>
      <c r="X154"/>
      <c r="Y154"/>
      <c r="Z154"/>
      <c r="AA154"/>
      <c r="AB154"/>
      <c r="AC154"/>
      <c r="AD154"/>
      <c r="AE154"/>
      <c r="AF154"/>
      <c r="AG154"/>
      <c r="AH154"/>
      <c r="AI154"/>
    </row>
    <row r="155" spans="1:35" x14ac:dyDescent="0.25">
      <c r="A155" s="238">
        <v>37110</v>
      </c>
      <c r="B155" s="239">
        <v>1688.6000000000001</v>
      </c>
      <c r="C155" s="242">
        <f t="shared" si="2"/>
        <v>3.304042891519688E-3</v>
      </c>
      <c r="V155"/>
      <c r="W155"/>
      <c r="X155"/>
      <c r="Y155"/>
      <c r="Z155"/>
      <c r="AA155"/>
      <c r="AB155"/>
      <c r="AC155"/>
      <c r="AD155"/>
      <c r="AE155"/>
      <c r="AF155"/>
      <c r="AG155"/>
      <c r="AH155"/>
      <c r="AI155"/>
    </row>
    <row r="156" spans="1:35" x14ac:dyDescent="0.25">
      <c r="A156" s="238">
        <v>37111</v>
      </c>
      <c r="B156" s="239">
        <v>1659.58</v>
      </c>
      <c r="C156" s="242">
        <f t="shared" si="2"/>
        <v>-1.733522494595173E-2</v>
      </c>
      <c r="V156"/>
      <c r="W156"/>
      <c r="X156"/>
      <c r="Y156"/>
      <c r="Z156"/>
      <c r="AA156"/>
      <c r="AB156"/>
      <c r="AC156"/>
      <c r="AD156"/>
      <c r="AE156"/>
      <c r="AF156"/>
      <c r="AG156"/>
      <c r="AH156"/>
      <c r="AI156"/>
    </row>
    <row r="157" spans="1:35" x14ac:dyDescent="0.25">
      <c r="A157" s="238">
        <v>37112</v>
      </c>
      <c r="B157" s="239">
        <v>1659.76</v>
      </c>
      <c r="C157" s="242">
        <f t="shared" si="2"/>
        <v>1.0845529543624536E-4</v>
      </c>
      <c r="V157"/>
      <c r="W157"/>
      <c r="X157"/>
      <c r="Y157"/>
      <c r="Z157"/>
      <c r="AA157"/>
      <c r="AB157"/>
      <c r="AC157"/>
      <c r="AD157"/>
      <c r="AE157"/>
      <c r="AF157"/>
      <c r="AG157"/>
      <c r="AH157"/>
      <c r="AI157"/>
    </row>
    <row r="158" spans="1:35" x14ac:dyDescent="0.25">
      <c r="A158" s="238">
        <v>37113</v>
      </c>
      <c r="B158" s="239">
        <v>1669.21</v>
      </c>
      <c r="C158" s="242">
        <f t="shared" si="2"/>
        <v>5.6774470084094818E-3</v>
      </c>
      <c r="V158"/>
      <c r="W158"/>
      <c r="X158"/>
      <c r="Y158"/>
      <c r="Z158"/>
      <c r="AA158"/>
      <c r="AB158"/>
      <c r="AC158"/>
      <c r="AD158"/>
      <c r="AE158"/>
      <c r="AF158"/>
      <c r="AG158"/>
      <c r="AH158"/>
      <c r="AI158"/>
    </row>
    <row r="159" spans="1:35" x14ac:dyDescent="0.25">
      <c r="A159" s="238">
        <v>37116</v>
      </c>
      <c r="B159" s="239">
        <v>1670.96</v>
      </c>
      <c r="C159" s="242">
        <f t="shared" si="2"/>
        <v>1.0478509537680263E-3</v>
      </c>
    </row>
    <row r="160" spans="1:35" x14ac:dyDescent="0.25">
      <c r="A160" s="238">
        <v>37117</v>
      </c>
      <c r="B160" s="239">
        <v>1664.6100000000001</v>
      </c>
      <c r="C160" s="242">
        <f t="shared" si="2"/>
        <v>-3.8074498038744029E-3</v>
      </c>
    </row>
    <row r="161" spans="1:3" x14ac:dyDescent="0.25">
      <c r="A161" s="238">
        <v>37118</v>
      </c>
      <c r="B161" s="239">
        <v>1652.71</v>
      </c>
      <c r="C161" s="242">
        <f t="shared" si="2"/>
        <v>-7.1744969098050202E-3</v>
      </c>
    </row>
    <row r="162" spans="1:3" x14ac:dyDescent="0.25">
      <c r="A162" s="238">
        <v>37119</v>
      </c>
      <c r="B162" s="239">
        <v>1657.88</v>
      </c>
      <c r="C162" s="242">
        <f t="shared" si="2"/>
        <v>3.1233128855064291E-3</v>
      </c>
    </row>
    <row r="163" spans="1:3" x14ac:dyDescent="0.25">
      <c r="A163" s="238">
        <v>37120</v>
      </c>
      <c r="B163" s="239">
        <v>1630.3400000000001</v>
      </c>
      <c r="C163" s="242">
        <f t="shared" si="2"/>
        <v>-1.6751095712677241E-2</v>
      </c>
    </row>
    <row r="164" spans="1:3" x14ac:dyDescent="0.25">
      <c r="A164" s="238">
        <v>37123</v>
      </c>
      <c r="B164" s="239">
        <v>1643.5900000000001</v>
      </c>
      <c r="C164" s="242">
        <f t="shared" si="2"/>
        <v>8.0942917791316602E-3</v>
      </c>
    </row>
    <row r="165" spans="1:3" x14ac:dyDescent="0.25">
      <c r="A165" s="238">
        <v>37124</v>
      </c>
      <c r="B165" s="239">
        <v>1623.74</v>
      </c>
      <c r="C165" s="242">
        <f t="shared" si="2"/>
        <v>-1.215074340302384E-2</v>
      </c>
    </row>
    <row r="166" spans="1:3" x14ac:dyDescent="0.25">
      <c r="A166" s="238">
        <v>37125</v>
      </c>
      <c r="B166" s="239">
        <v>1635.16</v>
      </c>
      <c r="C166" s="242">
        <f t="shared" si="2"/>
        <v>7.0085284883400611E-3</v>
      </c>
    </row>
    <row r="167" spans="1:3" x14ac:dyDescent="0.25">
      <c r="A167" s="238">
        <v>37126</v>
      </c>
      <c r="B167" s="239">
        <v>1630.66</v>
      </c>
      <c r="C167" s="242">
        <f t="shared" si="2"/>
        <v>-2.755818047503827E-3</v>
      </c>
    </row>
    <row r="168" spans="1:3" x14ac:dyDescent="0.25">
      <c r="A168" s="238">
        <v>37127</v>
      </c>
      <c r="B168" s="239">
        <v>1662.74</v>
      </c>
      <c r="C168" s="242">
        <f t="shared" si="2"/>
        <v>1.9482003190077084E-2</v>
      </c>
    </row>
    <row r="169" spans="1:3" x14ac:dyDescent="0.25">
      <c r="A169" s="238">
        <v>37130</v>
      </c>
      <c r="B169" s="239">
        <v>1654.72</v>
      </c>
      <c r="C169" s="242">
        <f t="shared" si="2"/>
        <v>-4.8350338053758301E-3</v>
      </c>
    </row>
    <row r="170" spans="1:3" x14ac:dyDescent="0.25">
      <c r="A170" s="238">
        <v>37131</v>
      </c>
      <c r="B170" s="239">
        <v>1629.91</v>
      </c>
      <c r="C170" s="242">
        <f t="shared" si="2"/>
        <v>-1.5107011655363921E-2</v>
      </c>
    </row>
    <row r="171" spans="1:3" x14ac:dyDescent="0.25">
      <c r="A171" s="238">
        <v>37132</v>
      </c>
      <c r="B171" s="239">
        <v>1612.05</v>
      </c>
      <c r="C171" s="242">
        <f t="shared" si="2"/>
        <v>-1.1018137597220761E-2</v>
      </c>
    </row>
    <row r="172" spans="1:3" x14ac:dyDescent="0.25">
      <c r="A172" s="238">
        <v>37133</v>
      </c>
      <c r="B172" s="239">
        <v>1584.77</v>
      </c>
      <c r="C172" s="242">
        <f t="shared" si="2"/>
        <v>-1.7067374583519857E-2</v>
      </c>
    </row>
    <row r="173" spans="1:3" x14ac:dyDescent="0.25">
      <c r="A173" s="238">
        <v>37134</v>
      </c>
      <c r="B173" s="239">
        <v>1591.18</v>
      </c>
      <c r="C173" s="242">
        <f t="shared" si="2"/>
        <v>4.0365929588020251E-3</v>
      </c>
    </row>
    <row r="174" spans="1:3" x14ac:dyDescent="0.25">
      <c r="A174" s="238">
        <v>37138</v>
      </c>
      <c r="B174" s="239">
        <v>1590.29</v>
      </c>
      <c r="C174" s="242">
        <f t="shared" si="2"/>
        <v>-5.5948981019236527E-4</v>
      </c>
    </row>
    <row r="175" spans="1:3" x14ac:dyDescent="0.25">
      <c r="A175" s="238">
        <v>37139</v>
      </c>
      <c r="B175" s="239">
        <v>1588.93</v>
      </c>
      <c r="C175" s="242">
        <f t="shared" si="2"/>
        <v>-8.5555581743765915E-4</v>
      </c>
    </row>
    <row r="176" spans="1:3" x14ac:dyDescent="0.25">
      <c r="A176" s="238">
        <v>37140</v>
      </c>
      <c r="B176" s="239">
        <v>1553.41</v>
      </c>
      <c r="C176" s="242">
        <f t="shared" si="2"/>
        <v>-2.2608319246144464E-2</v>
      </c>
    </row>
    <row r="177" spans="1:3" x14ac:dyDescent="0.25">
      <c r="A177" s="238">
        <v>37141</v>
      </c>
      <c r="B177" s="239">
        <v>1524.47</v>
      </c>
      <c r="C177" s="242">
        <f t="shared" si="2"/>
        <v>-1.8805705805238014E-2</v>
      </c>
    </row>
    <row r="178" spans="1:3" x14ac:dyDescent="0.25">
      <c r="A178" s="238">
        <v>37144</v>
      </c>
      <c r="B178" s="239">
        <v>1533.98</v>
      </c>
      <c r="C178" s="242">
        <f t="shared" si="2"/>
        <v>6.2188563810189673E-3</v>
      </c>
    </row>
    <row r="179" spans="1:3" x14ac:dyDescent="0.25">
      <c r="A179" s="238">
        <v>37151</v>
      </c>
      <c r="B179" s="239">
        <v>1458.99</v>
      </c>
      <c r="C179" s="242">
        <f t="shared" si="2"/>
        <v>-5.0121249542859299E-2</v>
      </c>
    </row>
    <row r="180" spans="1:3" x14ac:dyDescent="0.25">
      <c r="A180" s="238">
        <v>37152</v>
      </c>
      <c r="B180" s="239">
        <v>1450.54</v>
      </c>
      <c r="C180" s="242">
        <f t="shared" si="2"/>
        <v>-5.8085146107822025E-3</v>
      </c>
    </row>
    <row r="181" spans="1:3" x14ac:dyDescent="0.25">
      <c r="A181" s="238">
        <v>37153</v>
      </c>
      <c r="B181" s="239">
        <v>1427.24</v>
      </c>
      <c r="C181" s="242">
        <f t="shared" si="2"/>
        <v>-1.6193391540090793E-2</v>
      </c>
    </row>
    <row r="182" spans="1:3" x14ac:dyDescent="0.25">
      <c r="A182" s="238">
        <v>37154</v>
      </c>
      <c r="B182" s="239">
        <v>1382.93</v>
      </c>
      <c r="C182" s="242">
        <f t="shared" si="2"/>
        <v>-3.1538072560961451E-2</v>
      </c>
    </row>
    <row r="183" spans="1:3" x14ac:dyDescent="0.25">
      <c r="A183" s="238">
        <v>37155</v>
      </c>
      <c r="B183" s="239">
        <v>1356.6100000000001</v>
      </c>
      <c r="C183" s="242">
        <f t="shared" si="2"/>
        <v>-1.9215495923455412E-2</v>
      </c>
    </row>
    <row r="184" spans="1:3" x14ac:dyDescent="0.25">
      <c r="A184" s="238">
        <v>37158</v>
      </c>
      <c r="B184" s="239">
        <v>1409.5</v>
      </c>
      <c r="C184" s="242">
        <f t="shared" si="2"/>
        <v>3.8246090699755986E-2</v>
      </c>
    </row>
    <row r="185" spans="1:3" x14ac:dyDescent="0.25">
      <c r="A185" s="238">
        <v>37159</v>
      </c>
      <c r="B185" s="239">
        <v>1421.91</v>
      </c>
      <c r="C185" s="242">
        <f t="shared" si="2"/>
        <v>8.7660066668097374E-3</v>
      </c>
    </row>
    <row r="186" spans="1:3" x14ac:dyDescent="0.25">
      <c r="A186" s="238">
        <v>37160</v>
      </c>
      <c r="B186" s="239">
        <v>1415.01</v>
      </c>
      <c r="C186" s="242">
        <f t="shared" si="2"/>
        <v>-4.864440030801981E-3</v>
      </c>
    </row>
    <row r="187" spans="1:3" x14ac:dyDescent="0.25">
      <c r="A187" s="238">
        <v>37161</v>
      </c>
      <c r="B187" s="239">
        <v>1431.29</v>
      </c>
      <c r="C187" s="242">
        <f t="shared" si="2"/>
        <v>1.1439537320101023E-2</v>
      </c>
    </row>
    <row r="188" spans="1:3" x14ac:dyDescent="0.25">
      <c r="A188" s="238">
        <v>37162</v>
      </c>
      <c r="B188" s="239">
        <v>1462.69</v>
      </c>
      <c r="C188" s="242">
        <f t="shared" si="2"/>
        <v>2.1701070687488305E-2</v>
      </c>
    </row>
    <row r="189" spans="1:3" x14ac:dyDescent="0.25">
      <c r="A189" s="238">
        <v>37165</v>
      </c>
      <c r="B189" s="239">
        <v>1459.33</v>
      </c>
      <c r="C189" s="242">
        <f t="shared" si="2"/>
        <v>-2.2997799336873922E-3</v>
      </c>
    </row>
    <row r="190" spans="1:3" x14ac:dyDescent="0.25">
      <c r="A190" s="238">
        <v>37166</v>
      </c>
      <c r="B190" s="239">
        <v>1477.29</v>
      </c>
      <c r="C190" s="242">
        <f t="shared" si="2"/>
        <v>1.2231901934773786E-2</v>
      </c>
    </row>
    <row r="191" spans="1:3" x14ac:dyDescent="0.25">
      <c r="A191" s="238">
        <v>37167</v>
      </c>
      <c r="B191" s="239">
        <v>1507.03</v>
      </c>
      <c r="C191" s="242">
        <f t="shared" si="2"/>
        <v>1.9931498329700065E-2</v>
      </c>
    </row>
    <row r="192" spans="1:3" x14ac:dyDescent="0.25">
      <c r="A192" s="238">
        <v>37168</v>
      </c>
      <c r="B192" s="239">
        <v>1503.31</v>
      </c>
      <c r="C192" s="242">
        <f t="shared" si="2"/>
        <v>-2.4714828846910284E-3</v>
      </c>
    </row>
    <row r="193" spans="1:3" x14ac:dyDescent="0.25">
      <c r="A193" s="238">
        <v>37169</v>
      </c>
      <c r="B193" s="239">
        <v>1506.1100000000001</v>
      </c>
      <c r="C193" s="242">
        <f t="shared" si="2"/>
        <v>1.8608242172615096E-3</v>
      </c>
    </row>
    <row r="194" spans="1:3" x14ac:dyDescent="0.25">
      <c r="A194" s="238">
        <v>37172</v>
      </c>
      <c r="B194" s="239">
        <v>1493.54</v>
      </c>
      <c r="C194" s="242">
        <f t="shared" si="2"/>
        <v>-8.3810268384654236E-3</v>
      </c>
    </row>
    <row r="195" spans="1:3" x14ac:dyDescent="0.25">
      <c r="A195" s="238">
        <v>37173</v>
      </c>
      <c r="B195" s="239">
        <v>1485.63</v>
      </c>
      <c r="C195" s="242">
        <f t="shared" si="2"/>
        <v>-5.3102163269869015E-3</v>
      </c>
    </row>
    <row r="196" spans="1:3" x14ac:dyDescent="0.25">
      <c r="A196" s="238">
        <v>37174</v>
      </c>
      <c r="B196" s="239">
        <v>1519.77</v>
      </c>
      <c r="C196" s="242">
        <f t="shared" si="2"/>
        <v>2.272008290579014E-2</v>
      </c>
    </row>
    <row r="197" spans="1:3" x14ac:dyDescent="0.25">
      <c r="A197" s="238">
        <v>37175</v>
      </c>
      <c r="B197" s="239">
        <v>1542.98</v>
      </c>
      <c r="C197" s="242">
        <f t="shared" ref="C197:C260" si="3">LN(B197/B196)</f>
        <v>1.515660391489752E-2</v>
      </c>
    </row>
    <row r="198" spans="1:3" x14ac:dyDescent="0.25">
      <c r="A198" s="238">
        <v>37176</v>
      </c>
      <c r="B198" s="239">
        <v>1534.8600000000001</v>
      </c>
      <c r="C198" s="242">
        <f t="shared" si="3"/>
        <v>-5.2764398662337279E-3</v>
      </c>
    </row>
    <row r="199" spans="1:3" x14ac:dyDescent="0.25">
      <c r="A199" s="238">
        <v>37179</v>
      </c>
      <c r="B199" s="239">
        <v>1532.52</v>
      </c>
      <c r="C199" s="242">
        <f t="shared" si="3"/>
        <v>-1.5257323539519935E-3</v>
      </c>
    </row>
    <row r="200" spans="1:3" x14ac:dyDescent="0.25">
      <c r="A200" s="238">
        <v>37180</v>
      </c>
      <c r="B200" s="239">
        <v>1543.15</v>
      </c>
      <c r="C200" s="242">
        <f t="shared" si="3"/>
        <v>6.9123425630890712E-3</v>
      </c>
    </row>
    <row r="201" spans="1:3" x14ac:dyDescent="0.25">
      <c r="A201" s="238">
        <v>37181</v>
      </c>
      <c r="B201" s="239">
        <v>1514.5</v>
      </c>
      <c r="C201" s="242">
        <f t="shared" si="3"/>
        <v>-1.8740430391968058E-2</v>
      </c>
    </row>
    <row r="202" spans="1:3" x14ac:dyDescent="0.25">
      <c r="A202" s="238">
        <v>37182</v>
      </c>
      <c r="B202" s="239">
        <v>1502.6100000000001</v>
      </c>
      <c r="C202" s="242">
        <f t="shared" si="3"/>
        <v>-7.8817554232708913E-3</v>
      </c>
    </row>
    <row r="203" spans="1:3" x14ac:dyDescent="0.25">
      <c r="A203" s="238">
        <v>37183</v>
      </c>
      <c r="B203" s="239">
        <v>1509.46</v>
      </c>
      <c r="C203" s="242">
        <f t="shared" si="3"/>
        <v>4.5483749110961577E-3</v>
      </c>
    </row>
    <row r="204" spans="1:3" x14ac:dyDescent="0.25">
      <c r="A204" s="238">
        <v>37186</v>
      </c>
      <c r="B204" s="239">
        <v>1532.55</v>
      </c>
      <c r="C204" s="242">
        <f t="shared" si="3"/>
        <v>1.5181043750425066E-2</v>
      </c>
    </row>
    <row r="205" spans="1:3" x14ac:dyDescent="0.25">
      <c r="A205" s="238">
        <v>37187</v>
      </c>
      <c r="B205" s="239">
        <v>1525.3500000000001</v>
      </c>
      <c r="C205" s="242">
        <f t="shared" si="3"/>
        <v>-4.7091228002860679E-3</v>
      </c>
    </row>
    <row r="206" spans="1:3" x14ac:dyDescent="0.25">
      <c r="A206" s="238">
        <v>37188</v>
      </c>
      <c r="B206" s="239">
        <v>1525.96</v>
      </c>
      <c r="C206" s="242">
        <f t="shared" si="3"/>
        <v>3.9982827580705988E-4</v>
      </c>
    </row>
    <row r="207" spans="1:3" x14ac:dyDescent="0.25">
      <c r="A207" s="238">
        <v>37189</v>
      </c>
      <c r="B207" s="239">
        <v>1546.9</v>
      </c>
      <c r="C207" s="242">
        <f t="shared" si="3"/>
        <v>1.3629208061556019E-2</v>
      </c>
    </row>
    <row r="208" spans="1:3" x14ac:dyDescent="0.25">
      <c r="A208" s="238">
        <v>37190</v>
      </c>
      <c r="B208" s="239">
        <v>1553.26</v>
      </c>
      <c r="C208" s="242">
        <f t="shared" si="3"/>
        <v>4.1030197940921925E-3</v>
      </c>
    </row>
    <row r="209" spans="1:3" x14ac:dyDescent="0.25">
      <c r="A209" s="238">
        <v>37193</v>
      </c>
      <c r="B209" s="239">
        <v>1516.39</v>
      </c>
      <c r="C209" s="242">
        <f t="shared" si="3"/>
        <v>-2.4023437982353339E-2</v>
      </c>
    </row>
    <row r="210" spans="1:3" x14ac:dyDescent="0.25">
      <c r="A210" s="238">
        <v>37194</v>
      </c>
      <c r="B210" s="239">
        <v>1490.44</v>
      </c>
      <c r="C210" s="242">
        <f t="shared" si="3"/>
        <v>-1.7261131694488015E-2</v>
      </c>
    </row>
    <row r="211" spans="1:3" x14ac:dyDescent="0.25">
      <c r="A211" s="238">
        <v>37195</v>
      </c>
      <c r="B211" s="239">
        <v>1490.58</v>
      </c>
      <c r="C211" s="242">
        <f t="shared" si="3"/>
        <v>9.3927581903271334E-5</v>
      </c>
    </row>
    <row r="212" spans="1:3" x14ac:dyDescent="0.25">
      <c r="A212" s="238">
        <v>37196</v>
      </c>
      <c r="B212" s="239">
        <v>1524.96</v>
      </c>
      <c r="C212" s="242">
        <f t="shared" si="3"/>
        <v>2.2802874247542477E-2</v>
      </c>
    </row>
    <row r="213" spans="1:3" x14ac:dyDescent="0.25">
      <c r="A213" s="238">
        <v>37197</v>
      </c>
      <c r="B213" s="239">
        <v>1529.3500000000001</v>
      </c>
      <c r="C213" s="242">
        <f t="shared" si="3"/>
        <v>2.8746283272223106E-3</v>
      </c>
    </row>
    <row r="214" spans="1:3" x14ac:dyDescent="0.25">
      <c r="A214" s="238">
        <v>37200</v>
      </c>
      <c r="B214" s="239">
        <v>1551.39</v>
      </c>
      <c r="C214" s="242">
        <f t="shared" si="3"/>
        <v>1.4308494728560673E-2</v>
      </c>
    </row>
    <row r="215" spans="1:3" x14ac:dyDescent="0.25">
      <c r="A215" s="238">
        <v>37201</v>
      </c>
      <c r="B215" s="239">
        <v>1573.93</v>
      </c>
      <c r="C215" s="242">
        <f t="shared" si="3"/>
        <v>1.4424373062243675E-2</v>
      </c>
    </row>
    <row r="216" spans="1:3" x14ac:dyDescent="0.25">
      <c r="A216" s="238">
        <v>37202</v>
      </c>
      <c r="B216" s="239">
        <v>1570.16</v>
      </c>
      <c r="C216" s="242">
        <f t="shared" si="3"/>
        <v>-2.398151329518605E-3</v>
      </c>
    </row>
    <row r="217" spans="1:3" x14ac:dyDescent="0.25">
      <c r="A217" s="238">
        <v>37203</v>
      </c>
      <c r="B217" s="239">
        <v>1574.0900000000001</v>
      </c>
      <c r="C217" s="242">
        <f t="shared" si="3"/>
        <v>2.4998025262313105E-3</v>
      </c>
    </row>
    <row r="218" spans="1:3" x14ac:dyDescent="0.25">
      <c r="A218" s="238">
        <v>37204</v>
      </c>
      <c r="B218" s="239">
        <v>1576.6100000000001</v>
      </c>
      <c r="C218" s="242">
        <f t="shared" si="3"/>
        <v>1.5996448645452114E-3</v>
      </c>
    </row>
    <row r="219" spans="1:3" x14ac:dyDescent="0.25">
      <c r="A219" s="238">
        <v>37207</v>
      </c>
      <c r="B219" s="239">
        <v>1573.82</v>
      </c>
      <c r="C219" s="242">
        <f t="shared" si="3"/>
        <v>-1.7711872534078366E-3</v>
      </c>
    </row>
    <row r="220" spans="1:3" x14ac:dyDescent="0.25">
      <c r="A220" s="238">
        <v>37208</v>
      </c>
      <c r="B220" s="239">
        <v>1603.27</v>
      </c>
      <c r="C220" s="242">
        <f t="shared" si="3"/>
        <v>1.8539508496817257E-2</v>
      </c>
    </row>
    <row r="221" spans="1:3" x14ac:dyDescent="0.25">
      <c r="A221" s="238">
        <v>37209</v>
      </c>
      <c r="B221" s="239">
        <v>1606.64</v>
      </c>
      <c r="C221" s="242">
        <f t="shared" si="3"/>
        <v>2.0997481164132231E-3</v>
      </c>
    </row>
    <row r="222" spans="1:3" x14ac:dyDescent="0.25">
      <c r="A222" s="238">
        <v>37210</v>
      </c>
      <c r="B222" s="239">
        <v>1608.0900000000001</v>
      </c>
      <c r="C222" s="242">
        <f t="shared" si="3"/>
        <v>9.0209759347252159E-4</v>
      </c>
    </row>
    <row r="223" spans="1:3" x14ac:dyDescent="0.25">
      <c r="A223" s="238">
        <v>37211</v>
      </c>
      <c r="B223" s="239">
        <v>1603.17</v>
      </c>
      <c r="C223" s="242">
        <f t="shared" si="3"/>
        <v>-3.0642201812821172E-3</v>
      </c>
    </row>
    <row r="224" spans="1:3" x14ac:dyDescent="0.25">
      <c r="A224" s="238">
        <v>37214</v>
      </c>
      <c r="B224" s="239">
        <v>1620.66</v>
      </c>
      <c r="C224" s="242">
        <f t="shared" si="3"/>
        <v>1.0850554525360195E-2</v>
      </c>
    </row>
    <row r="225" spans="1:3" x14ac:dyDescent="0.25">
      <c r="A225" s="238">
        <v>37215</v>
      </c>
      <c r="B225" s="239">
        <v>1608.9</v>
      </c>
      <c r="C225" s="242">
        <f t="shared" si="3"/>
        <v>-7.2827580089838469E-3</v>
      </c>
    </row>
    <row r="226" spans="1:3" x14ac:dyDescent="0.25">
      <c r="A226" s="238">
        <v>37216</v>
      </c>
      <c r="B226" s="239">
        <v>1601.02</v>
      </c>
      <c r="C226" s="242">
        <f t="shared" si="3"/>
        <v>-4.9097895459216147E-3</v>
      </c>
    </row>
    <row r="227" spans="1:3" x14ac:dyDescent="0.25">
      <c r="A227" s="238">
        <v>37218</v>
      </c>
      <c r="B227" s="239">
        <v>1619.78</v>
      </c>
      <c r="C227" s="242">
        <f t="shared" si="3"/>
        <v>1.1649411424236145E-2</v>
      </c>
    </row>
    <row r="228" spans="1:3" x14ac:dyDescent="0.25">
      <c r="A228" s="238">
        <v>37221</v>
      </c>
      <c r="B228" s="239">
        <v>1629.76</v>
      </c>
      <c r="C228" s="242">
        <f t="shared" si="3"/>
        <v>6.1424271609361886E-3</v>
      </c>
    </row>
    <row r="229" spans="1:3" x14ac:dyDescent="0.25">
      <c r="A229" s="238">
        <v>37222</v>
      </c>
      <c r="B229" s="239">
        <v>1618.6200000000001</v>
      </c>
      <c r="C229" s="242">
        <f t="shared" si="3"/>
        <v>-6.8588303536314963E-3</v>
      </c>
    </row>
    <row r="230" spans="1:3" x14ac:dyDescent="0.25">
      <c r="A230" s="238">
        <v>37223</v>
      </c>
      <c r="B230" s="239">
        <v>1589.38</v>
      </c>
      <c r="C230" s="242">
        <f t="shared" si="3"/>
        <v>-1.8229931280492166E-2</v>
      </c>
    </row>
    <row r="231" spans="1:3" x14ac:dyDescent="0.25">
      <c r="A231" s="238">
        <v>37224</v>
      </c>
      <c r="B231" s="239">
        <v>1605.99</v>
      </c>
      <c r="C231" s="242">
        <f t="shared" si="3"/>
        <v>1.0396385775142946E-2</v>
      </c>
    </row>
    <row r="232" spans="1:3" x14ac:dyDescent="0.25">
      <c r="A232" s="238">
        <v>37225</v>
      </c>
      <c r="B232" s="239">
        <v>1604.92</v>
      </c>
      <c r="C232" s="242">
        <f t="shared" si="3"/>
        <v>-6.6647775216816289E-4</v>
      </c>
    </row>
    <row r="233" spans="1:3" x14ac:dyDescent="0.25">
      <c r="A233" s="238">
        <v>37228</v>
      </c>
      <c r="B233" s="239">
        <v>1591.48</v>
      </c>
      <c r="C233" s="242">
        <f t="shared" si="3"/>
        <v>-8.409510202823137E-3</v>
      </c>
    </row>
    <row r="234" spans="1:3" x14ac:dyDescent="0.25">
      <c r="A234" s="238">
        <v>37229</v>
      </c>
      <c r="B234" s="239">
        <v>1612.46</v>
      </c>
      <c r="C234" s="242">
        <f t="shared" si="3"/>
        <v>1.3096562278430467E-2</v>
      </c>
    </row>
    <row r="235" spans="1:3" x14ac:dyDescent="0.25">
      <c r="A235" s="238">
        <v>37230</v>
      </c>
      <c r="B235" s="239">
        <v>1649</v>
      </c>
      <c r="C235" s="242">
        <f t="shared" si="3"/>
        <v>2.2408080398900555E-2</v>
      </c>
    </row>
    <row r="236" spans="1:3" x14ac:dyDescent="0.25">
      <c r="A236" s="238">
        <v>37231</v>
      </c>
      <c r="B236" s="239">
        <v>1644.48</v>
      </c>
      <c r="C236" s="242">
        <f t="shared" si="3"/>
        <v>-2.7448187557341363E-3</v>
      </c>
    </row>
    <row r="237" spans="1:3" x14ac:dyDescent="0.25">
      <c r="A237" s="238">
        <v>37232</v>
      </c>
      <c r="B237" s="239">
        <v>1632.1000000000001</v>
      </c>
      <c r="C237" s="242">
        <f t="shared" si="3"/>
        <v>-7.5566956472145992E-3</v>
      </c>
    </row>
    <row r="238" spans="1:3" x14ac:dyDescent="0.25">
      <c r="A238" s="238">
        <v>37235</v>
      </c>
      <c r="B238" s="239">
        <v>1606.23</v>
      </c>
      <c r="C238" s="242">
        <f t="shared" si="3"/>
        <v>-1.5977710952506875E-2</v>
      </c>
    </row>
    <row r="239" spans="1:3" x14ac:dyDescent="0.25">
      <c r="A239" s="238">
        <v>37236</v>
      </c>
      <c r="B239" s="239">
        <v>1601.76</v>
      </c>
      <c r="C239" s="242">
        <f t="shared" si="3"/>
        <v>-2.7867935329697873E-3</v>
      </c>
    </row>
    <row r="240" spans="1:3" x14ac:dyDescent="0.25">
      <c r="A240" s="238">
        <v>37237</v>
      </c>
      <c r="B240" s="239">
        <v>1602.45</v>
      </c>
      <c r="C240" s="242">
        <f t="shared" si="3"/>
        <v>4.3068338883262073E-4</v>
      </c>
    </row>
    <row r="241" spans="1:3" x14ac:dyDescent="0.25">
      <c r="A241" s="238">
        <v>37238</v>
      </c>
      <c r="B241" s="239">
        <v>1577.58</v>
      </c>
      <c r="C241" s="242">
        <f t="shared" si="3"/>
        <v>-1.5641680776782248E-2</v>
      </c>
    </row>
    <row r="242" spans="1:3" x14ac:dyDescent="0.25">
      <c r="A242" s="238">
        <v>37239</v>
      </c>
      <c r="B242" s="239">
        <v>1582.81</v>
      </c>
      <c r="C242" s="242">
        <f t="shared" si="3"/>
        <v>3.3097211257016377E-3</v>
      </c>
    </row>
    <row r="243" spans="1:3" x14ac:dyDescent="0.25">
      <c r="A243" s="238">
        <v>37242</v>
      </c>
      <c r="B243" s="239">
        <v>1598.74</v>
      </c>
      <c r="C243" s="242">
        <f t="shared" si="3"/>
        <v>1.0014070577934832E-2</v>
      </c>
    </row>
    <row r="244" spans="1:3" x14ac:dyDescent="0.25">
      <c r="A244" s="238">
        <v>37243</v>
      </c>
      <c r="B244" s="239">
        <v>1610.83</v>
      </c>
      <c r="C244" s="242">
        <f t="shared" si="3"/>
        <v>7.5337551030778159E-3</v>
      </c>
    </row>
    <row r="245" spans="1:3" x14ac:dyDescent="0.25">
      <c r="A245" s="238">
        <v>37244</v>
      </c>
      <c r="B245" s="239">
        <v>1620.27</v>
      </c>
      <c r="C245" s="242">
        <f t="shared" si="3"/>
        <v>5.8432279158123707E-3</v>
      </c>
    </row>
    <row r="246" spans="1:3" x14ac:dyDescent="0.25">
      <c r="A246" s="238">
        <v>37245</v>
      </c>
      <c r="B246" s="239">
        <v>1606.91</v>
      </c>
      <c r="C246" s="242">
        <f t="shared" si="3"/>
        <v>-8.2797218147955126E-3</v>
      </c>
    </row>
    <row r="247" spans="1:3" x14ac:dyDescent="0.25">
      <c r="A247" s="238">
        <v>37246</v>
      </c>
      <c r="B247" s="239">
        <v>1613.94</v>
      </c>
      <c r="C247" s="242">
        <f t="shared" si="3"/>
        <v>4.3653142267524193E-3</v>
      </c>
    </row>
    <row r="248" spans="1:3" x14ac:dyDescent="0.25">
      <c r="A248" s="238">
        <v>37249</v>
      </c>
      <c r="B248" s="239">
        <v>1613.6000000000001</v>
      </c>
      <c r="C248" s="242">
        <f t="shared" si="3"/>
        <v>-2.1068677770532621E-4</v>
      </c>
    </row>
    <row r="249" spans="1:3" x14ac:dyDescent="0.25">
      <c r="A249" s="238">
        <v>37251</v>
      </c>
      <c r="B249" s="239">
        <v>1620.26</v>
      </c>
      <c r="C249" s="242">
        <f t="shared" si="3"/>
        <v>4.1189225358316747E-3</v>
      </c>
    </row>
    <row r="250" spans="1:3" x14ac:dyDescent="0.25">
      <c r="A250" s="238">
        <v>37252</v>
      </c>
      <c r="B250" s="239">
        <v>1631.69</v>
      </c>
      <c r="C250" s="242">
        <f t="shared" si="3"/>
        <v>7.0296573248539483E-3</v>
      </c>
    </row>
    <row r="251" spans="1:3" x14ac:dyDescent="0.25">
      <c r="A251" s="238">
        <v>37253</v>
      </c>
      <c r="B251" s="239">
        <v>1637.23</v>
      </c>
      <c r="C251" s="242">
        <f t="shared" si="3"/>
        <v>3.3895019174281344E-3</v>
      </c>
    </row>
    <row r="252" spans="1:3" x14ac:dyDescent="0.25">
      <c r="A252" s="238">
        <v>37256</v>
      </c>
      <c r="B252" s="239">
        <v>1618.98</v>
      </c>
      <c r="C252" s="242">
        <f t="shared" si="3"/>
        <v>-1.1209468121292393E-2</v>
      </c>
    </row>
    <row r="253" spans="1:3" x14ac:dyDescent="0.25">
      <c r="A253" s="238">
        <v>37258</v>
      </c>
      <c r="B253" s="239">
        <v>1628.51</v>
      </c>
      <c r="C253" s="242">
        <f t="shared" si="3"/>
        <v>5.8691650208139009E-3</v>
      </c>
    </row>
    <row r="254" spans="1:3" x14ac:dyDescent="0.25">
      <c r="A254" s="238">
        <v>37259</v>
      </c>
      <c r="B254" s="239">
        <v>1643.48</v>
      </c>
      <c r="C254" s="242">
        <f t="shared" si="3"/>
        <v>9.1504585613903181E-3</v>
      </c>
    </row>
    <row r="255" spans="1:3" x14ac:dyDescent="0.25">
      <c r="A255" s="238">
        <v>37260</v>
      </c>
      <c r="B255" s="239">
        <v>1653.69</v>
      </c>
      <c r="C255" s="242">
        <f t="shared" si="3"/>
        <v>6.1932097128215534E-3</v>
      </c>
    </row>
    <row r="256" spans="1:3" x14ac:dyDescent="0.25">
      <c r="A256" s="238">
        <v>37263</v>
      </c>
      <c r="B256" s="239">
        <v>1642.95</v>
      </c>
      <c r="C256" s="242">
        <f t="shared" si="3"/>
        <v>-6.5157481539839263E-3</v>
      </c>
    </row>
    <row r="257" spans="1:3" x14ac:dyDescent="0.25">
      <c r="A257" s="238">
        <v>37264</v>
      </c>
      <c r="B257" s="239">
        <v>1637.48</v>
      </c>
      <c r="C257" s="242">
        <f t="shared" si="3"/>
        <v>-3.3349317435046456E-3</v>
      </c>
    </row>
    <row r="258" spans="1:3" x14ac:dyDescent="0.25">
      <c r="A258" s="238">
        <v>37265</v>
      </c>
      <c r="B258" s="239">
        <v>1629.7</v>
      </c>
      <c r="C258" s="242">
        <f t="shared" si="3"/>
        <v>-4.7625259124175088E-3</v>
      </c>
    </row>
    <row r="259" spans="1:3" x14ac:dyDescent="0.25">
      <c r="A259" s="238">
        <v>37266</v>
      </c>
      <c r="B259" s="239">
        <v>1631.72</v>
      </c>
      <c r="C259" s="242">
        <f t="shared" si="3"/>
        <v>1.2387243950777464E-3</v>
      </c>
    </row>
    <row r="260" spans="1:3" x14ac:dyDescent="0.25">
      <c r="A260" s="238">
        <v>37267</v>
      </c>
      <c r="B260" s="239">
        <v>1616.3500000000001</v>
      </c>
      <c r="C260" s="242">
        <f t="shared" si="3"/>
        <v>-9.4641523885269571E-3</v>
      </c>
    </row>
    <row r="261" spans="1:3" x14ac:dyDescent="0.25">
      <c r="A261" s="238">
        <v>37270</v>
      </c>
      <c r="B261" s="239">
        <v>1606.2</v>
      </c>
      <c r="C261" s="242">
        <f t="shared" ref="C261:C324" si="4">LN(B261/B260)</f>
        <v>-6.2993800341319206E-3</v>
      </c>
    </row>
    <row r="262" spans="1:3" x14ac:dyDescent="0.25">
      <c r="A262" s="238">
        <v>37271</v>
      </c>
      <c r="B262" s="239">
        <v>1617.18</v>
      </c>
      <c r="C262" s="242">
        <f t="shared" si="4"/>
        <v>6.812750881613659E-3</v>
      </c>
    </row>
    <row r="263" spans="1:3" x14ac:dyDescent="0.25">
      <c r="A263" s="238">
        <v>37272</v>
      </c>
      <c r="B263" s="239">
        <v>1591.04</v>
      </c>
      <c r="C263" s="242">
        <f t="shared" si="4"/>
        <v>-1.6296001193738627E-2</v>
      </c>
    </row>
    <row r="264" spans="1:3" x14ac:dyDescent="0.25">
      <c r="A264" s="238">
        <v>37273</v>
      </c>
      <c r="B264" s="239">
        <v>1607.02</v>
      </c>
      <c r="C264" s="242">
        <f t="shared" si="4"/>
        <v>9.9936417685459935E-3</v>
      </c>
    </row>
    <row r="265" spans="1:3" x14ac:dyDescent="0.25">
      <c r="A265" s="238">
        <v>37274</v>
      </c>
      <c r="B265" s="239">
        <v>1591.08</v>
      </c>
      <c r="C265" s="242">
        <f t="shared" si="4"/>
        <v>-9.9685012961552872E-3</v>
      </c>
    </row>
    <row r="266" spans="1:3" x14ac:dyDescent="0.25">
      <c r="A266" s="238">
        <v>37278</v>
      </c>
      <c r="B266" s="239">
        <v>1579.41</v>
      </c>
      <c r="C266" s="242">
        <f t="shared" si="4"/>
        <v>-7.361671352892939E-3</v>
      </c>
    </row>
    <row r="267" spans="1:3" x14ac:dyDescent="0.25">
      <c r="A267" s="238">
        <v>37279</v>
      </c>
      <c r="B267" s="239">
        <v>1591.94</v>
      </c>
      <c r="C267" s="242">
        <f t="shared" si="4"/>
        <v>7.9020386901553722E-3</v>
      </c>
    </row>
    <row r="268" spans="1:3" x14ac:dyDescent="0.25">
      <c r="A268" s="238">
        <v>37280</v>
      </c>
      <c r="B268" s="239">
        <v>1597.55</v>
      </c>
      <c r="C268" s="242">
        <f t="shared" si="4"/>
        <v>3.5178074145375037E-3</v>
      </c>
    </row>
    <row r="269" spans="1:3" x14ac:dyDescent="0.25">
      <c r="A269" s="238">
        <v>37281</v>
      </c>
      <c r="B269" s="239">
        <v>1599.14</v>
      </c>
      <c r="C269" s="242">
        <f t="shared" si="4"/>
        <v>9.947790565367179E-4</v>
      </c>
    </row>
    <row r="270" spans="1:3" x14ac:dyDescent="0.25">
      <c r="A270" s="238">
        <v>37284</v>
      </c>
      <c r="B270" s="239">
        <v>1598.8600000000001</v>
      </c>
      <c r="C270" s="242">
        <f t="shared" si="4"/>
        <v>-1.7510944384960101E-4</v>
      </c>
    </row>
    <row r="271" spans="1:3" x14ac:dyDescent="0.25">
      <c r="A271" s="238">
        <v>37285</v>
      </c>
      <c r="B271" s="239">
        <v>1553.23</v>
      </c>
      <c r="C271" s="242">
        <f t="shared" si="4"/>
        <v>-2.8954241645476327E-2</v>
      </c>
    </row>
    <row r="272" spans="1:3" x14ac:dyDescent="0.25">
      <c r="A272" s="238">
        <v>37286</v>
      </c>
      <c r="B272" s="239">
        <v>1571.69</v>
      </c>
      <c r="C272" s="242">
        <f t="shared" si="4"/>
        <v>1.1814839891024314E-2</v>
      </c>
    </row>
    <row r="273" spans="1:3" x14ac:dyDescent="0.25">
      <c r="A273" s="238">
        <v>37287</v>
      </c>
      <c r="B273" s="239">
        <v>1595.3500000000001</v>
      </c>
      <c r="C273" s="242">
        <f t="shared" si="4"/>
        <v>1.4941674358459587E-2</v>
      </c>
    </row>
    <row r="274" spans="1:3" x14ac:dyDescent="0.25">
      <c r="A274" s="238">
        <v>37288</v>
      </c>
      <c r="B274" s="239">
        <v>1584.06</v>
      </c>
      <c r="C274" s="242">
        <f t="shared" si="4"/>
        <v>-7.1019764382556647E-3</v>
      </c>
    </row>
    <row r="275" spans="1:3" x14ac:dyDescent="0.25">
      <c r="A275" s="238">
        <v>37291</v>
      </c>
      <c r="B275" s="239">
        <v>1544.89</v>
      </c>
      <c r="C275" s="242">
        <f t="shared" si="4"/>
        <v>-2.5038461058680097E-2</v>
      </c>
    </row>
    <row r="276" spans="1:3" x14ac:dyDescent="0.25">
      <c r="A276" s="238">
        <v>37292</v>
      </c>
      <c r="B276" s="239">
        <v>1538.7</v>
      </c>
      <c r="C276" s="242">
        <f t="shared" si="4"/>
        <v>-4.0148063228542252E-3</v>
      </c>
    </row>
    <row r="277" spans="1:3" x14ac:dyDescent="0.25">
      <c r="A277" s="238">
        <v>37293</v>
      </c>
      <c r="B277" s="239">
        <v>1529.67</v>
      </c>
      <c r="C277" s="242">
        <f t="shared" si="4"/>
        <v>-5.8858782149907472E-3</v>
      </c>
    </row>
    <row r="278" spans="1:3" x14ac:dyDescent="0.25">
      <c r="A278" s="238">
        <v>37294</v>
      </c>
      <c r="B278" s="239">
        <v>1525.26</v>
      </c>
      <c r="C278" s="242">
        <f t="shared" si="4"/>
        <v>-2.8871385356267773E-3</v>
      </c>
    </row>
    <row r="279" spans="1:3" x14ac:dyDescent="0.25">
      <c r="A279" s="238">
        <v>37295</v>
      </c>
      <c r="B279" s="239">
        <v>1547.94</v>
      </c>
      <c r="C279" s="242">
        <f t="shared" si="4"/>
        <v>1.4760127395858781E-2</v>
      </c>
    </row>
    <row r="280" spans="1:3" x14ac:dyDescent="0.25">
      <c r="A280" s="238">
        <v>37298</v>
      </c>
      <c r="B280" s="239">
        <v>1570.21</v>
      </c>
      <c r="C280" s="242">
        <f t="shared" si="4"/>
        <v>1.428435365076489E-2</v>
      </c>
    </row>
    <row r="281" spans="1:3" x14ac:dyDescent="0.25">
      <c r="A281" s="238">
        <v>37299</v>
      </c>
      <c r="B281" s="239">
        <v>1563.95</v>
      </c>
      <c r="C281" s="242">
        <f t="shared" si="4"/>
        <v>-3.9946960745744073E-3</v>
      </c>
    </row>
    <row r="282" spans="1:3" x14ac:dyDescent="0.25">
      <c r="A282" s="238">
        <v>37300</v>
      </c>
      <c r="B282" s="239">
        <v>1580.03</v>
      </c>
      <c r="C282" s="242">
        <f t="shared" si="4"/>
        <v>1.0229161897763123E-2</v>
      </c>
    </row>
    <row r="283" spans="1:3" x14ac:dyDescent="0.25">
      <c r="A283" s="238">
        <v>37301</v>
      </c>
      <c r="B283" s="239">
        <v>1577.29</v>
      </c>
      <c r="C283" s="242">
        <f t="shared" si="4"/>
        <v>-1.7356496572089525E-3</v>
      </c>
    </row>
    <row r="284" spans="1:3" x14ac:dyDescent="0.25">
      <c r="A284" s="238">
        <v>37302</v>
      </c>
      <c r="B284" s="239">
        <v>1559.97</v>
      </c>
      <c r="C284" s="242">
        <f t="shared" si="4"/>
        <v>-1.1041594235879977E-2</v>
      </c>
    </row>
    <row r="285" spans="1:3" x14ac:dyDescent="0.25">
      <c r="A285" s="238">
        <v>37306</v>
      </c>
      <c r="B285" s="239">
        <v>1530.58</v>
      </c>
      <c r="C285" s="242">
        <f t="shared" si="4"/>
        <v>-1.901984177018954E-2</v>
      </c>
    </row>
    <row r="286" spans="1:3" x14ac:dyDescent="0.25">
      <c r="A286" s="238">
        <v>37307</v>
      </c>
      <c r="B286" s="239">
        <v>1551.3700000000001</v>
      </c>
      <c r="C286" s="242">
        <f t="shared" si="4"/>
        <v>1.3491662977857376E-2</v>
      </c>
    </row>
    <row r="287" spans="1:3" x14ac:dyDescent="0.25">
      <c r="A287" s="238">
        <v>37308</v>
      </c>
      <c r="B287" s="239">
        <v>1527.34</v>
      </c>
      <c r="C287" s="242">
        <f t="shared" si="4"/>
        <v>-1.5610751255146839E-2</v>
      </c>
    </row>
    <row r="288" spans="1:3" x14ac:dyDescent="0.25">
      <c r="A288" s="238">
        <v>37309</v>
      </c>
      <c r="B288" s="239">
        <v>1539.91</v>
      </c>
      <c r="C288" s="242">
        <f t="shared" si="4"/>
        <v>8.1963128994995312E-3</v>
      </c>
    </row>
    <row r="289" spans="1:3" x14ac:dyDescent="0.25">
      <c r="A289" s="238">
        <v>37312</v>
      </c>
      <c r="B289" s="239">
        <v>1567.5900000000001</v>
      </c>
      <c r="C289" s="242">
        <f t="shared" si="4"/>
        <v>1.7815434985308704E-2</v>
      </c>
    </row>
    <row r="290" spans="1:3" x14ac:dyDescent="0.25">
      <c r="A290" s="238">
        <v>37313</v>
      </c>
      <c r="B290" s="239">
        <v>1567.65</v>
      </c>
      <c r="C290" s="242">
        <f t="shared" si="4"/>
        <v>3.8274581854825009E-5</v>
      </c>
    </row>
    <row r="291" spans="1:3" x14ac:dyDescent="0.25">
      <c r="A291" s="238">
        <v>37314</v>
      </c>
      <c r="B291" s="239">
        <v>1569</v>
      </c>
      <c r="C291" s="242">
        <f t="shared" si="4"/>
        <v>8.6079102441013089E-4</v>
      </c>
    </row>
    <row r="292" spans="1:3" x14ac:dyDescent="0.25">
      <c r="A292" s="238">
        <v>37315</v>
      </c>
      <c r="B292" s="239">
        <v>1564.5900000000001</v>
      </c>
      <c r="C292" s="242">
        <f t="shared" si="4"/>
        <v>-2.8146649124224177E-3</v>
      </c>
    </row>
    <row r="293" spans="1:3" x14ac:dyDescent="0.25">
      <c r="A293" s="238">
        <v>37316</v>
      </c>
      <c r="B293" s="239">
        <v>1600.02</v>
      </c>
      <c r="C293" s="242">
        <f t="shared" si="4"/>
        <v>2.2392320329138064E-2</v>
      </c>
    </row>
    <row r="294" spans="1:3" x14ac:dyDescent="0.25">
      <c r="A294" s="238">
        <v>37319</v>
      </c>
      <c r="B294" s="239">
        <v>1631.25</v>
      </c>
      <c r="C294" s="242">
        <f t="shared" si="4"/>
        <v>1.9330462921255401E-2</v>
      </c>
    </row>
    <row r="295" spans="1:3" x14ac:dyDescent="0.25">
      <c r="A295" s="238">
        <v>37320</v>
      </c>
      <c r="B295" s="239">
        <v>1620.3700000000001</v>
      </c>
      <c r="C295" s="242">
        <f t="shared" si="4"/>
        <v>-6.69207386102678E-3</v>
      </c>
    </row>
    <row r="296" spans="1:3" x14ac:dyDescent="0.25">
      <c r="A296" s="238">
        <v>37321</v>
      </c>
      <c r="B296" s="239">
        <v>1644.2</v>
      </c>
      <c r="C296" s="242">
        <f t="shared" si="4"/>
        <v>1.4599425508056381E-2</v>
      </c>
    </row>
    <row r="297" spans="1:3" x14ac:dyDescent="0.25">
      <c r="A297" s="238">
        <v>37322</v>
      </c>
      <c r="B297" s="239">
        <v>1636.8600000000001</v>
      </c>
      <c r="C297" s="242">
        <f t="shared" si="4"/>
        <v>-4.4741713010227344E-3</v>
      </c>
    </row>
    <row r="298" spans="1:3" x14ac:dyDescent="0.25">
      <c r="A298" s="238">
        <v>37323</v>
      </c>
      <c r="B298" s="239">
        <v>1646.44</v>
      </c>
      <c r="C298" s="242">
        <f t="shared" si="4"/>
        <v>5.8356088001043898E-3</v>
      </c>
    </row>
    <row r="299" spans="1:3" x14ac:dyDescent="0.25">
      <c r="A299" s="238">
        <v>37326</v>
      </c>
      <c r="B299" s="239">
        <v>1652.04</v>
      </c>
      <c r="C299" s="242">
        <f t="shared" si="4"/>
        <v>3.3955066457373533E-3</v>
      </c>
    </row>
    <row r="300" spans="1:3" x14ac:dyDescent="0.25">
      <c r="A300" s="238">
        <v>37327</v>
      </c>
      <c r="B300" s="239">
        <v>1648.28</v>
      </c>
      <c r="C300" s="242">
        <f t="shared" si="4"/>
        <v>-2.2785679126789333E-3</v>
      </c>
    </row>
    <row r="301" spans="1:3" x14ac:dyDescent="0.25">
      <c r="A301" s="238">
        <v>37328</v>
      </c>
      <c r="B301" s="239">
        <v>1632.46</v>
      </c>
      <c r="C301" s="242">
        <f t="shared" si="4"/>
        <v>-9.6442403968635421E-3</v>
      </c>
    </row>
    <row r="302" spans="1:3" x14ac:dyDescent="0.25">
      <c r="A302" s="238">
        <v>37329</v>
      </c>
      <c r="B302" s="239">
        <v>1631</v>
      </c>
      <c r="C302" s="242">
        <f t="shared" si="4"/>
        <v>-8.9475593229574137E-4</v>
      </c>
    </row>
    <row r="303" spans="1:3" x14ac:dyDescent="0.25">
      <c r="A303" s="238">
        <v>37330</v>
      </c>
      <c r="B303" s="239">
        <v>1649.56</v>
      </c>
      <c r="C303" s="242">
        <f t="shared" si="4"/>
        <v>1.1315262045068025E-2</v>
      </c>
    </row>
    <row r="304" spans="1:3" x14ac:dyDescent="0.25">
      <c r="A304" s="238">
        <v>37333</v>
      </c>
      <c r="B304" s="239">
        <v>1648.73</v>
      </c>
      <c r="C304" s="242">
        <f t="shared" si="4"/>
        <v>-5.0329110995094191E-4</v>
      </c>
    </row>
    <row r="305" spans="1:3" x14ac:dyDescent="0.25">
      <c r="A305" s="238">
        <v>37334</v>
      </c>
      <c r="B305" s="239">
        <v>1655.44</v>
      </c>
      <c r="C305" s="242">
        <f t="shared" si="4"/>
        <v>4.0615399474425648E-3</v>
      </c>
    </row>
    <row r="306" spans="1:3" x14ac:dyDescent="0.25">
      <c r="A306" s="238">
        <v>37335</v>
      </c>
      <c r="B306" s="239">
        <v>1629.43</v>
      </c>
      <c r="C306" s="242">
        <f t="shared" si="4"/>
        <v>-1.5836574111242008E-2</v>
      </c>
    </row>
    <row r="307" spans="1:3" x14ac:dyDescent="0.25">
      <c r="A307" s="238">
        <v>37336</v>
      </c>
      <c r="B307" s="239">
        <v>1631.93</v>
      </c>
      <c r="C307" s="242">
        <f t="shared" si="4"/>
        <v>1.5331030549634165E-3</v>
      </c>
    </row>
    <row r="308" spans="1:3" x14ac:dyDescent="0.25">
      <c r="A308" s="238">
        <v>37337</v>
      </c>
      <c r="B308" s="239">
        <v>1625.02</v>
      </c>
      <c r="C308" s="242">
        <f t="shared" si="4"/>
        <v>-4.2432400668882663E-3</v>
      </c>
    </row>
    <row r="309" spans="1:3" x14ac:dyDescent="0.25">
      <c r="A309" s="238">
        <v>37340</v>
      </c>
      <c r="B309" s="239">
        <v>1601.21</v>
      </c>
      <c r="C309" s="242">
        <f t="shared" si="4"/>
        <v>-1.4760529965476844E-2</v>
      </c>
    </row>
    <row r="310" spans="1:3" x14ac:dyDescent="0.25">
      <c r="A310" s="238">
        <v>37341</v>
      </c>
      <c r="B310" s="239">
        <v>1610.81</v>
      </c>
      <c r="C310" s="242">
        <f t="shared" si="4"/>
        <v>5.977564638455609E-3</v>
      </c>
    </row>
    <row r="311" spans="1:3" x14ac:dyDescent="0.25">
      <c r="A311" s="238">
        <v>37342</v>
      </c>
      <c r="B311" s="239">
        <v>1619.45</v>
      </c>
      <c r="C311" s="242">
        <f t="shared" si="4"/>
        <v>5.3494273549366074E-3</v>
      </c>
    </row>
    <row r="312" spans="1:3" x14ac:dyDescent="0.25">
      <c r="A312" s="238">
        <v>37343</v>
      </c>
      <c r="B312" s="239">
        <v>1623.43</v>
      </c>
      <c r="C312" s="242">
        <f t="shared" si="4"/>
        <v>2.454609481896988E-3</v>
      </c>
    </row>
    <row r="313" spans="1:3" x14ac:dyDescent="0.25">
      <c r="A313" s="238">
        <v>37347</v>
      </c>
      <c r="B313" s="239">
        <v>1622.23</v>
      </c>
      <c r="C313" s="242">
        <f t="shared" si="4"/>
        <v>-7.3944902095625809E-4</v>
      </c>
    </row>
    <row r="314" spans="1:3" x14ac:dyDescent="0.25">
      <c r="A314" s="238">
        <v>37348</v>
      </c>
      <c r="B314" s="239">
        <v>1608.39</v>
      </c>
      <c r="C314" s="242">
        <f t="shared" si="4"/>
        <v>-8.5680672243375507E-3</v>
      </c>
    </row>
    <row r="315" spans="1:3" x14ac:dyDescent="0.25">
      <c r="A315" s="238">
        <v>37349</v>
      </c>
      <c r="B315" s="239">
        <v>1592.6000000000001</v>
      </c>
      <c r="C315" s="242">
        <f t="shared" si="4"/>
        <v>-9.8657778215806777E-3</v>
      </c>
    </row>
    <row r="316" spans="1:3" x14ac:dyDescent="0.25">
      <c r="A316" s="238">
        <v>37350</v>
      </c>
      <c r="B316" s="239">
        <v>1593.96</v>
      </c>
      <c r="C316" s="242">
        <f t="shared" si="4"/>
        <v>8.5358510906776027E-4</v>
      </c>
    </row>
    <row r="317" spans="1:3" x14ac:dyDescent="0.25">
      <c r="A317" s="238">
        <v>37351</v>
      </c>
      <c r="B317" s="239">
        <v>1588.8700000000001</v>
      </c>
      <c r="C317" s="242">
        <f t="shared" si="4"/>
        <v>-3.1984142031851919E-3</v>
      </c>
    </row>
    <row r="318" spans="1:3" x14ac:dyDescent="0.25">
      <c r="A318" s="238">
        <v>37354</v>
      </c>
      <c r="B318" s="239">
        <v>1592.88</v>
      </c>
      <c r="C318" s="242">
        <f t="shared" si="4"/>
        <v>2.5206267765521301E-3</v>
      </c>
    </row>
    <row r="319" spans="1:3" x14ac:dyDescent="0.25">
      <c r="A319" s="238">
        <v>37355</v>
      </c>
      <c r="B319" s="239">
        <v>1582.3600000000001</v>
      </c>
      <c r="C319" s="242">
        <f t="shared" si="4"/>
        <v>-6.626295015472101E-3</v>
      </c>
    </row>
    <row r="320" spans="1:3" x14ac:dyDescent="0.25">
      <c r="A320" s="238">
        <v>37356</v>
      </c>
      <c r="B320" s="239">
        <v>1600.3600000000001</v>
      </c>
      <c r="C320" s="242">
        <f t="shared" si="4"/>
        <v>1.1311200428861815E-2</v>
      </c>
    </row>
    <row r="321" spans="1:3" x14ac:dyDescent="0.25">
      <c r="A321" s="238">
        <v>37357</v>
      </c>
      <c r="B321" s="239">
        <v>1562.52</v>
      </c>
      <c r="C321" s="242">
        <f t="shared" si="4"/>
        <v>-2.3928701390531684E-2</v>
      </c>
    </row>
    <row r="322" spans="1:3" x14ac:dyDescent="0.25">
      <c r="A322" s="238">
        <v>37358</v>
      </c>
      <c r="B322" s="239">
        <v>1572.89</v>
      </c>
      <c r="C322" s="242">
        <f t="shared" si="4"/>
        <v>6.6147890144892755E-3</v>
      </c>
    </row>
    <row r="323" spans="1:3" x14ac:dyDescent="0.25">
      <c r="A323" s="238">
        <v>37361</v>
      </c>
      <c r="B323" s="239">
        <v>1560.92</v>
      </c>
      <c r="C323" s="242">
        <f t="shared" si="4"/>
        <v>-7.6393005402107493E-3</v>
      </c>
    </row>
    <row r="324" spans="1:3" x14ac:dyDescent="0.25">
      <c r="A324" s="238">
        <v>37362</v>
      </c>
      <c r="B324" s="239">
        <v>1597.48</v>
      </c>
      <c r="C324" s="242">
        <f t="shared" si="4"/>
        <v>2.3151996608588469E-2</v>
      </c>
    </row>
    <row r="325" spans="1:3" x14ac:dyDescent="0.25">
      <c r="A325" s="238">
        <v>37363</v>
      </c>
      <c r="B325" s="239">
        <v>1594.32</v>
      </c>
      <c r="C325" s="242">
        <f t="shared" ref="C325:C388" si="5">LN(B325/B324)</f>
        <v>-1.9800745864088222E-3</v>
      </c>
    </row>
    <row r="326" spans="1:3" x14ac:dyDescent="0.25">
      <c r="A326" s="238">
        <v>37364</v>
      </c>
      <c r="B326" s="239">
        <v>1592.08</v>
      </c>
      <c r="C326" s="242">
        <f t="shared" si="5"/>
        <v>-1.4059756270377566E-3</v>
      </c>
    </row>
    <row r="327" spans="1:3" x14ac:dyDescent="0.25">
      <c r="A327" s="238">
        <v>37365</v>
      </c>
      <c r="B327" s="239">
        <v>1593.07</v>
      </c>
      <c r="C327" s="242">
        <f t="shared" si="5"/>
        <v>6.2163479389061897E-4</v>
      </c>
    </row>
    <row r="328" spans="1:3" x14ac:dyDescent="0.25">
      <c r="A328" s="238">
        <v>37368</v>
      </c>
      <c r="B328" s="239">
        <v>1568.52</v>
      </c>
      <c r="C328" s="242">
        <f t="shared" si="5"/>
        <v>-1.5530472606487595E-2</v>
      </c>
    </row>
    <row r="329" spans="1:3" x14ac:dyDescent="0.25">
      <c r="A329" s="238">
        <v>37369</v>
      </c>
      <c r="B329" s="239">
        <v>1558.79</v>
      </c>
      <c r="C329" s="242">
        <f t="shared" si="5"/>
        <v>-6.222620332656731E-3</v>
      </c>
    </row>
    <row r="330" spans="1:3" x14ac:dyDescent="0.25">
      <c r="A330" s="238">
        <v>37370</v>
      </c>
      <c r="B330" s="239">
        <v>1547.74</v>
      </c>
      <c r="C330" s="242">
        <f t="shared" si="5"/>
        <v>-7.1140768660970235E-3</v>
      </c>
    </row>
    <row r="331" spans="1:3" x14ac:dyDescent="0.25">
      <c r="A331" s="238">
        <v>37371</v>
      </c>
      <c r="B331" s="239">
        <v>1545.4</v>
      </c>
      <c r="C331" s="242">
        <f t="shared" si="5"/>
        <v>-1.5130258872233743E-3</v>
      </c>
    </row>
    <row r="332" spans="1:3" x14ac:dyDescent="0.25">
      <c r="A332" s="238">
        <v>37372</v>
      </c>
      <c r="B332" s="239">
        <v>1524.08</v>
      </c>
      <c r="C332" s="242">
        <f t="shared" si="5"/>
        <v>-1.3891827192304087E-2</v>
      </c>
    </row>
    <row r="333" spans="1:3" x14ac:dyDescent="0.25">
      <c r="A333" s="238">
        <v>37375</v>
      </c>
      <c r="B333" s="239">
        <v>1508.75</v>
      </c>
      <c r="C333" s="242">
        <f t="shared" si="5"/>
        <v>-1.0109455895438118E-2</v>
      </c>
    </row>
    <row r="334" spans="1:3" x14ac:dyDescent="0.25">
      <c r="A334" s="238">
        <v>37376</v>
      </c>
      <c r="B334" s="239">
        <v>1525</v>
      </c>
      <c r="C334" s="242">
        <f t="shared" si="5"/>
        <v>1.0712916629770752E-2</v>
      </c>
    </row>
    <row r="335" spans="1:3" x14ac:dyDescent="0.25">
      <c r="A335" s="238">
        <v>37377</v>
      </c>
      <c r="B335" s="239">
        <v>1538.65</v>
      </c>
      <c r="C335" s="242">
        <f t="shared" si="5"/>
        <v>8.910998530567156E-3</v>
      </c>
    </row>
    <row r="336" spans="1:3" x14ac:dyDescent="0.25">
      <c r="A336" s="238">
        <v>37378</v>
      </c>
      <c r="B336" s="239">
        <v>1536.16</v>
      </c>
      <c r="C336" s="242">
        <f t="shared" si="5"/>
        <v>-1.6196126227653956E-3</v>
      </c>
    </row>
    <row r="337" spans="1:3" x14ac:dyDescent="0.25">
      <c r="A337" s="238">
        <v>37379</v>
      </c>
      <c r="B337" s="239">
        <v>1520.44</v>
      </c>
      <c r="C337" s="242">
        <f t="shared" si="5"/>
        <v>-1.0286029314204297E-2</v>
      </c>
    </row>
    <row r="338" spans="1:3" x14ac:dyDescent="0.25">
      <c r="A338" s="238">
        <v>37382</v>
      </c>
      <c r="B338" s="239">
        <v>1491.05</v>
      </c>
      <c r="C338" s="242">
        <f t="shared" si="5"/>
        <v>-1.9519196892064442E-2</v>
      </c>
    </row>
    <row r="339" spans="1:3" x14ac:dyDescent="0.25">
      <c r="A339" s="238">
        <v>37383</v>
      </c>
      <c r="B339" s="239">
        <v>1486.57</v>
      </c>
      <c r="C339" s="242">
        <f t="shared" si="5"/>
        <v>-3.0091169326189353E-3</v>
      </c>
    </row>
    <row r="340" spans="1:3" x14ac:dyDescent="0.25">
      <c r="A340" s="238">
        <v>37384</v>
      </c>
      <c r="B340" s="239">
        <v>1542.53</v>
      </c>
      <c r="C340" s="242">
        <f t="shared" si="5"/>
        <v>3.695247272650385E-2</v>
      </c>
    </row>
    <row r="341" spans="1:3" x14ac:dyDescent="0.25">
      <c r="A341" s="238">
        <v>37385</v>
      </c>
      <c r="B341" s="239">
        <v>1520.39</v>
      </c>
      <c r="C341" s="242">
        <f t="shared" si="5"/>
        <v>-1.445704465998816E-2</v>
      </c>
    </row>
    <row r="342" spans="1:3" x14ac:dyDescent="0.25">
      <c r="A342" s="238">
        <v>37386</v>
      </c>
      <c r="B342" s="239">
        <v>1494.8700000000001</v>
      </c>
      <c r="C342" s="242">
        <f t="shared" si="5"/>
        <v>-1.6927634354831564E-2</v>
      </c>
    </row>
    <row r="343" spans="1:3" x14ac:dyDescent="0.25">
      <c r="A343" s="238">
        <v>37389</v>
      </c>
      <c r="B343" s="239">
        <v>1522.8</v>
      </c>
      <c r="C343" s="242">
        <f t="shared" si="5"/>
        <v>1.8511498986232049E-2</v>
      </c>
    </row>
    <row r="344" spans="1:3" x14ac:dyDescent="0.25">
      <c r="A344" s="238">
        <v>37390</v>
      </c>
      <c r="B344" s="239">
        <v>1555.04</v>
      </c>
      <c r="C344" s="242">
        <f t="shared" si="5"/>
        <v>2.0950523246818249E-2</v>
      </c>
    </row>
    <row r="345" spans="1:3" x14ac:dyDescent="0.25">
      <c r="A345" s="238">
        <v>37391</v>
      </c>
      <c r="B345" s="239">
        <v>1546.73</v>
      </c>
      <c r="C345" s="242">
        <f t="shared" si="5"/>
        <v>-5.3582437654648525E-3</v>
      </c>
    </row>
    <row r="346" spans="1:3" x14ac:dyDescent="0.25">
      <c r="A346" s="238">
        <v>37392</v>
      </c>
      <c r="B346" s="239">
        <v>1556.93</v>
      </c>
      <c r="C346" s="242">
        <f t="shared" si="5"/>
        <v>6.5729085805994788E-3</v>
      </c>
    </row>
    <row r="347" spans="1:3" x14ac:dyDescent="0.25">
      <c r="A347" s="238">
        <v>37393</v>
      </c>
      <c r="B347" s="239">
        <v>1569.17</v>
      </c>
      <c r="C347" s="242">
        <f t="shared" si="5"/>
        <v>7.8308835604288096E-3</v>
      </c>
    </row>
    <row r="348" spans="1:3" x14ac:dyDescent="0.25">
      <c r="A348" s="238">
        <v>37396</v>
      </c>
      <c r="B348" s="239">
        <v>1548.31</v>
      </c>
      <c r="C348" s="242">
        <f t="shared" si="5"/>
        <v>-1.3382803632155018E-2</v>
      </c>
    </row>
    <row r="349" spans="1:3" x14ac:dyDescent="0.25">
      <c r="A349" s="238">
        <v>37397</v>
      </c>
      <c r="B349" s="239">
        <v>1531.32</v>
      </c>
      <c r="C349" s="242">
        <f t="shared" si="5"/>
        <v>-1.1033904964683622E-2</v>
      </c>
    </row>
    <row r="350" spans="1:3" x14ac:dyDescent="0.25">
      <c r="A350" s="238">
        <v>37398</v>
      </c>
      <c r="B350" s="239">
        <v>1540.1200000000001</v>
      </c>
      <c r="C350" s="242">
        <f t="shared" si="5"/>
        <v>5.7302269159444493E-3</v>
      </c>
    </row>
    <row r="351" spans="1:3" x14ac:dyDescent="0.25">
      <c r="A351" s="238">
        <v>37399</v>
      </c>
      <c r="B351" s="239">
        <v>1555.82</v>
      </c>
      <c r="C351" s="242">
        <f t="shared" si="5"/>
        <v>1.014240236298411E-2</v>
      </c>
    </row>
    <row r="352" spans="1:3" x14ac:dyDescent="0.25">
      <c r="A352" s="238">
        <v>37400</v>
      </c>
      <c r="B352" s="239">
        <v>1537.02</v>
      </c>
      <c r="C352" s="242">
        <f t="shared" si="5"/>
        <v>-1.2157260997134255E-2</v>
      </c>
    </row>
    <row r="353" spans="1:3" x14ac:dyDescent="0.25">
      <c r="A353" s="238">
        <v>37404</v>
      </c>
      <c r="B353" s="239">
        <v>1523.83</v>
      </c>
      <c r="C353" s="242">
        <f t="shared" si="5"/>
        <v>-8.6185743475212795E-3</v>
      </c>
    </row>
    <row r="354" spans="1:3" x14ac:dyDescent="0.25">
      <c r="A354" s="238">
        <v>37405</v>
      </c>
      <c r="B354" s="239">
        <v>1514.33</v>
      </c>
      <c r="C354" s="242">
        <f t="shared" si="5"/>
        <v>-6.2538055679290409E-3</v>
      </c>
    </row>
    <row r="355" spans="1:3" x14ac:dyDescent="0.25">
      <c r="A355" s="238">
        <v>37406</v>
      </c>
      <c r="B355" s="239">
        <v>1510.25</v>
      </c>
      <c r="C355" s="242">
        <f t="shared" si="5"/>
        <v>-2.6978968813784246E-3</v>
      </c>
    </row>
    <row r="356" spans="1:3" x14ac:dyDescent="0.25">
      <c r="A356" s="238">
        <v>37407</v>
      </c>
      <c r="B356" s="239">
        <v>1513.77</v>
      </c>
      <c r="C356" s="242">
        <f t="shared" si="5"/>
        <v>2.328027982475547E-3</v>
      </c>
    </row>
    <row r="357" spans="1:3" x14ac:dyDescent="0.25">
      <c r="A357" s="238">
        <v>37410</v>
      </c>
      <c r="B357" s="239">
        <v>1476.26</v>
      </c>
      <c r="C357" s="242">
        <f t="shared" si="5"/>
        <v>-2.5091365592290513E-2</v>
      </c>
    </row>
    <row r="358" spans="1:3" x14ac:dyDescent="0.25">
      <c r="A358" s="238">
        <v>37411</v>
      </c>
      <c r="B358" s="239">
        <v>1476.28</v>
      </c>
      <c r="C358" s="242">
        <f t="shared" si="5"/>
        <v>1.3547657271574939E-5</v>
      </c>
    </row>
    <row r="359" spans="1:3" x14ac:dyDescent="0.25">
      <c r="A359" s="238">
        <v>37412</v>
      </c>
      <c r="B359" s="239">
        <v>1489.88</v>
      </c>
      <c r="C359" s="242">
        <f t="shared" si="5"/>
        <v>9.1701697171746657E-3</v>
      </c>
    </row>
    <row r="360" spans="1:3" x14ac:dyDescent="0.25">
      <c r="A360" s="238">
        <v>37413</v>
      </c>
      <c r="B360" s="239">
        <v>1460.5</v>
      </c>
      <c r="C360" s="242">
        <f t="shared" si="5"/>
        <v>-1.991673695568626E-2</v>
      </c>
    </row>
    <row r="361" spans="1:3" x14ac:dyDescent="0.25">
      <c r="A361" s="238">
        <v>37414</v>
      </c>
      <c r="B361" s="239">
        <v>1458.21</v>
      </c>
      <c r="C361" s="242">
        <f t="shared" si="5"/>
        <v>-1.5691867091267961E-3</v>
      </c>
    </row>
    <row r="362" spans="1:3" x14ac:dyDescent="0.25">
      <c r="A362" s="238">
        <v>37417</v>
      </c>
      <c r="B362" s="239">
        <v>1462.78</v>
      </c>
      <c r="C362" s="242">
        <f t="shared" si="5"/>
        <v>3.1290786540106278E-3</v>
      </c>
    </row>
    <row r="363" spans="1:3" x14ac:dyDescent="0.25">
      <c r="A363" s="238">
        <v>37418</v>
      </c>
      <c r="B363" s="239">
        <v>1438.47</v>
      </c>
      <c r="C363" s="242">
        <f t="shared" si="5"/>
        <v>-1.6758686055897878E-2</v>
      </c>
    </row>
    <row r="364" spans="1:3" x14ac:dyDescent="0.25">
      <c r="A364" s="238">
        <v>37419</v>
      </c>
      <c r="B364" s="239">
        <v>1448.16</v>
      </c>
      <c r="C364" s="242">
        <f t="shared" si="5"/>
        <v>6.7137363620792976E-3</v>
      </c>
    </row>
    <row r="365" spans="1:3" x14ac:dyDescent="0.25">
      <c r="A365" s="238">
        <v>37420</v>
      </c>
      <c r="B365" s="239">
        <v>1433.01</v>
      </c>
      <c r="C365" s="242">
        <f t="shared" si="5"/>
        <v>-1.0516657907975499E-2</v>
      </c>
    </row>
    <row r="366" spans="1:3" x14ac:dyDescent="0.25">
      <c r="A366" s="238">
        <v>37421</v>
      </c>
      <c r="B366" s="239">
        <v>1429.78</v>
      </c>
      <c r="C366" s="242">
        <f t="shared" si="5"/>
        <v>-2.256540906311901E-3</v>
      </c>
    </row>
    <row r="367" spans="1:3" x14ac:dyDescent="0.25">
      <c r="A367" s="238">
        <v>37424</v>
      </c>
      <c r="B367" s="239">
        <v>1470.84</v>
      </c>
      <c r="C367" s="242">
        <f t="shared" si="5"/>
        <v>2.8313079876500773E-2</v>
      </c>
    </row>
    <row r="368" spans="1:3" x14ac:dyDescent="0.25">
      <c r="A368" s="238">
        <v>37425</v>
      </c>
      <c r="B368" s="239">
        <v>1472.25</v>
      </c>
      <c r="C368" s="242">
        <f t="shared" si="5"/>
        <v>9.5817668360617572E-4</v>
      </c>
    </row>
    <row r="369" spans="1:3" x14ac:dyDescent="0.25">
      <c r="A369" s="238">
        <v>37426</v>
      </c>
      <c r="B369" s="239">
        <v>1447.98</v>
      </c>
      <c r="C369" s="242">
        <f t="shared" si="5"/>
        <v>-1.6622361129103213E-2</v>
      </c>
    </row>
    <row r="370" spans="1:3" x14ac:dyDescent="0.25">
      <c r="A370" s="238">
        <v>37427</v>
      </c>
      <c r="B370" s="239">
        <v>1428.55</v>
      </c>
      <c r="C370" s="242">
        <f t="shared" si="5"/>
        <v>-1.3509537887208637E-2</v>
      </c>
    </row>
    <row r="371" spans="1:3" x14ac:dyDescent="0.25">
      <c r="A371" s="238">
        <v>37428</v>
      </c>
      <c r="B371" s="239">
        <v>1404.19</v>
      </c>
      <c r="C371" s="242">
        <f t="shared" si="5"/>
        <v>-1.7199319743242632E-2</v>
      </c>
    </row>
    <row r="372" spans="1:3" x14ac:dyDescent="0.25">
      <c r="A372" s="238">
        <v>37431</v>
      </c>
      <c r="B372" s="239">
        <v>1409.3</v>
      </c>
      <c r="C372" s="242">
        <f t="shared" si="5"/>
        <v>3.6325031323396701E-3</v>
      </c>
    </row>
    <row r="373" spans="1:3" x14ac:dyDescent="0.25">
      <c r="A373" s="238">
        <v>37432</v>
      </c>
      <c r="B373" s="239">
        <v>1385.76</v>
      </c>
      <c r="C373" s="242">
        <f t="shared" si="5"/>
        <v>-1.6844401614730692E-2</v>
      </c>
    </row>
    <row r="374" spans="1:3" x14ac:dyDescent="0.25">
      <c r="A374" s="238">
        <v>37433</v>
      </c>
      <c r="B374" s="239">
        <v>1382.78</v>
      </c>
      <c r="C374" s="242">
        <f t="shared" si="5"/>
        <v>-2.1527600474401322E-3</v>
      </c>
    </row>
    <row r="375" spans="1:3" x14ac:dyDescent="0.25">
      <c r="A375" s="238">
        <v>37434</v>
      </c>
      <c r="B375" s="239">
        <v>1407.1100000000001</v>
      </c>
      <c r="C375" s="242">
        <f t="shared" si="5"/>
        <v>1.744199004909822E-2</v>
      </c>
    </row>
    <row r="376" spans="1:3" x14ac:dyDescent="0.25">
      <c r="A376" s="238">
        <v>37435</v>
      </c>
      <c r="B376" s="239">
        <v>1405.93</v>
      </c>
      <c r="C376" s="242">
        <f t="shared" si="5"/>
        <v>-8.3895008191186421E-4</v>
      </c>
    </row>
    <row r="377" spans="1:3" x14ac:dyDescent="0.25">
      <c r="A377" s="238">
        <v>37438</v>
      </c>
      <c r="B377" s="239">
        <v>1375.8700000000001</v>
      </c>
      <c r="C377" s="242">
        <f t="shared" si="5"/>
        <v>-2.1612747216586584E-2</v>
      </c>
    </row>
    <row r="378" spans="1:3" x14ac:dyDescent="0.25">
      <c r="A378" s="238">
        <v>37439</v>
      </c>
      <c r="B378" s="239">
        <v>1346.96</v>
      </c>
      <c r="C378" s="242">
        <f t="shared" si="5"/>
        <v>-2.1236056936349969E-2</v>
      </c>
    </row>
    <row r="379" spans="1:3" x14ac:dyDescent="0.25">
      <c r="A379" s="238">
        <v>37440</v>
      </c>
      <c r="B379" s="239">
        <v>1355.4</v>
      </c>
      <c r="C379" s="242">
        <f t="shared" si="5"/>
        <v>6.2464123524684258E-3</v>
      </c>
    </row>
    <row r="380" spans="1:3" x14ac:dyDescent="0.25">
      <c r="A380" s="238">
        <v>37442</v>
      </c>
      <c r="B380" s="239">
        <v>1405.2</v>
      </c>
      <c r="C380" s="242">
        <f t="shared" si="5"/>
        <v>3.6083027689659278E-2</v>
      </c>
    </row>
    <row r="381" spans="1:3" x14ac:dyDescent="0.25">
      <c r="A381" s="238">
        <v>37445</v>
      </c>
      <c r="B381" s="239">
        <v>1388.44</v>
      </c>
      <c r="C381" s="242">
        <f t="shared" si="5"/>
        <v>-1.1998826677875165E-2</v>
      </c>
    </row>
    <row r="382" spans="1:3" x14ac:dyDescent="0.25">
      <c r="A382" s="238">
        <v>37446</v>
      </c>
      <c r="B382" s="239">
        <v>1354.23</v>
      </c>
      <c r="C382" s="242">
        <f t="shared" si="5"/>
        <v>-2.4947787606790648E-2</v>
      </c>
    </row>
    <row r="383" spans="1:3" x14ac:dyDescent="0.25">
      <c r="A383" s="238">
        <v>37447</v>
      </c>
      <c r="B383" s="239">
        <v>1308.3</v>
      </c>
      <c r="C383" s="242">
        <f t="shared" si="5"/>
        <v>-3.4504442590175669E-2</v>
      </c>
    </row>
    <row r="384" spans="1:3" x14ac:dyDescent="0.25">
      <c r="A384" s="238">
        <v>37448</v>
      </c>
      <c r="B384" s="239">
        <v>1318.18</v>
      </c>
      <c r="C384" s="242">
        <f t="shared" si="5"/>
        <v>7.5234127821688784E-3</v>
      </c>
    </row>
    <row r="385" spans="1:3" x14ac:dyDescent="0.25">
      <c r="A385" s="238">
        <v>37449</v>
      </c>
      <c r="B385" s="239">
        <v>1309.68</v>
      </c>
      <c r="C385" s="242">
        <f t="shared" si="5"/>
        <v>-6.4691647529129233E-3</v>
      </c>
    </row>
    <row r="386" spans="1:3" x14ac:dyDescent="0.25">
      <c r="A386" s="238">
        <v>37452</v>
      </c>
      <c r="B386" s="239">
        <v>1304.76</v>
      </c>
      <c r="C386" s="242">
        <f t="shared" si="5"/>
        <v>-3.7637167484278035E-3</v>
      </c>
    </row>
    <row r="387" spans="1:3" x14ac:dyDescent="0.25">
      <c r="A387" s="238">
        <v>37453</v>
      </c>
      <c r="B387" s="239">
        <v>1280.78</v>
      </c>
      <c r="C387" s="242">
        <f t="shared" si="5"/>
        <v>-1.8549848477547322E-2</v>
      </c>
    </row>
    <row r="388" spans="1:3" x14ac:dyDescent="0.25">
      <c r="A388" s="238">
        <v>37454</v>
      </c>
      <c r="B388" s="239">
        <v>1287.98</v>
      </c>
      <c r="C388" s="242">
        <f t="shared" si="5"/>
        <v>5.6058322733173339E-3</v>
      </c>
    </row>
    <row r="389" spans="1:3" x14ac:dyDescent="0.25">
      <c r="A389" s="238">
        <v>37455</v>
      </c>
      <c r="B389" s="239">
        <v>1253.21</v>
      </c>
      <c r="C389" s="242">
        <f t="shared" ref="C389:C452" si="6">LN(B389/B388)</f>
        <v>-2.7366839974933558E-2</v>
      </c>
    </row>
    <row r="390" spans="1:3" x14ac:dyDescent="0.25">
      <c r="A390" s="238">
        <v>37456</v>
      </c>
      <c r="B390" s="239">
        <v>1205.1600000000001</v>
      </c>
      <c r="C390" s="242">
        <f t="shared" si="6"/>
        <v>-3.9095921425247038E-2</v>
      </c>
    </row>
    <row r="391" spans="1:3" x14ac:dyDescent="0.25">
      <c r="A391" s="238">
        <v>37459</v>
      </c>
      <c r="B391" s="239">
        <v>1165.48</v>
      </c>
      <c r="C391" s="242">
        <f t="shared" si="6"/>
        <v>-3.3479318881830936E-2</v>
      </c>
    </row>
    <row r="392" spans="1:3" x14ac:dyDescent="0.25">
      <c r="A392" s="238">
        <v>37460</v>
      </c>
      <c r="B392" s="239">
        <v>1133.99</v>
      </c>
      <c r="C392" s="242">
        <f t="shared" si="6"/>
        <v>-2.7390632404753142E-2</v>
      </c>
    </row>
    <row r="393" spans="1:3" x14ac:dyDescent="0.25">
      <c r="A393" s="238">
        <v>37461</v>
      </c>
      <c r="B393" s="239">
        <v>1199.01</v>
      </c>
      <c r="C393" s="242">
        <f t="shared" si="6"/>
        <v>5.5753829369639948E-2</v>
      </c>
    </row>
    <row r="394" spans="1:3" x14ac:dyDescent="0.25">
      <c r="A394" s="238">
        <v>37462</v>
      </c>
      <c r="B394" s="239">
        <v>1192.28</v>
      </c>
      <c r="C394" s="242">
        <f t="shared" si="6"/>
        <v>-5.6287759066774821E-3</v>
      </c>
    </row>
    <row r="395" spans="1:3" x14ac:dyDescent="0.25">
      <c r="A395" s="238">
        <v>37463</v>
      </c>
      <c r="B395" s="239">
        <v>1212.4100000000001</v>
      </c>
      <c r="C395" s="242">
        <f t="shared" si="6"/>
        <v>1.674267388294258E-2</v>
      </c>
    </row>
    <row r="396" spans="1:3" x14ac:dyDescent="0.25">
      <c r="A396" s="238">
        <v>37466</v>
      </c>
      <c r="B396" s="239">
        <v>1278.1000000000001</v>
      </c>
      <c r="C396" s="242">
        <f t="shared" si="6"/>
        <v>5.2764485885099729E-2</v>
      </c>
    </row>
    <row r="397" spans="1:3" x14ac:dyDescent="0.25">
      <c r="A397" s="238">
        <v>37467</v>
      </c>
      <c r="B397" s="239">
        <v>1283.6200000000001</v>
      </c>
      <c r="C397" s="242">
        <f t="shared" si="6"/>
        <v>4.3096111545847604E-3</v>
      </c>
    </row>
    <row r="398" spans="1:3" x14ac:dyDescent="0.25">
      <c r="A398" s="238">
        <v>37468</v>
      </c>
      <c r="B398" s="239">
        <v>1296.3399999999999</v>
      </c>
      <c r="C398" s="242">
        <f t="shared" si="6"/>
        <v>9.8606978923683804E-3</v>
      </c>
    </row>
    <row r="399" spans="1:3" x14ac:dyDescent="0.25">
      <c r="A399" s="238">
        <v>37469</v>
      </c>
      <c r="B399" s="239">
        <v>1258.22</v>
      </c>
      <c r="C399" s="242">
        <f t="shared" si="6"/>
        <v>-2.9846885450978258E-2</v>
      </c>
    </row>
    <row r="400" spans="1:3" x14ac:dyDescent="0.25">
      <c r="A400" s="238">
        <v>37470</v>
      </c>
      <c r="B400" s="239">
        <v>1229.19</v>
      </c>
      <c r="C400" s="242">
        <f t="shared" si="6"/>
        <v>-2.3342607883006582E-2</v>
      </c>
    </row>
    <row r="401" spans="1:3" x14ac:dyDescent="0.25">
      <c r="A401" s="238">
        <v>37473</v>
      </c>
      <c r="B401" s="239">
        <v>1187.07</v>
      </c>
      <c r="C401" s="242">
        <f t="shared" si="6"/>
        <v>-3.4867329780940495E-2</v>
      </c>
    </row>
    <row r="402" spans="1:3" x14ac:dyDescent="0.25">
      <c r="A402" s="238">
        <v>37474</v>
      </c>
      <c r="B402" s="239">
        <v>1222.5899999999999</v>
      </c>
      <c r="C402" s="242">
        <f t="shared" si="6"/>
        <v>2.9483473201439986E-2</v>
      </c>
    </row>
    <row r="403" spans="1:3" x14ac:dyDescent="0.25">
      <c r="A403" s="238">
        <v>37475</v>
      </c>
      <c r="B403" s="239">
        <v>1247.28</v>
      </c>
      <c r="C403" s="242">
        <f t="shared" si="6"/>
        <v>1.9993621097159339E-2</v>
      </c>
    </row>
    <row r="404" spans="1:3" x14ac:dyDescent="0.25">
      <c r="A404" s="238">
        <v>37476</v>
      </c>
      <c r="B404" s="239">
        <v>1288.1200000000001</v>
      </c>
      <c r="C404" s="242">
        <f t="shared" si="6"/>
        <v>3.2218610658025504E-2</v>
      </c>
    </row>
    <row r="405" spans="1:3" x14ac:dyDescent="0.25">
      <c r="A405" s="238">
        <v>37477</v>
      </c>
      <c r="B405" s="239">
        <v>1292.94</v>
      </c>
      <c r="C405" s="242">
        <f t="shared" si="6"/>
        <v>3.7349039565532779E-3</v>
      </c>
    </row>
    <row r="406" spans="1:3" x14ac:dyDescent="0.25">
      <c r="A406" s="238">
        <v>37480</v>
      </c>
      <c r="B406" s="239">
        <v>1286.08</v>
      </c>
      <c r="C406" s="242">
        <f t="shared" si="6"/>
        <v>-5.319862722038768E-3</v>
      </c>
    </row>
    <row r="407" spans="1:3" x14ac:dyDescent="0.25">
      <c r="A407" s="238">
        <v>37481</v>
      </c>
      <c r="B407" s="239">
        <v>1258.3600000000001</v>
      </c>
      <c r="C407" s="242">
        <f t="shared" si="6"/>
        <v>-2.1789546417388988E-2</v>
      </c>
    </row>
    <row r="408" spans="1:3" x14ac:dyDescent="0.25">
      <c r="A408" s="238">
        <v>37482</v>
      </c>
      <c r="B408" s="239">
        <v>1309.04</v>
      </c>
      <c r="C408" s="242">
        <f t="shared" si="6"/>
        <v>3.948475827719284E-2</v>
      </c>
    </row>
    <row r="409" spans="1:3" x14ac:dyDescent="0.25">
      <c r="A409" s="238">
        <v>37483</v>
      </c>
      <c r="B409" s="239">
        <v>1324.32</v>
      </c>
      <c r="C409" s="242">
        <f t="shared" si="6"/>
        <v>1.1605076016445519E-2</v>
      </c>
    </row>
    <row r="410" spans="1:3" x14ac:dyDescent="0.25">
      <c r="A410" s="238">
        <v>37484</v>
      </c>
      <c r="B410" s="239">
        <v>1322.3600000000001</v>
      </c>
      <c r="C410" s="242">
        <f t="shared" si="6"/>
        <v>-1.4811011216299273E-3</v>
      </c>
    </row>
    <row r="411" spans="1:3" x14ac:dyDescent="0.25">
      <c r="A411" s="238">
        <v>37487</v>
      </c>
      <c r="B411" s="239">
        <v>1353.63</v>
      </c>
      <c r="C411" s="242">
        <f t="shared" si="6"/>
        <v>2.3371853711472171E-2</v>
      </c>
    </row>
    <row r="412" spans="1:3" x14ac:dyDescent="0.25">
      <c r="A412" s="238">
        <v>37488</v>
      </c>
      <c r="B412" s="239">
        <v>1334.7</v>
      </c>
      <c r="C412" s="242">
        <f t="shared" si="6"/>
        <v>-1.408332524682209E-2</v>
      </c>
    </row>
    <row r="413" spans="1:3" x14ac:dyDescent="0.25">
      <c r="A413" s="238">
        <v>37489</v>
      </c>
      <c r="B413" s="239">
        <v>1351.82</v>
      </c>
      <c r="C413" s="242">
        <f t="shared" si="6"/>
        <v>1.2745285164732462E-2</v>
      </c>
    </row>
    <row r="414" spans="1:3" x14ac:dyDescent="0.25">
      <c r="A414" s="238">
        <v>37490</v>
      </c>
      <c r="B414" s="239">
        <v>1370.8500000000001</v>
      </c>
      <c r="C414" s="242">
        <f t="shared" si="6"/>
        <v>1.3979152741482292E-2</v>
      </c>
    </row>
    <row r="415" spans="1:3" x14ac:dyDescent="0.25">
      <c r="A415" s="238">
        <v>37491</v>
      </c>
      <c r="B415" s="239">
        <v>1339.78</v>
      </c>
      <c r="C415" s="242">
        <f t="shared" si="6"/>
        <v>-2.2925564024705535E-2</v>
      </c>
    </row>
    <row r="416" spans="1:3" x14ac:dyDescent="0.25">
      <c r="A416" s="238">
        <v>37494</v>
      </c>
      <c r="B416" s="239">
        <v>1349.88</v>
      </c>
      <c r="C416" s="242">
        <f t="shared" si="6"/>
        <v>7.5102782311200957E-3</v>
      </c>
    </row>
    <row r="417" spans="1:3" x14ac:dyDescent="0.25">
      <c r="A417" s="238">
        <v>37495</v>
      </c>
      <c r="B417" s="239">
        <v>1331.19</v>
      </c>
      <c r="C417" s="242">
        <f t="shared" si="6"/>
        <v>-1.394242057323683E-2</v>
      </c>
    </row>
    <row r="418" spans="1:3" x14ac:dyDescent="0.25">
      <c r="A418" s="238">
        <v>37496</v>
      </c>
      <c r="B418" s="239">
        <v>1307.28</v>
      </c>
      <c r="C418" s="242">
        <f t="shared" si="6"/>
        <v>-1.8124636275969375E-2</v>
      </c>
    </row>
    <row r="419" spans="1:3" x14ac:dyDescent="0.25">
      <c r="A419" s="238">
        <v>37498</v>
      </c>
      <c r="B419" s="239">
        <v>1304.8500000000001</v>
      </c>
      <c r="C419" s="242">
        <f t="shared" si="6"/>
        <v>-1.8605511218690968E-3</v>
      </c>
    </row>
    <row r="420" spans="1:3" x14ac:dyDescent="0.25">
      <c r="A420" s="238">
        <v>37502</v>
      </c>
      <c r="B420" s="239">
        <v>1250.68</v>
      </c>
      <c r="C420" s="242">
        <f t="shared" si="6"/>
        <v>-4.2400688239671518E-2</v>
      </c>
    </row>
    <row r="421" spans="1:3" x14ac:dyDescent="0.25">
      <c r="A421" s="238">
        <v>37503</v>
      </c>
      <c r="B421" s="239">
        <v>1273.03</v>
      </c>
      <c r="C421" s="242">
        <f t="shared" si="6"/>
        <v>1.7712482276368766E-2</v>
      </c>
    </row>
    <row r="422" spans="1:3" x14ac:dyDescent="0.25">
      <c r="A422" s="238">
        <v>37504</v>
      </c>
      <c r="B422" s="239">
        <v>1252.77</v>
      </c>
      <c r="C422" s="242">
        <f t="shared" si="6"/>
        <v>-1.6042786068690171E-2</v>
      </c>
    </row>
    <row r="423" spans="1:3" x14ac:dyDescent="0.25">
      <c r="A423" s="238">
        <v>37505</v>
      </c>
      <c r="B423" s="239">
        <v>1273.8800000000001</v>
      </c>
      <c r="C423" s="242">
        <f t="shared" si="6"/>
        <v>1.6710261583378912E-2</v>
      </c>
    </row>
    <row r="424" spans="1:3" x14ac:dyDescent="0.25">
      <c r="A424" s="238">
        <v>37508</v>
      </c>
      <c r="B424" s="239">
        <v>1286.79</v>
      </c>
      <c r="C424" s="242">
        <f t="shared" si="6"/>
        <v>1.0083383946211315E-2</v>
      </c>
    </row>
    <row r="425" spans="1:3" x14ac:dyDescent="0.25">
      <c r="A425" s="238">
        <v>37509</v>
      </c>
      <c r="B425" s="239">
        <v>1296.23</v>
      </c>
      <c r="C425" s="242">
        <f t="shared" si="6"/>
        <v>7.3093061829810841E-3</v>
      </c>
    </row>
    <row r="426" spans="1:3" x14ac:dyDescent="0.25">
      <c r="A426" s="238">
        <v>37510</v>
      </c>
      <c r="B426" s="239">
        <v>1296.25</v>
      </c>
      <c r="C426" s="242">
        <f t="shared" si="6"/>
        <v>1.5429241498758207E-5</v>
      </c>
    </row>
    <row r="427" spans="1:3" x14ac:dyDescent="0.25">
      <c r="A427" s="238">
        <v>37511</v>
      </c>
      <c r="B427" s="239">
        <v>1264.42</v>
      </c>
      <c r="C427" s="242">
        <f t="shared" si="6"/>
        <v>-2.4861961548190318E-2</v>
      </c>
    </row>
    <row r="428" spans="1:3" x14ac:dyDescent="0.25">
      <c r="A428" s="238">
        <v>37512</v>
      </c>
      <c r="B428" s="239">
        <v>1268.57</v>
      </c>
      <c r="C428" s="242">
        <f t="shared" si="6"/>
        <v>3.2767628085954115E-3</v>
      </c>
    </row>
    <row r="429" spans="1:3" x14ac:dyDescent="0.25">
      <c r="A429" s="238">
        <v>37515</v>
      </c>
      <c r="B429" s="239">
        <v>1270.45</v>
      </c>
      <c r="C429" s="242">
        <f t="shared" si="6"/>
        <v>1.4808865968555182E-3</v>
      </c>
    </row>
    <row r="430" spans="1:3" x14ac:dyDescent="0.25">
      <c r="A430" s="238">
        <v>37516</v>
      </c>
      <c r="B430" s="239">
        <v>1245.3900000000001</v>
      </c>
      <c r="C430" s="242">
        <f t="shared" si="6"/>
        <v>-1.9922434543622365E-2</v>
      </c>
    </row>
    <row r="431" spans="1:3" x14ac:dyDescent="0.25">
      <c r="A431" s="238">
        <v>37517</v>
      </c>
      <c r="B431" s="239">
        <v>1239.7</v>
      </c>
      <c r="C431" s="242">
        <f t="shared" si="6"/>
        <v>-4.5793190132741345E-3</v>
      </c>
    </row>
    <row r="432" spans="1:3" x14ac:dyDescent="0.25">
      <c r="A432" s="238">
        <v>37518</v>
      </c>
      <c r="B432" s="239">
        <v>1202.46</v>
      </c>
      <c r="C432" s="242">
        <f t="shared" si="6"/>
        <v>-3.0499956450709222E-2</v>
      </c>
    </row>
    <row r="433" spans="1:3" x14ac:dyDescent="0.25">
      <c r="A433" s="238">
        <v>37519</v>
      </c>
      <c r="B433" s="239">
        <v>1205.42</v>
      </c>
      <c r="C433" s="242">
        <f t="shared" si="6"/>
        <v>2.4585955205606571E-3</v>
      </c>
    </row>
    <row r="434" spans="1:3" x14ac:dyDescent="0.25">
      <c r="A434" s="238">
        <v>37522</v>
      </c>
      <c r="B434" s="239">
        <v>1188.76</v>
      </c>
      <c r="C434" s="242">
        <f t="shared" si="6"/>
        <v>-1.3917306892048412E-2</v>
      </c>
    </row>
    <row r="435" spans="1:3" x14ac:dyDescent="0.25">
      <c r="A435" s="238">
        <v>37523</v>
      </c>
      <c r="B435" s="239">
        <v>1168.22</v>
      </c>
      <c r="C435" s="242">
        <f t="shared" si="6"/>
        <v>-1.7429524206143528E-2</v>
      </c>
    </row>
    <row r="436" spans="1:3" x14ac:dyDescent="0.25">
      <c r="A436" s="238">
        <v>37524</v>
      </c>
      <c r="B436" s="239">
        <v>1197.56</v>
      </c>
      <c r="C436" s="242">
        <f t="shared" si="6"/>
        <v>2.4804930598260427E-2</v>
      </c>
    </row>
    <row r="437" spans="1:3" x14ac:dyDescent="0.25">
      <c r="A437" s="238">
        <v>37525</v>
      </c>
      <c r="B437" s="239">
        <v>1219.6000000000001</v>
      </c>
      <c r="C437" s="242">
        <f t="shared" si="6"/>
        <v>1.8236782700078703E-2</v>
      </c>
    </row>
    <row r="438" spans="1:3" x14ac:dyDescent="0.25">
      <c r="A438" s="238">
        <v>37526</v>
      </c>
      <c r="B438" s="239">
        <v>1180.28</v>
      </c>
      <c r="C438" s="242">
        <f t="shared" si="6"/>
        <v>-3.2771237667173027E-2</v>
      </c>
    </row>
    <row r="439" spans="1:3" x14ac:dyDescent="0.25">
      <c r="A439" s="238">
        <v>37529</v>
      </c>
      <c r="B439" s="239">
        <v>1163.04</v>
      </c>
      <c r="C439" s="242">
        <f t="shared" si="6"/>
        <v>-1.4714431710601442E-2</v>
      </c>
    </row>
    <row r="440" spans="1:3" x14ac:dyDescent="0.25">
      <c r="A440" s="238">
        <v>37530</v>
      </c>
      <c r="B440" s="239">
        <v>1209.5899999999999</v>
      </c>
      <c r="C440" s="242">
        <f t="shared" si="6"/>
        <v>3.9244192459002569E-2</v>
      </c>
    </row>
    <row r="441" spans="1:3" x14ac:dyDescent="0.25">
      <c r="A441" s="238">
        <v>37531</v>
      </c>
      <c r="B441" s="239">
        <v>1181.32</v>
      </c>
      <c r="C441" s="242">
        <f t="shared" si="6"/>
        <v>-2.3649001883876686E-2</v>
      </c>
    </row>
    <row r="442" spans="1:3" x14ac:dyDescent="0.25">
      <c r="A442" s="238">
        <v>37532</v>
      </c>
      <c r="B442" s="239">
        <v>1168.56</v>
      </c>
      <c r="C442" s="242">
        <f t="shared" si="6"/>
        <v>-1.0860235768896113E-2</v>
      </c>
    </row>
    <row r="443" spans="1:3" x14ac:dyDescent="0.25">
      <c r="A443" s="238">
        <v>37533</v>
      </c>
      <c r="B443" s="239">
        <v>1142.3600000000001</v>
      </c>
      <c r="C443" s="242">
        <f t="shared" si="6"/>
        <v>-2.2675923575841944E-2</v>
      </c>
    </row>
    <row r="444" spans="1:3" x14ac:dyDescent="0.25">
      <c r="A444" s="238">
        <v>37536</v>
      </c>
      <c r="B444" s="239">
        <v>1120.51</v>
      </c>
      <c r="C444" s="242">
        <f t="shared" si="6"/>
        <v>-1.9312359178317626E-2</v>
      </c>
    </row>
    <row r="445" spans="1:3" x14ac:dyDescent="0.25">
      <c r="A445" s="238">
        <v>37537</v>
      </c>
      <c r="B445" s="239">
        <v>1139.9000000000001</v>
      </c>
      <c r="C445" s="242">
        <f t="shared" si="6"/>
        <v>1.7156600454337253E-2</v>
      </c>
    </row>
    <row r="446" spans="1:3" x14ac:dyDescent="0.25">
      <c r="A446" s="238">
        <v>37538</v>
      </c>
      <c r="B446" s="239">
        <v>1108.9100000000001</v>
      </c>
      <c r="C446" s="242">
        <f t="shared" si="6"/>
        <v>-2.7562988378512225E-2</v>
      </c>
    </row>
    <row r="447" spans="1:3" x14ac:dyDescent="0.25">
      <c r="A447" s="238">
        <v>37539</v>
      </c>
      <c r="B447" s="239">
        <v>1147.8</v>
      </c>
      <c r="C447" s="242">
        <f t="shared" si="6"/>
        <v>3.4469515810041304E-2</v>
      </c>
    </row>
    <row r="448" spans="1:3" x14ac:dyDescent="0.25">
      <c r="A448" s="238">
        <v>37540</v>
      </c>
      <c r="B448" s="239">
        <v>1192.6300000000001</v>
      </c>
      <c r="C448" s="242">
        <f t="shared" si="6"/>
        <v>3.8313885821618841E-2</v>
      </c>
    </row>
    <row r="449" spans="1:3" x14ac:dyDescent="0.25">
      <c r="A449" s="238">
        <v>37543</v>
      </c>
      <c r="B449" s="239">
        <v>1201.3700000000001</v>
      </c>
      <c r="C449" s="242">
        <f t="shared" si="6"/>
        <v>7.3016197410814849E-3</v>
      </c>
    </row>
    <row r="450" spans="1:3" x14ac:dyDescent="0.25">
      <c r="A450" s="238">
        <v>37544</v>
      </c>
      <c r="B450" s="239">
        <v>1258.24</v>
      </c>
      <c r="C450" s="242">
        <f t="shared" si="6"/>
        <v>4.6251346841730004E-2</v>
      </c>
    </row>
    <row r="451" spans="1:3" x14ac:dyDescent="0.25">
      <c r="A451" s="238">
        <v>37545</v>
      </c>
      <c r="B451" s="239">
        <v>1228.01</v>
      </c>
      <c r="C451" s="242">
        <f t="shared" si="6"/>
        <v>-2.4318946082285645E-2</v>
      </c>
    </row>
    <row r="452" spans="1:3" x14ac:dyDescent="0.25">
      <c r="A452" s="238">
        <v>37546</v>
      </c>
      <c r="B452" s="239">
        <v>1255.42</v>
      </c>
      <c r="C452" s="242">
        <f t="shared" si="6"/>
        <v>2.2075204937438857E-2</v>
      </c>
    </row>
    <row r="453" spans="1:3" x14ac:dyDescent="0.25">
      <c r="A453" s="238">
        <v>37547</v>
      </c>
      <c r="B453" s="239">
        <v>1262.8399999999999</v>
      </c>
      <c r="C453" s="242">
        <f t="shared" ref="C453:C516" si="7">LN(B453/B452)</f>
        <v>5.8929748897600916E-3</v>
      </c>
    </row>
    <row r="454" spans="1:3" x14ac:dyDescent="0.25">
      <c r="A454" s="238">
        <v>37550</v>
      </c>
      <c r="B454" s="239">
        <v>1284.73</v>
      </c>
      <c r="C454" s="242">
        <f t="shared" si="7"/>
        <v>1.718542669658393E-2</v>
      </c>
    </row>
    <row r="455" spans="1:3" x14ac:dyDescent="0.25">
      <c r="A455" s="238">
        <v>37551</v>
      </c>
      <c r="B455" s="239">
        <v>1271.08</v>
      </c>
      <c r="C455" s="242">
        <f t="shared" si="7"/>
        <v>-1.0681646746626266E-2</v>
      </c>
    </row>
    <row r="456" spans="1:3" x14ac:dyDescent="0.25">
      <c r="A456" s="238">
        <v>37552</v>
      </c>
      <c r="B456" s="239">
        <v>1279.6300000000001</v>
      </c>
      <c r="C456" s="242">
        <f t="shared" si="7"/>
        <v>6.7040408534822984E-3</v>
      </c>
    </row>
    <row r="457" spans="1:3" x14ac:dyDescent="0.25">
      <c r="A457" s="238">
        <v>37553</v>
      </c>
      <c r="B457" s="239">
        <v>1260.17</v>
      </c>
      <c r="C457" s="242">
        <f t="shared" si="7"/>
        <v>-1.532434114757154E-2</v>
      </c>
    </row>
    <row r="458" spans="1:3" x14ac:dyDescent="0.25">
      <c r="A458" s="238">
        <v>37554</v>
      </c>
      <c r="B458" s="239">
        <v>1281.81</v>
      </c>
      <c r="C458" s="242">
        <f t="shared" si="7"/>
        <v>1.702650908932023E-2</v>
      </c>
    </row>
    <row r="459" spans="1:3" x14ac:dyDescent="0.25">
      <c r="A459" s="238">
        <v>37557</v>
      </c>
      <c r="B459" s="239">
        <v>1271.2</v>
      </c>
      <c r="C459" s="242">
        <f t="shared" si="7"/>
        <v>-8.3118053462880714E-3</v>
      </c>
    </row>
    <row r="460" spans="1:3" x14ac:dyDescent="0.25">
      <c r="A460" s="238">
        <v>37558</v>
      </c>
      <c r="B460" s="239">
        <v>1259.79</v>
      </c>
      <c r="C460" s="242">
        <f t="shared" si="7"/>
        <v>-9.016295834081518E-3</v>
      </c>
    </row>
    <row r="461" spans="1:3" x14ac:dyDescent="0.25">
      <c r="A461" s="238">
        <v>37559</v>
      </c>
      <c r="B461" s="239">
        <v>1272.25</v>
      </c>
      <c r="C461" s="242">
        <f t="shared" si="7"/>
        <v>9.8419460805172845E-3</v>
      </c>
    </row>
    <row r="462" spans="1:3" x14ac:dyDescent="0.25">
      <c r="A462" s="238">
        <v>37560</v>
      </c>
      <c r="B462" s="239">
        <v>1265.4100000000001</v>
      </c>
      <c r="C462" s="242">
        <f t="shared" si="7"/>
        <v>-5.3908061479021807E-3</v>
      </c>
    </row>
    <row r="463" spans="1:3" x14ac:dyDescent="0.25">
      <c r="A463" s="238">
        <v>37561</v>
      </c>
      <c r="B463" s="239">
        <v>1287.1300000000001</v>
      </c>
      <c r="C463" s="242">
        <f t="shared" si="7"/>
        <v>1.701875327492032E-2</v>
      </c>
    </row>
    <row r="464" spans="1:3" x14ac:dyDescent="0.25">
      <c r="A464" s="238">
        <v>37564</v>
      </c>
      <c r="B464" s="239">
        <v>1297.69</v>
      </c>
      <c r="C464" s="242">
        <f t="shared" si="7"/>
        <v>8.170827176253238E-3</v>
      </c>
    </row>
    <row r="465" spans="1:3" x14ac:dyDescent="0.25">
      <c r="A465" s="238">
        <v>37565</v>
      </c>
      <c r="B465" s="239">
        <v>1307.8</v>
      </c>
      <c r="C465" s="242">
        <f t="shared" si="7"/>
        <v>7.7605753549623291E-3</v>
      </c>
    </row>
    <row r="466" spans="1:3" x14ac:dyDescent="0.25">
      <c r="A466" s="238">
        <v>37566</v>
      </c>
      <c r="B466" s="239">
        <v>1320.04</v>
      </c>
      <c r="C466" s="242">
        <f t="shared" si="7"/>
        <v>9.3157030244164288E-3</v>
      </c>
    </row>
    <row r="467" spans="1:3" x14ac:dyDescent="0.25">
      <c r="A467" s="238">
        <v>37567</v>
      </c>
      <c r="B467" s="239">
        <v>1290.1500000000001</v>
      </c>
      <c r="C467" s="242">
        <f t="shared" si="7"/>
        <v>-2.2903548485993692E-2</v>
      </c>
    </row>
    <row r="468" spans="1:3" x14ac:dyDescent="0.25">
      <c r="A468" s="238">
        <v>37568</v>
      </c>
      <c r="B468" s="239">
        <v>1278.94</v>
      </c>
      <c r="C468" s="242">
        <f t="shared" si="7"/>
        <v>-8.7268808368678175E-3</v>
      </c>
    </row>
    <row r="469" spans="1:3" x14ac:dyDescent="0.25">
      <c r="A469" s="238">
        <v>37571</v>
      </c>
      <c r="B469" s="239">
        <v>1252.42</v>
      </c>
      <c r="C469" s="242">
        <f t="shared" si="7"/>
        <v>-2.095393016511898E-2</v>
      </c>
    </row>
    <row r="470" spans="1:3" x14ac:dyDescent="0.25">
      <c r="A470" s="238">
        <v>37572</v>
      </c>
      <c r="B470" s="239">
        <v>1262.1400000000001</v>
      </c>
      <c r="C470" s="242">
        <f t="shared" si="7"/>
        <v>7.7310133084840544E-3</v>
      </c>
    </row>
    <row r="471" spans="1:3" x14ac:dyDescent="0.25">
      <c r="A471" s="238">
        <v>37573</v>
      </c>
      <c r="B471" s="239">
        <v>1261.97</v>
      </c>
      <c r="C471" s="242">
        <f t="shared" si="7"/>
        <v>-1.3470094429887745E-4</v>
      </c>
    </row>
    <row r="472" spans="1:3" x14ac:dyDescent="0.25">
      <c r="A472" s="238">
        <v>37574</v>
      </c>
      <c r="B472" s="239">
        <v>1293.21</v>
      </c>
      <c r="C472" s="242">
        <f t="shared" si="7"/>
        <v>2.4453507549537984E-2</v>
      </c>
    </row>
    <row r="473" spans="1:3" x14ac:dyDescent="0.25">
      <c r="A473" s="238">
        <v>37575</v>
      </c>
      <c r="B473" s="239">
        <v>1301.28</v>
      </c>
      <c r="C473" s="242">
        <f t="shared" si="7"/>
        <v>6.2208958411304038E-3</v>
      </c>
    </row>
    <row r="474" spans="1:3" x14ac:dyDescent="0.25">
      <c r="A474" s="238">
        <v>37578</v>
      </c>
      <c r="B474" s="239">
        <v>1287.79</v>
      </c>
      <c r="C474" s="242">
        <f t="shared" si="7"/>
        <v>-1.042082452545981E-2</v>
      </c>
    </row>
    <row r="475" spans="1:3" x14ac:dyDescent="0.25">
      <c r="A475" s="238">
        <v>37579</v>
      </c>
      <c r="B475" s="239">
        <v>1282.6100000000001</v>
      </c>
      <c r="C475" s="242">
        <f t="shared" si="7"/>
        <v>-4.0305065456082137E-3</v>
      </c>
    </row>
    <row r="476" spans="1:3" x14ac:dyDescent="0.25">
      <c r="A476" s="238">
        <v>37580</v>
      </c>
      <c r="B476" s="239">
        <v>1307.6100000000001</v>
      </c>
      <c r="C476" s="242">
        <f t="shared" si="7"/>
        <v>1.9303979072069929E-2</v>
      </c>
    </row>
    <row r="477" spans="1:3" x14ac:dyDescent="0.25">
      <c r="A477" s="238">
        <v>37581</v>
      </c>
      <c r="B477" s="239">
        <v>1335.74</v>
      </c>
      <c r="C477" s="242">
        <f t="shared" si="7"/>
        <v>2.1284401959546156E-2</v>
      </c>
    </row>
    <row r="478" spans="1:3" x14ac:dyDescent="0.25">
      <c r="A478" s="238">
        <v>37582</v>
      </c>
      <c r="B478" s="239">
        <v>1331.16</v>
      </c>
      <c r="C478" s="242">
        <f t="shared" si="7"/>
        <v>-3.4347028404445447E-3</v>
      </c>
    </row>
    <row r="479" spans="1:3" x14ac:dyDescent="0.25">
      <c r="A479" s="238">
        <v>37585</v>
      </c>
      <c r="B479" s="239">
        <v>1334.52</v>
      </c>
      <c r="C479" s="242">
        <f t="shared" si="7"/>
        <v>2.520934080182309E-3</v>
      </c>
    </row>
    <row r="480" spans="1:3" x14ac:dyDescent="0.25">
      <c r="A480" s="238">
        <v>37586</v>
      </c>
      <c r="B480" s="239">
        <v>1306.79</v>
      </c>
      <c r="C480" s="242">
        <f t="shared" si="7"/>
        <v>-2.0997928201494202E-2</v>
      </c>
    </row>
    <row r="481" spans="1:3" x14ac:dyDescent="0.25">
      <c r="A481" s="238">
        <v>37587</v>
      </c>
      <c r="B481" s="239">
        <v>1343.47</v>
      </c>
      <c r="C481" s="242">
        <f t="shared" si="7"/>
        <v>2.7682070653212126E-2</v>
      </c>
    </row>
    <row r="482" spans="1:3" x14ac:dyDescent="0.25">
      <c r="A482" s="238">
        <v>37589</v>
      </c>
      <c r="B482" s="239">
        <v>1339.89</v>
      </c>
      <c r="C482" s="242">
        <f t="shared" si="7"/>
        <v>-2.6682980472823069E-3</v>
      </c>
    </row>
    <row r="483" spans="1:3" x14ac:dyDescent="0.25">
      <c r="A483" s="238">
        <v>37592</v>
      </c>
      <c r="B483" s="239">
        <v>1337.34</v>
      </c>
      <c r="C483" s="242">
        <f t="shared" si="7"/>
        <v>-1.9049545770300875E-3</v>
      </c>
    </row>
    <row r="484" spans="1:3" x14ac:dyDescent="0.25">
      <c r="A484" s="238">
        <v>37593</v>
      </c>
      <c r="B484" s="239">
        <v>1317.64</v>
      </c>
      <c r="C484" s="242">
        <f t="shared" si="7"/>
        <v>-1.4840308816447994E-2</v>
      </c>
    </row>
    <row r="485" spans="1:3" x14ac:dyDescent="0.25">
      <c r="A485" s="238">
        <v>37594</v>
      </c>
      <c r="B485" s="239">
        <v>1313.53</v>
      </c>
      <c r="C485" s="242">
        <f t="shared" si="7"/>
        <v>-3.1240880237873429E-3</v>
      </c>
    </row>
    <row r="486" spans="1:3" x14ac:dyDescent="0.25">
      <c r="A486" s="238">
        <v>37595</v>
      </c>
      <c r="B486" s="239">
        <v>1297.8</v>
      </c>
      <c r="C486" s="242">
        <f t="shared" si="7"/>
        <v>-1.2047646418853209E-2</v>
      </c>
    </row>
    <row r="487" spans="1:3" x14ac:dyDescent="0.25">
      <c r="A487" s="238">
        <v>37596</v>
      </c>
      <c r="B487" s="239">
        <v>1305.98</v>
      </c>
      <c r="C487" s="242">
        <f t="shared" si="7"/>
        <v>6.2831935963673872E-3</v>
      </c>
    </row>
    <row r="488" spans="1:3" x14ac:dyDescent="0.25">
      <c r="A488" s="238">
        <v>37599</v>
      </c>
      <c r="B488" s="239">
        <v>1277.05</v>
      </c>
      <c r="C488" s="242">
        <f t="shared" si="7"/>
        <v>-2.2400986249589284E-2</v>
      </c>
    </row>
    <row r="489" spans="1:3" x14ac:dyDescent="0.25">
      <c r="A489" s="238">
        <v>37600</v>
      </c>
      <c r="B489" s="239">
        <v>1294.9100000000001</v>
      </c>
      <c r="C489" s="242">
        <f t="shared" si="7"/>
        <v>1.3888464115191252E-2</v>
      </c>
    </row>
    <row r="490" spans="1:3" x14ac:dyDescent="0.25">
      <c r="A490" s="238">
        <v>37601</v>
      </c>
      <c r="B490" s="239">
        <v>1295.9100000000001</v>
      </c>
      <c r="C490" s="242">
        <f t="shared" si="7"/>
        <v>7.7195640736107713E-4</v>
      </c>
    </row>
    <row r="491" spans="1:3" x14ac:dyDescent="0.25">
      <c r="A491" s="238">
        <v>37602</v>
      </c>
      <c r="B491" s="239">
        <v>1291.1600000000001</v>
      </c>
      <c r="C491" s="242">
        <f t="shared" si="7"/>
        <v>-3.6721119548958803E-3</v>
      </c>
    </row>
    <row r="492" spans="1:3" x14ac:dyDescent="0.25">
      <c r="A492" s="238">
        <v>37603</v>
      </c>
      <c r="B492" s="239">
        <v>1273.83</v>
      </c>
      <c r="C492" s="242">
        <f t="shared" si="7"/>
        <v>-1.3512928863615655E-2</v>
      </c>
    </row>
    <row r="493" spans="1:3" x14ac:dyDescent="0.25">
      <c r="A493" s="238">
        <v>37606</v>
      </c>
      <c r="B493" s="239">
        <v>1303.8500000000001</v>
      </c>
      <c r="C493" s="242">
        <f t="shared" si="7"/>
        <v>2.3293315957329214E-2</v>
      </c>
    </row>
    <row r="494" spans="1:3" x14ac:dyDescent="0.25">
      <c r="A494" s="238">
        <v>37607</v>
      </c>
      <c r="B494" s="239">
        <v>1293.26</v>
      </c>
      <c r="C494" s="242">
        <f t="shared" si="7"/>
        <v>-8.155263884498937E-3</v>
      </c>
    </row>
    <row r="495" spans="1:3" x14ac:dyDescent="0.25">
      <c r="A495" s="238">
        <v>37608</v>
      </c>
      <c r="B495" s="239">
        <v>1276.3600000000001</v>
      </c>
      <c r="C495" s="242">
        <f t="shared" si="7"/>
        <v>-1.3153885536193148E-2</v>
      </c>
    </row>
    <row r="496" spans="1:3" x14ac:dyDescent="0.25">
      <c r="A496" s="238">
        <v>37609</v>
      </c>
      <c r="B496" s="239">
        <v>1266.79</v>
      </c>
      <c r="C496" s="242">
        <f t="shared" si="7"/>
        <v>-7.526135047101202E-3</v>
      </c>
    </row>
    <row r="497" spans="1:3" x14ac:dyDescent="0.25">
      <c r="A497" s="238">
        <v>37610</v>
      </c>
      <c r="B497" s="239">
        <v>1283.25</v>
      </c>
      <c r="C497" s="242">
        <f t="shared" si="7"/>
        <v>1.2909780712989427E-2</v>
      </c>
    </row>
    <row r="498" spans="1:3" x14ac:dyDescent="0.25">
      <c r="A498" s="238">
        <v>37613</v>
      </c>
      <c r="B498" s="239">
        <v>1285.6000000000001</v>
      </c>
      <c r="C498" s="242">
        <f t="shared" si="7"/>
        <v>1.8296129828903941E-3</v>
      </c>
    </row>
    <row r="499" spans="1:3" x14ac:dyDescent="0.25">
      <c r="A499" s="238">
        <v>37614</v>
      </c>
      <c r="B499" s="239">
        <v>1278.58</v>
      </c>
      <c r="C499" s="242">
        <f t="shared" si="7"/>
        <v>-5.4754483215717856E-3</v>
      </c>
    </row>
    <row r="500" spans="1:3" x14ac:dyDescent="0.25">
      <c r="A500" s="238">
        <v>37616</v>
      </c>
      <c r="B500" s="239">
        <v>1274.55</v>
      </c>
      <c r="C500" s="242">
        <f t="shared" si="7"/>
        <v>-3.1569119840711177E-3</v>
      </c>
    </row>
    <row r="501" spans="1:3" x14ac:dyDescent="0.25">
      <c r="A501" s="238">
        <v>37617</v>
      </c>
      <c r="B501" s="239">
        <v>1254.6500000000001</v>
      </c>
      <c r="C501" s="242">
        <f t="shared" si="7"/>
        <v>-1.5736525909430449E-2</v>
      </c>
    </row>
    <row r="502" spans="1:3" x14ac:dyDescent="0.25">
      <c r="A502" s="238">
        <v>37620</v>
      </c>
      <c r="B502" s="239">
        <v>1260.42</v>
      </c>
      <c r="C502" s="242">
        <f t="shared" si="7"/>
        <v>4.5883495274145116E-3</v>
      </c>
    </row>
    <row r="503" spans="1:3" x14ac:dyDescent="0.25">
      <c r="A503" s="238">
        <v>37621</v>
      </c>
      <c r="B503" s="239">
        <v>1261.18</v>
      </c>
      <c r="C503" s="242">
        <f t="shared" si="7"/>
        <v>6.0279189642500886E-4</v>
      </c>
    </row>
    <row r="504" spans="1:3" x14ac:dyDescent="0.25">
      <c r="A504" s="238">
        <v>37623</v>
      </c>
      <c r="B504" s="239">
        <v>1303.17</v>
      </c>
      <c r="C504" s="242">
        <f t="shared" si="7"/>
        <v>3.2751967132969156E-2</v>
      </c>
    </row>
    <row r="505" spans="1:3" x14ac:dyDescent="0.25">
      <c r="A505" s="238">
        <v>37624</v>
      </c>
      <c r="B505" s="239">
        <v>1302.55</v>
      </c>
      <c r="C505" s="242">
        <f t="shared" si="7"/>
        <v>-4.758761583749931E-4</v>
      </c>
    </row>
    <row r="506" spans="1:3" x14ac:dyDescent="0.25">
      <c r="A506" s="238">
        <v>37627</v>
      </c>
      <c r="B506" s="239">
        <v>1331.82</v>
      </c>
      <c r="C506" s="242">
        <f t="shared" si="7"/>
        <v>2.2222546226960779E-2</v>
      </c>
    </row>
    <row r="507" spans="1:3" x14ac:dyDescent="0.25">
      <c r="A507" s="238">
        <v>37628</v>
      </c>
      <c r="B507" s="239">
        <v>1323.17</v>
      </c>
      <c r="C507" s="242">
        <f t="shared" si="7"/>
        <v>-6.5160551307705374E-3</v>
      </c>
    </row>
    <row r="508" spans="1:3" x14ac:dyDescent="0.25">
      <c r="A508" s="238">
        <v>37629</v>
      </c>
      <c r="B508" s="239">
        <v>1304.95</v>
      </c>
      <c r="C508" s="242">
        <f t="shared" si="7"/>
        <v>-1.3865646856311847E-2</v>
      </c>
    </row>
    <row r="509" spans="1:3" x14ac:dyDescent="0.25">
      <c r="A509" s="238">
        <v>37630</v>
      </c>
      <c r="B509" s="239">
        <v>1330.3</v>
      </c>
      <c r="C509" s="242">
        <f t="shared" si="7"/>
        <v>1.9239754843318121E-2</v>
      </c>
    </row>
    <row r="510" spans="1:3" x14ac:dyDescent="0.25">
      <c r="A510" s="238">
        <v>37631</v>
      </c>
      <c r="B510" s="239">
        <v>1330.29</v>
      </c>
      <c r="C510" s="242">
        <f t="shared" si="7"/>
        <v>-7.5171296592224373E-6</v>
      </c>
    </row>
    <row r="511" spans="1:3" x14ac:dyDescent="0.25">
      <c r="A511" s="238">
        <v>37634</v>
      </c>
      <c r="B511" s="239">
        <v>1328.5</v>
      </c>
      <c r="C511" s="242">
        <f t="shared" si="7"/>
        <v>-1.3464773603325472E-3</v>
      </c>
    </row>
    <row r="512" spans="1:3" x14ac:dyDescent="0.25">
      <c r="A512" s="238">
        <v>37635</v>
      </c>
      <c r="B512" s="239">
        <v>1336.24</v>
      </c>
      <c r="C512" s="242">
        <f t="shared" si="7"/>
        <v>5.80921348182403E-3</v>
      </c>
    </row>
    <row r="513" spans="1:3" x14ac:dyDescent="0.25">
      <c r="A513" s="238">
        <v>37636</v>
      </c>
      <c r="B513" s="239">
        <v>1317.18</v>
      </c>
      <c r="C513" s="242">
        <f t="shared" si="7"/>
        <v>-1.4366612017805678E-2</v>
      </c>
    </row>
    <row r="514" spans="1:3" x14ac:dyDescent="0.25">
      <c r="A514" s="238">
        <v>37637</v>
      </c>
      <c r="B514" s="239">
        <v>1312</v>
      </c>
      <c r="C514" s="242">
        <f t="shared" si="7"/>
        <v>-3.9403971598521055E-3</v>
      </c>
    </row>
    <row r="515" spans="1:3" x14ac:dyDescent="0.25">
      <c r="A515" s="238">
        <v>37638</v>
      </c>
      <c r="B515" s="239">
        <v>1293.6300000000001</v>
      </c>
      <c r="C515" s="242">
        <f t="shared" si="7"/>
        <v>-1.4100470415426794E-2</v>
      </c>
    </row>
    <row r="516" spans="1:3" x14ac:dyDescent="0.25">
      <c r="A516" s="238">
        <v>37642</v>
      </c>
      <c r="B516" s="239">
        <v>1273.31</v>
      </c>
      <c r="C516" s="242">
        <f t="shared" si="7"/>
        <v>-1.5832410931323981E-2</v>
      </c>
    </row>
    <row r="517" spans="1:3" x14ac:dyDescent="0.25">
      <c r="A517" s="238">
        <v>37643</v>
      </c>
      <c r="B517" s="239">
        <v>1260.1600000000001</v>
      </c>
      <c r="C517" s="242">
        <f t="shared" ref="C517:C580" si="8">LN(B517/B516)</f>
        <v>-1.0381112146577545E-2</v>
      </c>
    </row>
    <row r="518" spans="1:3" x14ac:dyDescent="0.25">
      <c r="A518" s="238">
        <v>37644</v>
      </c>
      <c r="B518" s="239">
        <v>1273.04</v>
      </c>
      <c r="C518" s="242">
        <f t="shared" si="8"/>
        <v>1.0169043891222277E-2</v>
      </c>
    </row>
    <row r="519" spans="1:3" x14ac:dyDescent="0.25">
      <c r="A519" s="238">
        <v>37645</v>
      </c>
      <c r="B519" s="239">
        <v>1235.8399999999999</v>
      </c>
      <c r="C519" s="242">
        <f t="shared" si="8"/>
        <v>-2.9656840101833594E-2</v>
      </c>
    </row>
    <row r="520" spans="1:3" x14ac:dyDescent="0.25">
      <c r="A520" s="238">
        <v>37648</v>
      </c>
      <c r="B520" s="239">
        <v>1215.8600000000001</v>
      </c>
      <c r="C520" s="242">
        <f t="shared" si="8"/>
        <v>-1.6299255481078755E-2</v>
      </c>
    </row>
    <row r="521" spans="1:3" x14ac:dyDescent="0.25">
      <c r="A521" s="238">
        <v>37649</v>
      </c>
      <c r="B521" s="239">
        <v>1231.74</v>
      </c>
      <c r="C521" s="242">
        <f t="shared" si="8"/>
        <v>1.2976158541554912E-2</v>
      </c>
    </row>
    <row r="522" spans="1:3" x14ac:dyDescent="0.25">
      <c r="A522" s="238">
        <v>37650</v>
      </c>
      <c r="B522" s="239">
        <v>1240.31</v>
      </c>
      <c r="C522" s="242">
        <f t="shared" si="8"/>
        <v>6.9335444937187437E-3</v>
      </c>
    </row>
    <row r="523" spans="1:3" x14ac:dyDescent="0.25">
      <c r="A523" s="238">
        <v>37651</v>
      </c>
      <c r="B523" s="239">
        <v>1212.23</v>
      </c>
      <c r="C523" s="242">
        <f t="shared" si="8"/>
        <v>-2.2899709751986963E-2</v>
      </c>
    </row>
    <row r="524" spans="1:3" x14ac:dyDescent="0.25">
      <c r="A524" s="238">
        <v>37652</v>
      </c>
      <c r="B524" s="239">
        <v>1228.1400000000001</v>
      </c>
      <c r="C524" s="242">
        <f t="shared" si="8"/>
        <v>1.303919112119426E-2</v>
      </c>
    </row>
    <row r="525" spans="1:3" x14ac:dyDescent="0.25">
      <c r="A525" s="238">
        <v>37655</v>
      </c>
      <c r="B525" s="239">
        <v>1234.78</v>
      </c>
      <c r="C525" s="242">
        <f t="shared" si="8"/>
        <v>5.3919868183626568E-3</v>
      </c>
    </row>
    <row r="526" spans="1:3" x14ac:dyDescent="0.25">
      <c r="A526" s="238">
        <v>37656</v>
      </c>
      <c r="B526" s="239">
        <v>1217.4000000000001</v>
      </c>
      <c r="C526" s="242">
        <f t="shared" si="8"/>
        <v>-1.4175379482035502E-2</v>
      </c>
    </row>
    <row r="527" spans="1:3" x14ac:dyDescent="0.25">
      <c r="A527" s="238">
        <v>37657</v>
      </c>
      <c r="B527" s="239">
        <v>1211.04</v>
      </c>
      <c r="C527" s="242">
        <f t="shared" si="8"/>
        <v>-5.2379424989669101E-3</v>
      </c>
    </row>
    <row r="528" spans="1:3" x14ac:dyDescent="0.25">
      <c r="A528" s="238">
        <v>37658</v>
      </c>
      <c r="B528" s="239">
        <v>1203.58</v>
      </c>
      <c r="C528" s="242">
        <f t="shared" si="8"/>
        <v>-6.1790457592460022E-3</v>
      </c>
    </row>
    <row r="529" spans="1:3" x14ac:dyDescent="0.25">
      <c r="A529" s="238">
        <v>37659</v>
      </c>
      <c r="B529" s="239">
        <v>1191.46</v>
      </c>
      <c r="C529" s="242">
        <f t="shared" si="8"/>
        <v>-1.0121002955166613E-2</v>
      </c>
    </row>
    <row r="530" spans="1:3" x14ac:dyDescent="0.25">
      <c r="A530" s="238">
        <v>37662</v>
      </c>
      <c r="B530" s="239">
        <v>1200.51</v>
      </c>
      <c r="C530" s="242">
        <f t="shared" si="8"/>
        <v>7.5670206427272705E-3</v>
      </c>
    </row>
    <row r="531" spans="1:3" x14ac:dyDescent="0.25">
      <c r="A531" s="238">
        <v>37663</v>
      </c>
      <c r="B531" s="239">
        <v>1190.83</v>
      </c>
      <c r="C531" s="242">
        <f t="shared" si="8"/>
        <v>-8.0959235174289414E-3</v>
      </c>
    </row>
    <row r="532" spans="1:3" x14ac:dyDescent="0.25">
      <c r="A532" s="238">
        <v>37664</v>
      </c>
      <c r="B532" s="239">
        <v>1176.1500000000001</v>
      </c>
      <c r="C532" s="242">
        <f t="shared" si="8"/>
        <v>-1.2404150626702418E-2</v>
      </c>
    </row>
    <row r="533" spans="1:3" x14ac:dyDescent="0.25">
      <c r="A533" s="238">
        <v>37665</v>
      </c>
      <c r="B533" s="239">
        <v>1174.43</v>
      </c>
      <c r="C533" s="242">
        <f t="shared" si="8"/>
        <v>-1.4634688519283262E-3</v>
      </c>
    </row>
    <row r="534" spans="1:3" x14ac:dyDescent="0.25">
      <c r="A534" s="238">
        <v>37666</v>
      </c>
      <c r="B534" s="239">
        <v>1199.6100000000001</v>
      </c>
      <c r="C534" s="242">
        <f t="shared" si="8"/>
        <v>2.1213580459033911E-2</v>
      </c>
    </row>
    <row r="535" spans="1:3" x14ac:dyDescent="0.25">
      <c r="A535" s="238">
        <v>37670</v>
      </c>
      <c r="B535" s="239">
        <v>1223.1100000000001</v>
      </c>
      <c r="C535" s="242">
        <f t="shared" si="8"/>
        <v>1.9400291454114139E-2</v>
      </c>
    </row>
    <row r="536" spans="1:3" x14ac:dyDescent="0.25">
      <c r="A536" s="238">
        <v>37671</v>
      </c>
      <c r="B536" s="239">
        <v>1214.6600000000001</v>
      </c>
      <c r="C536" s="242">
        <f t="shared" si="8"/>
        <v>-6.932593183787015E-3</v>
      </c>
    </row>
    <row r="537" spans="1:3" x14ac:dyDescent="0.25">
      <c r="A537" s="238">
        <v>37672</v>
      </c>
      <c r="B537" s="239">
        <v>1203.18</v>
      </c>
      <c r="C537" s="242">
        <f t="shared" si="8"/>
        <v>-9.496150505476187E-3</v>
      </c>
    </row>
    <row r="538" spans="1:3" x14ac:dyDescent="0.25">
      <c r="A538" s="238">
        <v>37673</v>
      </c>
      <c r="B538" s="239">
        <v>1219.1000000000001</v>
      </c>
      <c r="C538" s="242">
        <f t="shared" si="8"/>
        <v>1.31448298541035E-2</v>
      </c>
    </row>
    <row r="539" spans="1:3" x14ac:dyDescent="0.25">
      <c r="A539" s="238">
        <v>37676</v>
      </c>
      <c r="B539" s="239">
        <v>1196.71</v>
      </c>
      <c r="C539" s="242">
        <f t="shared" si="8"/>
        <v>-1.8536756713349166E-2</v>
      </c>
    </row>
    <row r="540" spans="1:3" x14ac:dyDescent="0.25">
      <c r="A540" s="238">
        <v>37677</v>
      </c>
      <c r="B540" s="239">
        <v>1205.32</v>
      </c>
      <c r="C540" s="242">
        <f t="shared" si="8"/>
        <v>7.1689669781193517E-3</v>
      </c>
    </row>
    <row r="541" spans="1:3" x14ac:dyDescent="0.25">
      <c r="A541" s="238">
        <v>37678</v>
      </c>
      <c r="B541" s="239">
        <v>1189.98</v>
      </c>
      <c r="C541" s="242">
        <f t="shared" si="8"/>
        <v>-1.2808591594219453E-2</v>
      </c>
    </row>
    <row r="542" spans="1:3" x14ac:dyDescent="0.25">
      <c r="A542" s="238">
        <v>37679</v>
      </c>
      <c r="B542" s="239">
        <v>1204.1100000000001</v>
      </c>
      <c r="C542" s="242">
        <f t="shared" si="8"/>
        <v>1.1804204580095864E-2</v>
      </c>
    </row>
    <row r="543" spans="1:3" x14ac:dyDescent="0.25">
      <c r="A543" s="238">
        <v>37680</v>
      </c>
      <c r="B543" s="239">
        <v>1209.71</v>
      </c>
      <c r="C543" s="242">
        <f t="shared" si="8"/>
        <v>4.6399566222461589E-3</v>
      </c>
    </row>
    <row r="544" spans="1:3" x14ac:dyDescent="0.25">
      <c r="A544" s="238">
        <v>37683</v>
      </c>
      <c r="B544" s="239">
        <v>1200.6000000000001</v>
      </c>
      <c r="C544" s="242">
        <f t="shared" si="8"/>
        <v>-7.5592296262507871E-3</v>
      </c>
    </row>
    <row r="545" spans="1:3" x14ac:dyDescent="0.25">
      <c r="A545" s="238">
        <v>37684</v>
      </c>
      <c r="B545" s="239">
        <v>1182.17</v>
      </c>
      <c r="C545" s="242">
        <f t="shared" si="8"/>
        <v>-1.5469699166310318E-2</v>
      </c>
    </row>
    <row r="546" spans="1:3" x14ac:dyDescent="0.25">
      <c r="A546" s="238">
        <v>37685</v>
      </c>
      <c r="B546" s="239">
        <v>1193.8700000000001</v>
      </c>
      <c r="C546" s="242">
        <f t="shared" si="8"/>
        <v>9.8483986515625864E-3</v>
      </c>
    </row>
    <row r="547" spans="1:3" x14ac:dyDescent="0.25">
      <c r="A547" s="238">
        <v>37686</v>
      </c>
      <c r="B547" s="239">
        <v>1182.82</v>
      </c>
      <c r="C547" s="242">
        <f t="shared" si="8"/>
        <v>-9.2987134382072206E-3</v>
      </c>
    </row>
    <row r="548" spans="1:3" x14ac:dyDescent="0.25">
      <c r="A548" s="238">
        <v>37687</v>
      </c>
      <c r="B548" s="239">
        <v>1192.6100000000001</v>
      </c>
      <c r="C548" s="242">
        <f t="shared" si="8"/>
        <v>8.2427648301503908E-3</v>
      </c>
    </row>
    <row r="549" spans="1:3" x14ac:dyDescent="0.25">
      <c r="A549" s="238">
        <v>37690</v>
      </c>
      <c r="B549" s="239">
        <v>1161.8500000000001</v>
      </c>
      <c r="C549" s="242">
        <f t="shared" si="8"/>
        <v>-2.6130620395316127E-2</v>
      </c>
    </row>
    <row r="550" spans="1:3" x14ac:dyDescent="0.25">
      <c r="A550" s="238">
        <v>37691</v>
      </c>
      <c r="B550" s="239">
        <v>1152.1500000000001</v>
      </c>
      <c r="C550" s="242">
        <f t="shared" si="8"/>
        <v>-8.3838001868212393E-3</v>
      </c>
    </row>
    <row r="551" spans="1:3" x14ac:dyDescent="0.25">
      <c r="A551" s="238">
        <v>37692</v>
      </c>
      <c r="B551" s="239">
        <v>1157.6100000000001</v>
      </c>
      <c r="C551" s="242">
        <f t="shared" si="8"/>
        <v>4.727772729704505E-3</v>
      </c>
    </row>
    <row r="552" spans="1:3" x14ac:dyDescent="0.25">
      <c r="A552" s="238">
        <v>37693</v>
      </c>
      <c r="B552" s="239">
        <v>1197.56</v>
      </c>
      <c r="C552" s="242">
        <f t="shared" si="8"/>
        <v>3.3928618571515953E-2</v>
      </c>
    </row>
    <row r="553" spans="1:3" x14ac:dyDescent="0.25">
      <c r="A553" s="238">
        <v>37694</v>
      </c>
      <c r="B553" s="239">
        <v>1199.55</v>
      </c>
      <c r="C553" s="242">
        <f t="shared" si="8"/>
        <v>1.6603330319873212E-3</v>
      </c>
    </row>
    <row r="554" spans="1:3" x14ac:dyDescent="0.25">
      <c r="A554" s="238">
        <v>37697</v>
      </c>
      <c r="B554" s="239">
        <v>1242.0899999999999</v>
      </c>
      <c r="C554" s="242">
        <f t="shared" si="8"/>
        <v>3.4848958190159263E-2</v>
      </c>
    </row>
    <row r="555" spans="1:3" x14ac:dyDescent="0.25">
      <c r="A555" s="238">
        <v>37698</v>
      </c>
      <c r="B555" s="239">
        <v>1247.3900000000001</v>
      </c>
      <c r="C555" s="242">
        <f t="shared" si="8"/>
        <v>4.257923749037407E-3</v>
      </c>
    </row>
    <row r="556" spans="1:3" x14ac:dyDescent="0.25">
      <c r="A556" s="238">
        <v>37699</v>
      </c>
      <c r="B556" s="239">
        <v>1258.3700000000001</v>
      </c>
      <c r="C556" s="242">
        <f t="shared" si="8"/>
        <v>8.7638642781233782E-3</v>
      </c>
    </row>
    <row r="557" spans="1:3" x14ac:dyDescent="0.25">
      <c r="A557" s="238">
        <v>37700</v>
      </c>
      <c r="B557" s="239">
        <v>1260.76</v>
      </c>
      <c r="C557" s="242">
        <f t="shared" si="8"/>
        <v>1.8974810486845333E-3</v>
      </c>
    </row>
    <row r="558" spans="1:3" x14ac:dyDescent="0.25">
      <c r="A558" s="238">
        <v>37701</v>
      </c>
      <c r="B558" s="239">
        <v>1289.74</v>
      </c>
      <c r="C558" s="242">
        <f t="shared" si="8"/>
        <v>2.2725933942098802E-2</v>
      </c>
    </row>
    <row r="559" spans="1:3" x14ac:dyDescent="0.25">
      <c r="A559" s="238">
        <v>37704</v>
      </c>
      <c r="B559" s="239">
        <v>1244.31</v>
      </c>
      <c r="C559" s="242">
        <f t="shared" si="8"/>
        <v>-3.5859488257709286E-2</v>
      </c>
    </row>
    <row r="560" spans="1:3" x14ac:dyDescent="0.25">
      <c r="A560" s="238">
        <v>37705</v>
      </c>
      <c r="B560" s="239">
        <v>1259.44</v>
      </c>
      <c r="C560" s="242">
        <f t="shared" si="8"/>
        <v>1.2086018309970987E-2</v>
      </c>
    </row>
    <row r="561" spans="1:3" x14ac:dyDescent="0.25">
      <c r="A561" s="238">
        <v>37706</v>
      </c>
      <c r="B561" s="239">
        <v>1252.5899999999999</v>
      </c>
      <c r="C561" s="242">
        <f t="shared" si="8"/>
        <v>-5.4537700414679499E-3</v>
      </c>
    </row>
    <row r="562" spans="1:3" x14ac:dyDescent="0.25">
      <c r="A562" s="238">
        <v>37707</v>
      </c>
      <c r="B562" s="239">
        <v>1250.71</v>
      </c>
      <c r="C562" s="242">
        <f t="shared" si="8"/>
        <v>-1.5020176195012925E-3</v>
      </c>
    </row>
    <row r="563" spans="1:3" x14ac:dyDescent="0.25">
      <c r="A563" s="238">
        <v>37708</v>
      </c>
      <c r="B563" s="239">
        <v>1243.51</v>
      </c>
      <c r="C563" s="242">
        <f t="shared" si="8"/>
        <v>-5.7733640168294046E-3</v>
      </c>
    </row>
    <row r="564" spans="1:3" x14ac:dyDescent="0.25">
      <c r="A564" s="238">
        <v>37711</v>
      </c>
      <c r="B564" s="239">
        <v>1221.46</v>
      </c>
      <c r="C564" s="242">
        <f t="shared" si="8"/>
        <v>-1.7891161489966566E-2</v>
      </c>
    </row>
    <row r="565" spans="1:3" x14ac:dyDescent="0.25">
      <c r="A565" s="238">
        <v>37712</v>
      </c>
      <c r="B565" s="239">
        <v>1236.3</v>
      </c>
      <c r="C565" s="242">
        <f t="shared" si="8"/>
        <v>1.2076183474273061E-2</v>
      </c>
    </row>
    <row r="566" spans="1:3" x14ac:dyDescent="0.25">
      <c r="A566" s="238">
        <v>37713</v>
      </c>
      <c r="B566" s="239">
        <v>1268.82</v>
      </c>
      <c r="C566" s="242">
        <f t="shared" si="8"/>
        <v>2.5964286669067513E-2</v>
      </c>
    </row>
    <row r="567" spans="1:3" x14ac:dyDescent="0.25">
      <c r="A567" s="238">
        <v>37714</v>
      </c>
      <c r="B567" s="239">
        <v>1262.43</v>
      </c>
      <c r="C567" s="242">
        <f t="shared" si="8"/>
        <v>-5.0488996141494283E-3</v>
      </c>
    </row>
    <row r="568" spans="1:3" x14ac:dyDescent="0.25">
      <c r="A568" s="238">
        <v>37715</v>
      </c>
      <c r="B568" s="239">
        <v>1265.9000000000001</v>
      </c>
      <c r="C568" s="242">
        <f t="shared" si="8"/>
        <v>2.7448965749832352E-3</v>
      </c>
    </row>
    <row r="569" spans="1:3" x14ac:dyDescent="0.25">
      <c r="A569" s="238">
        <v>37718</v>
      </c>
      <c r="B569" s="239">
        <v>1267.48</v>
      </c>
      <c r="C569" s="242">
        <f t="shared" si="8"/>
        <v>1.2473456053621874E-3</v>
      </c>
    </row>
    <row r="570" spans="1:3" x14ac:dyDescent="0.25">
      <c r="A570" s="238">
        <v>37719</v>
      </c>
      <c r="B570" s="239">
        <v>1265.57</v>
      </c>
      <c r="C570" s="242">
        <f t="shared" si="8"/>
        <v>-1.5080636876381301E-3</v>
      </c>
    </row>
    <row r="571" spans="1:3" x14ac:dyDescent="0.25">
      <c r="A571" s="238">
        <v>37720</v>
      </c>
      <c r="B571" s="239">
        <v>1247.99</v>
      </c>
      <c r="C571" s="242">
        <f t="shared" si="8"/>
        <v>-1.3988356483749482E-2</v>
      </c>
    </row>
    <row r="572" spans="1:3" x14ac:dyDescent="0.25">
      <c r="A572" s="238">
        <v>37721</v>
      </c>
      <c r="B572" s="239">
        <v>1256.04</v>
      </c>
      <c r="C572" s="242">
        <f t="shared" si="8"/>
        <v>6.4296575780354356E-3</v>
      </c>
    </row>
    <row r="573" spans="1:3" x14ac:dyDescent="0.25">
      <c r="A573" s="238">
        <v>37722</v>
      </c>
      <c r="B573" s="239">
        <v>1251.4000000000001</v>
      </c>
      <c r="C573" s="242">
        <f t="shared" si="8"/>
        <v>-3.7009900905294797E-3</v>
      </c>
    </row>
    <row r="574" spans="1:3" x14ac:dyDescent="0.25">
      <c r="A574" s="238">
        <v>37725</v>
      </c>
      <c r="B574" s="239">
        <v>1275.82</v>
      </c>
      <c r="C574" s="242">
        <f t="shared" si="8"/>
        <v>1.9326184559030776E-2</v>
      </c>
    </row>
    <row r="575" spans="1:3" x14ac:dyDescent="0.25">
      <c r="A575" s="238">
        <v>37726</v>
      </c>
      <c r="B575" s="239">
        <v>1283.96</v>
      </c>
      <c r="C575" s="242">
        <f t="shared" si="8"/>
        <v>6.3599429933835893E-3</v>
      </c>
    </row>
    <row r="576" spans="1:3" x14ac:dyDescent="0.25">
      <c r="A576" s="238">
        <v>37727</v>
      </c>
      <c r="B576" s="239">
        <v>1268.28</v>
      </c>
      <c r="C576" s="242">
        <f t="shared" si="8"/>
        <v>-1.2287400307421424E-2</v>
      </c>
    </row>
    <row r="577" spans="1:3" x14ac:dyDescent="0.25">
      <c r="A577" s="238">
        <v>37728</v>
      </c>
      <c r="B577" s="239">
        <v>1287.99</v>
      </c>
      <c r="C577" s="242">
        <f t="shared" si="8"/>
        <v>1.5421211849747546E-2</v>
      </c>
    </row>
    <row r="578" spans="1:3" x14ac:dyDescent="0.25">
      <c r="A578" s="238">
        <v>37732</v>
      </c>
      <c r="B578" s="239">
        <v>1285.72</v>
      </c>
      <c r="C578" s="242">
        <f t="shared" si="8"/>
        <v>-1.7639909613928117E-3</v>
      </c>
    </row>
    <row r="579" spans="1:3" x14ac:dyDescent="0.25">
      <c r="A579" s="238">
        <v>37733</v>
      </c>
      <c r="B579" s="239">
        <v>1313.63</v>
      </c>
      <c r="C579" s="242">
        <f t="shared" si="8"/>
        <v>2.1475424742205648E-2</v>
      </c>
    </row>
    <row r="580" spans="1:3" x14ac:dyDescent="0.25">
      <c r="A580" s="238">
        <v>37734</v>
      </c>
      <c r="B580" s="239">
        <v>1324.68</v>
      </c>
      <c r="C580" s="242">
        <f t="shared" si="8"/>
        <v>8.3766233784440744E-3</v>
      </c>
    </row>
    <row r="581" spans="1:3" x14ac:dyDescent="0.25">
      <c r="A581" s="238">
        <v>37735</v>
      </c>
      <c r="B581" s="239">
        <v>1313.75</v>
      </c>
      <c r="C581" s="242">
        <f t="shared" ref="C581:C644" si="9">LN(B581/B580)</f>
        <v>-8.2852776270997807E-3</v>
      </c>
    </row>
    <row r="582" spans="1:3" x14ac:dyDescent="0.25">
      <c r="A582" s="238">
        <v>37736</v>
      </c>
      <c r="B582" s="239">
        <v>1295.57</v>
      </c>
      <c r="C582" s="242">
        <f t="shared" si="9"/>
        <v>-1.3934890456918793E-2</v>
      </c>
    </row>
    <row r="583" spans="1:3" x14ac:dyDescent="0.25">
      <c r="A583" s="238">
        <v>37739</v>
      </c>
      <c r="B583" s="239">
        <v>1318.8500000000001</v>
      </c>
      <c r="C583" s="242">
        <f t="shared" si="9"/>
        <v>1.7809391999118417E-2</v>
      </c>
    </row>
    <row r="584" spans="1:3" x14ac:dyDescent="0.25">
      <c r="A584" s="238">
        <v>37740</v>
      </c>
      <c r="B584" s="239">
        <v>1323.26</v>
      </c>
      <c r="C584" s="242">
        <f t="shared" si="9"/>
        <v>3.3382441271353771E-3</v>
      </c>
    </row>
    <row r="585" spans="1:3" x14ac:dyDescent="0.25">
      <c r="A585" s="238">
        <v>37741</v>
      </c>
      <c r="B585" s="239">
        <v>1322.07</v>
      </c>
      <c r="C585" s="242">
        <f t="shared" si="9"/>
        <v>-8.9969877502720473E-4</v>
      </c>
    </row>
    <row r="586" spans="1:3" x14ac:dyDescent="0.25">
      <c r="A586" s="238">
        <v>37742</v>
      </c>
      <c r="B586" s="239">
        <v>1321.39</v>
      </c>
      <c r="C586" s="242">
        <f t="shared" si="9"/>
        <v>-5.1447724951292958E-4</v>
      </c>
    </row>
    <row r="587" spans="1:3" x14ac:dyDescent="0.25">
      <c r="A587" s="238">
        <v>37743</v>
      </c>
      <c r="B587" s="239">
        <v>1341.28</v>
      </c>
      <c r="C587" s="242">
        <f t="shared" si="9"/>
        <v>1.4940169053591433E-2</v>
      </c>
    </row>
    <row r="588" spans="1:3" x14ac:dyDescent="0.25">
      <c r="A588" s="238">
        <v>37746</v>
      </c>
      <c r="B588" s="239">
        <v>1336.24</v>
      </c>
      <c r="C588" s="242">
        <f t="shared" si="9"/>
        <v>-3.7646822078551199E-3</v>
      </c>
    </row>
    <row r="589" spans="1:3" x14ac:dyDescent="0.25">
      <c r="A589" s="238">
        <v>37747</v>
      </c>
      <c r="B589" s="239">
        <v>1347.54</v>
      </c>
      <c r="C589" s="242">
        <f t="shared" si="9"/>
        <v>8.421008261994203E-3</v>
      </c>
    </row>
    <row r="590" spans="1:3" x14ac:dyDescent="0.25">
      <c r="A590" s="238">
        <v>37748</v>
      </c>
      <c r="B590" s="239">
        <v>1340.8700000000001</v>
      </c>
      <c r="C590" s="242">
        <f t="shared" si="9"/>
        <v>-4.9620509414074251E-3</v>
      </c>
    </row>
    <row r="591" spans="1:3" x14ac:dyDescent="0.25">
      <c r="A591" s="238">
        <v>37749</v>
      </c>
      <c r="B591" s="239">
        <v>1327.42</v>
      </c>
      <c r="C591" s="242">
        <f t="shared" si="9"/>
        <v>-1.0081448355595889E-2</v>
      </c>
    </row>
    <row r="592" spans="1:3" x14ac:dyDescent="0.25">
      <c r="A592" s="238">
        <v>37750</v>
      </c>
      <c r="B592" s="239">
        <v>1346.68</v>
      </c>
      <c r="C592" s="242">
        <f t="shared" si="9"/>
        <v>1.4405095581487587E-2</v>
      </c>
    </row>
    <row r="593" spans="1:3" x14ac:dyDescent="0.25">
      <c r="A593" s="238">
        <v>37753</v>
      </c>
      <c r="B593" s="239">
        <v>1363.6100000000001</v>
      </c>
      <c r="C593" s="242">
        <f t="shared" si="9"/>
        <v>1.249329053758149E-2</v>
      </c>
    </row>
    <row r="594" spans="1:3" x14ac:dyDescent="0.25">
      <c r="A594" s="238">
        <v>37754</v>
      </c>
      <c r="B594" s="239">
        <v>1359.74</v>
      </c>
      <c r="C594" s="242">
        <f t="shared" si="9"/>
        <v>-2.8420897827933964E-3</v>
      </c>
    </row>
    <row r="595" spans="1:3" x14ac:dyDescent="0.25">
      <c r="A595" s="238">
        <v>37755</v>
      </c>
      <c r="B595" s="239">
        <v>1355.76</v>
      </c>
      <c r="C595" s="242">
        <f t="shared" si="9"/>
        <v>-2.9313222978422609E-3</v>
      </c>
    </row>
    <row r="596" spans="1:3" x14ac:dyDescent="0.25">
      <c r="A596" s="238">
        <v>37756</v>
      </c>
      <c r="B596" s="239">
        <v>1366.58</v>
      </c>
      <c r="C596" s="242">
        <f t="shared" si="9"/>
        <v>7.9490856942338768E-3</v>
      </c>
    </row>
    <row r="597" spans="1:3" x14ac:dyDescent="0.25">
      <c r="A597" s="238">
        <v>37757</v>
      </c>
      <c r="B597" s="239">
        <v>1363.32</v>
      </c>
      <c r="C597" s="242">
        <f t="shared" si="9"/>
        <v>-2.3883670095367691E-3</v>
      </c>
    </row>
    <row r="598" spans="1:3" x14ac:dyDescent="0.25">
      <c r="A598" s="238">
        <v>37760</v>
      </c>
      <c r="B598" s="239">
        <v>1329.38</v>
      </c>
      <c r="C598" s="242">
        <f t="shared" si="9"/>
        <v>-2.5210233256423433E-2</v>
      </c>
    </row>
    <row r="599" spans="1:3" x14ac:dyDescent="0.25">
      <c r="A599" s="238">
        <v>37761</v>
      </c>
      <c r="B599" s="239">
        <v>1327.8700000000001</v>
      </c>
      <c r="C599" s="242">
        <f t="shared" si="9"/>
        <v>-1.1365134349678491E-3</v>
      </c>
    </row>
    <row r="600" spans="1:3" x14ac:dyDescent="0.25">
      <c r="A600" s="238">
        <v>37762</v>
      </c>
      <c r="B600" s="239">
        <v>1333.33</v>
      </c>
      <c r="C600" s="242">
        <f t="shared" si="9"/>
        <v>4.1034177523708642E-3</v>
      </c>
    </row>
    <row r="601" spans="1:3" x14ac:dyDescent="0.25">
      <c r="A601" s="238">
        <v>37763</v>
      </c>
      <c r="B601" s="239">
        <v>1345.53</v>
      </c>
      <c r="C601" s="242">
        <f t="shared" si="9"/>
        <v>9.1084150316389431E-3</v>
      </c>
    </row>
    <row r="602" spans="1:3" x14ac:dyDescent="0.25">
      <c r="A602" s="238">
        <v>37764</v>
      </c>
      <c r="B602" s="239">
        <v>1347.49</v>
      </c>
      <c r="C602" s="242">
        <f t="shared" si="9"/>
        <v>1.4556151429051568E-3</v>
      </c>
    </row>
    <row r="603" spans="1:3" x14ac:dyDescent="0.25">
      <c r="A603" s="238">
        <v>37768</v>
      </c>
      <c r="B603" s="239">
        <v>1373.8600000000001</v>
      </c>
      <c r="C603" s="242">
        <f t="shared" si="9"/>
        <v>1.9380693700287822E-2</v>
      </c>
    </row>
    <row r="604" spans="1:3" x14ac:dyDescent="0.25">
      <c r="A604" s="238">
        <v>37769</v>
      </c>
      <c r="B604" s="239">
        <v>1376.57</v>
      </c>
      <c r="C604" s="242">
        <f t="shared" si="9"/>
        <v>1.9706015982749966E-3</v>
      </c>
    </row>
    <row r="605" spans="1:3" x14ac:dyDescent="0.25">
      <c r="A605" s="238">
        <v>37770</v>
      </c>
      <c r="B605" s="239">
        <v>1371.51</v>
      </c>
      <c r="C605" s="242">
        <f t="shared" si="9"/>
        <v>-3.682575265911005E-3</v>
      </c>
    </row>
    <row r="606" spans="1:3" x14ac:dyDescent="0.25">
      <c r="A606" s="238">
        <v>37771</v>
      </c>
      <c r="B606" s="239">
        <v>1391.72</v>
      </c>
      <c r="C606" s="242">
        <f t="shared" si="9"/>
        <v>1.4628069597829862E-2</v>
      </c>
    </row>
    <row r="607" spans="1:3" x14ac:dyDescent="0.25">
      <c r="A607" s="238">
        <v>37774</v>
      </c>
      <c r="B607" s="239">
        <v>1396.7</v>
      </c>
      <c r="C607" s="242">
        <f t="shared" si="9"/>
        <v>3.5719190759069667E-3</v>
      </c>
    </row>
    <row r="608" spans="1:3" x14ac:dyDescent="0.25">
      <c r="A608" s="238">
        <v>37775</v>
      </c>
      <c r="B608" s="239">
        <v>1403.29</v>
      </c>
      <c r="C608" s="242">
        <f t="shared" si="9"/>
        <v>4.7071683599723786E-3</v>
      </c>
    </row>
    <row r="609" spans="1:3" x14ac:dyDescent="0.25">
      <c r="A609" s="238">
        <v>37776</v>
      </c>
      <c r="B609" s="239">
        <v>1424.9</v>
      </c>
      <c r="C609" s="242">
        <f t="shared" si="9"/>
        <v>1.5282156130045074E-2</v>
      </c>
    </row>
    <row r="610" spans="1:3" x14ac:dyDescent="0.25">
      <c r="A610" s="238">
        <v>37777</v>
      </c>
      <c r="B610" s="239">
        <v>1430.63</v>
      </c>
      <c r="C610" s="242">
        <f t="shared" si="9"/>
        <v>4.0132708749527077E-3</v>
      </c>
    </row>
    <row r="611" spans="1:3" x14ac:dyDescent="0.25">
      <c r="A611" s="238">
        <v>37778</v>
      </c>
      <c r="B611" s="239">
        <v>1427.27</v>
      </c>
      <c r="C611" s="242">
        <f t="shared" si="9"/>
        <v>-2.3513779685181264E-3</v>
      </c>
    </row>
    <row r="612" spans="1:3" x14ac:dyDescent="0.25">
      <c r="A612" s="238">
        <v>37781</v>
      </c>
      <c r="B612" s="239">
        <v>1410.21</v>
      </c>
      <c r="C612" s="242">
        <f t="shared" si="9"/>
        <v>-1.2024899255641246E-2</v>
      </c>
    </row>
    <row r="613" spans="1:3" x14ac:dyDescent="0.25">
      <c r="A613" s="238">
        <v>37782</v>
      </c>
      <c r="B613" s="239">
        <v>1423.1100000000001</v>
      </c>
      <c r="C613" s="242">
        <f t="shared" si="9"/>
        <v>9.1059881254663688E-3</v>
      </c>
    </row>
    <row r="614" spans="1:3" x14ac:dyDescent="0.25">
      <c r="A614" s="238">
        <v>37783</v>
      </c>
      <c r="B614" s="239">
        <v>1441.8600000000001</v>
      </c>
      <c r="C614" s="242">
        <f t="shared" si="9"/>
        <v>1.3089329174966352E-2</v>
      </c>
    </row>
    <row r="615" spans="1:3" x14ac:dyDescent="0.25">
      <c r="A615" s="238">
        <v>37784</v>
      </c>
      <c r="B615" s="239">
        <v>1443.41</v>
      </c>
      <c r="C615" s="242">
        <f t="shared" si="9"/>
        <v>1.0744229476673198E-3</v>
      </c>
    </row>
    <row r="616" spans="1:3" x14ac:dyDescent="0.25">
      <c r="A616" s="238">
        <v>37785</v>
      </c>
      <c r="B616" s="239">
        <v>1429.1100000000001</v>
      </c>
      <c r="C616" s="242">
        <f t="shared" si="9"/>
        <v>-9.9564968264109731E-3</v>
      </c>
    </row>
    <row r="617" spans="1:3" x14ac:dyDescent="0.25">
      <c r="A617" s="238">
        <v>37788</v>
      </c>
      <c r="B617" s="239">
        <v>1461.15</v>
      </c>
      <c r="C617" s="242">
        <f t="shared" si="9"/>
        <v>2.2171924010849015E-2</v>
      </c>
    </row>
    <row r="618" spans="1:3" x14ac:dyDescent="0.25">
      <c r="A618" s="238">
        <v>37789</v>
      </c>
      <c r="B618" s="239">
        <v>1462.48</v>
      </c>
      <c r="C618" s="242">
        <f t="shared" si="9"/>
        <v>9.0982791375545638E-4</v>
      </c>
    </row>
    <row r="619" spans="1:3" x14ac:dyDescent="0.25">
      <c r="A619" s="238">
        <v>37790</v>
      </c>
      <c r="B619" s="239">
        <v>1460.32</v>
      </c>
      <c r="C619" s="242">
        <f t="shared" si="9"/>
        <v>-1.4780350302626825E-3</v>
      </c>
    </row>
    <row r="620" spans="1:3" x14ac:dyDescent="0.25">
      <c r="A620" s="238">
        <v>37791</v>
      </c>
      <c r="B620" s="239">
        <v>1438.09</v>
      </c>
      <c r="C620" s="242">
        <f t="shared" si="9"/>
        <v>-1.5339745519768645E-2</v>
      </c>
    </row>
    <row r="621" spans="1:3" x14ac:dyDescent="0.25">
      <c r="A621" s="238">
        <v>37792</v>
      </c>
      <c r="B621" s="239">
        <v>1439.54</v>
      </c>
      <c r="C621" s="242">
        <f t="shared" si="9"/>
        <v>1.0077738435583332E-3</v>
      </c>
    </row>
    <row r="622" spans="1:3" x14ac:dyDescent="0.25">
      <c r="A622" s="238">
        <v>37795</v>
      </c>
      <c r="B622" s="239">
        <v>1419.24</v>
      </c>
      <c r="C622" s="242">
        <f t="shared" si="9"/>
        <v>-1.4202101041331015E-2</v>
      </c>
    </row>
    <row r="623" spans="1:3" x14ac:dyDescent="0.25">
      <c r="A623" s="238">
        <v>37796</v>
      </c>
      <c r="B623" s="239">
        <v>1421.8600000000001</v>
      </c>
      <c r="C623" s="242">
        <f t="shared" si="9"/>
        <v>1.8443565820942312E-3</v>
      </c>
    </row>
    <row r="624" spans="1:3" x14ac:dyDescent="0.25">
      <c r="A624" s="238">
        <v>37797</v>
      </c>
      <c r="B624" s="239">
        <v>1410.09</v>
      </c>
      <c r="C624" s="242">
        <f t="shared" si="9"/>
        <v>-8.3123415107062646E-3</v>
      </c>
    </row>
    <row r="625" spans="1:3" x14ac:dyDescent="0.25">
      <c r="A625" s="238">
        <v>37798</v>
      </c>
      <c r="B625" s="239">
        <v>1425.82</v>
      </c>
      <c r="C625" s="242">
        <f t="shared" si="9"/>
        <v>1.1093554675526616E-2</v>
      </c>
    </row>
    <row r="626" spans="1:3" x14ac:dyDescent="0.25">
      <c r="A626" s="238">
        <v>37799</v>
      </c>
      <c r="B626" s="239">
        <v>1411.96</v>
      </c>
      <c r="C626" s="242">
        <f t="shared" si="9"/>
        <v>-9.7682767579137797E-3</v>
      </c>
    </row>
    <row r="627" spans="1:3" x14ac:dyDescent="0.25">
      <c r="A627" s="238">
        <v>37802</v>
      </c>
      <c r="B627" s="239">
        <v>1409.48</v>
      </c>
      <c r="C627" s="242">
        <f t="shared" si="9"/>
        <v>-1.7579680154058679E-3</v>
      </c>
    </row>
    <row r="628" spans="1:3" x14ac:dyDescent="0.25">
      <c r="A628" s="238">
        <v>37803</v>
      </c>
      <c r="B628" s="239">
        <v>1421.03</v>
      </c>
      <c r="C628" s="242">
        <f t="shared" si="9"/>
        <v>8.1611187426599563E-3</v>
      </c>
    </row>
    <row r="629" spans="1:3" x14ac:dyDescent="0.25">
      <c r="A629" s="238">
        <v>37804</v>
      </c>
      <c r="B629" s="239">
        <v>1437.6100000000001</v>
      </c>
      <c r="C629" s="242">
        <f t="shared" si="9"/>
        <v>1.1600051715716183E-2</v>
      </c>
    </row>
    <row r="630" spans="1:3" x14ac:dyDescent="0.25">
      <c r="A630" s="238">
        <v>37805</v>
      </c>
      <c r="B630" s="239">
        <v>1425.96</v>
      </c>
      <c r="C630" s="242">
        <f t="shared" si="9"/>
        <v>-8.1367413930618238E-3</v>
      </c>
    </row>
    <row r="631" spans="1:3" x14ac:dyDescent="0.25">
      <c r="A631" s="238">
        <v>37809</v>
      </c>
      <c r="B631" s="239">
        <v>1453.07</v>
      </c>
      <c r="C631" s="242">
        <f t="shared" si="9"/>
        <v>1.8833288507111128E-2</v>
      </c>
    </row>
    <row r="632" spans="1:3" x14ac:dyDescent="0.25">
      <c r="A632" s="238">
        <v>37810</v>
      </c>
      <c r="B632" s="239">
        <v>1458.51</v>
      </c>
      <c r="C632" s="242">
        <f t="shared" si="9"/>
        <v>3.7368070464980749E-3</v>
      </c>
    </row>
    <row r="633" spans="1:3" x14ac:dyDescent="0.25">
      <c r="A633" s="238">
        <v>37811</v>
      </c>
      <c r="B633" s="239">
        <v>1450.51</v>
      </c>
      <c r="C633" s="242">
        <f t="shared" si="9"/>
        <v>-5.5001479314280496E-3</v>
      </c>
    </row>
    <row r="634" spans="1:3" x14ac:dyDescent="0.25">
      <c r="A634" s="238">
        <v>37812</v>
      </c>
      <c r="B634" s="239">
        <v>1430.96</v>
      </c>
      <c r="C634" s="242">
        <f t="shared" si="9"/>
        <v>-1.3569671027126227E-2</v>
      </c>
    </row>
    <row r="635" spans="1:3" x14ac:dyDescent="0.25">
      <c r="A635" s="238">
        <v>37813</v>
      </c>
      <c r="B635" s="239">
        <v>1444.7</v>
      </c>
      <c r="C635" s="242">
        <f t="shared" si="9"/>
        <v>9.556139850345256E-3</v>
      </c>
    </row>
    <row r="636" spans="1:3" x14ac:dyDescent="0.25">
      <c r="A636" s="238">
        <v>37816</v>
      </c>
      <c r="B636" s="239">
        <v>1453</v>
      </c>
      <c r="C636" s="242">
        <f t="shared" si="9"/>
        <v>5.7286970349471359E-3</v>
      </c>
    </row>
    <row r="637" spans="1:3" x14ac:dyDescent="0.25">
      <c r="A637" s="238">
        <v>37817</v>
      </c>
      <c r="B637" s="239">
        <v>1448.02</v>
      </c>
      <c r="C637" s="242">
        <f t="shared" si="9"/>
        <v>-3.4332785653120794E-3</v>
      </c>
    </row>
    <row r="638" spans="1:3" x14ac:dyDescent="0.25">
      <c r="A638" s="238">
        <v>37818</v>
      </c>
      <c r="B638" s="239">
        <v>1438.8500000000001</v>
      </c>
      <c r="C638" s="242">
        <f t="shared" si="9"/>
        <v>-6.3529226057700283E-3</v>
      </c>
    </row>
    <row r="639" spans="1:3" x14ac:dyDescent="0.25">
      <c r="A639" s="238">
        <v>37819</v>
      </c>
      <c r="B639" s="239">
        <v>1421.1100000000001</v>
      </c>
      <c r="C639" s="242">
        <f t="shared" si="9"/>
        <v>-1.2405927023666129E-2</v>
      </c>
    </row>
    <row r="640" spans="1:3" x14ac:dyDescent="0.25">
      <c r="A640" s="238">
        <v>37820</v>
      </c>
      <c r="B640" s="239">
        <v>1437.88</v>
      </c>
      <c r="C640" s="242">
        <f t="shared" si="9"/>
        <v>1.1731550188327507E-2</v>
      </c>
    </row>
    <row r="641" spans="1:3" x14ac:dyDescent="0.25">
      <c r="A641" s="238">
        <v>37823</v>
      </c>
      <c r="B641" s="239">
        <v>1416.88</v>
      </c>
      <c r="C641" s="242">
        <f t="shared" si="9"/>
        <v>-1.4712535415485421E-2</v>
      </c>
    </row>
    <row r="642" spans="1:3" x14ac:dyDescent="0.25">
      <c r="A642" s="238">
        <v>37824</v>
      </c>
      <c r="B642" s="239">
        <v>1430.3500000000001</v>
      </c>
      <c r="C642" s="242">
        <f t="shared" si="9"/>
        <v>9.4618984026529247E-3</v>
      </c>
    </row>
    <row r="643" spans="1:3" x14ac:dyDescent="0.25">
      <c r="A643" s="238">
        <v>37825</v>
      </c>
      <c r="B643" s="239">
        <v>1431.1000000000001</v>
      </c>
      <c r="C643" s="242">
        <f t="shared" si="9"/>
        <v>5.2420976580030997E-4</v>
      </c>
    </row>
    <row r="644" spans="1:3" x14ac:dyDescent="0.25">
      <c r="A644" s="238">
        <v>37826</v>
      </c>
      <c r="B644" s="239">
        <v>1420.95</v>
      </c>
      <c r="C644" s="242">
        <f t="shared" si="9"/>
        <v>-7.1177173271770719E-3</v>
      </c>
    </row>
    <row r="645" spans="1:3" x14ac:dyDescent="0.25">
      <c r="A645" s="238">
        <v>37827</v>
      </c>
      <c r="B645" s="239">
        <v>1445.7</v>
      </c>
      <c r="C645" s="242">
        <f t="shared" ref="C645:C708" si="10">LN(B645/B644)</f>
        <v>1.7267971324743607E-2</v>
      </c>
    </row>
    <row r="646" spans="1:3" x14ac:dyDescent="0.25">
      <c r="A646" s="238">
        <v>37830</v>
      </c>
      <c r="B646" s="239">
        <v>1442.58</v>
      </c>
      <c r="C646" s="242">
        <f t="shared" si="10"/>
        <v>-2.1604561978536847E-3</v>
      </c>
    </row>
    <row r="647" spans="1:3" x14ac:dyDescent="0.25">
      <c r="A647" s="238">
        <v>37831</v>
      </c>
      <c r="B647" s="239">
        <v>1432.31</v>
      </c>
      <c r="C647" s="242">
        <f t="shared" si="10"/>
        <v>-7.1446515775356418E-3</v>
      </c>
    </row>
    <row r="648" spans="1:3" x14ac:dyDescent="0.25">
      <c r="A648" s="238">
        <v>37832</v>
      </c>
      <c r="B648" s="239">
        <v>1429.9</v>
      </c>
      <c r="C648" s="242">
        <f t="shared" si="10"/>
        <v>-1.6840138002058439E-3</v>
      </c>
    </row>
    <row r="649" spans="1:3" x14ac:dyDescent="0.25">
      <c r="A649" s="238">
        <v>37833</v>
      </c>
      <c r="B649" s="239">
        <v>1434.33</v>
      </c>
      <c r="C649" s="242">
        <f t="shared" si="10"/>
        <v>3.0933294689600901E-3</v>
      </c>
    </row>
    <row r="650" spans="1:3" x14ac:dyDescent="0.25">
      <c r="A650" s="238">
        <v>37834</v>
      </c>
      <c r="B650" s="239">
        <v>1419.64</v>
      </c>
      <c r="C650" s="242">
        <f t="shared" si="10"/>
        <v>-1.0294522881129062E-2</v>
      </c>
    </row>
    <row r="651" spans="1:3" x14ac:dyDescent="0.25">
      <c r="A651" s="238">
        <v>37837</v>
      </c>
      <c r="B651" s="239">
        <v>1423.51</v>
      </c>
      <c r="C651" s="242">
        <f t="shared" si="10"/>
        <v>2.7223343053168337E-3</v>
      </c>
    </row>
    <row r="652" spans="1:3" x14ac:dyDescent="0.25">
      <c r="A652" s="238">
        <v>37838</v>
      </c>
      <c r="B652" s="239">
        <v>1398.42</v>
      </c>
      <c r="C652" s="242">
        <f t="shared" si="10"/>
        <v>-1.7782624773455089E-2</v>
      </c>
    </row>
    <row r="653" spans="1:3" x14ac:dyDescent="0.25">
      <c r="A653" s="238">
        <v>37839</v>
      </c>
      <c r="B653" s="239">
        <v>1401.01</v>
      </c>
      <c r="C653" s="242">
        <f t="shared" si="10"/>
        <v>1.8503772117829456E-3</v>
      </c>
    </row>
    <row r="654" spans="1:3" x14ac:dyDescent="0.25">
      <c r="A654" s="238">
        <v>37840</v>
      </c>
      <c r="B654" s="239">
        <v>1411.26</v>
      </c>
      <c r="C654" s="242">
        <f t="shared" si="10"/>
        <v>7.2895172852301959E-3</v>
      </c>
    </row>
    <row r="655" spans="1:3" x14ac:dyDescent="0.25">
      <c r="A655" s="238">
        <v>37841</v>
      </c>
      <c r="B655" s="239">
        <v>1416.3</v>
      </c>
      <c r="C655" s="242">
        <f t="shared" si="10"/>
        <v>3.5649148648435399E-3</v>
      </c>
    </row>
    <row r="656" spans="1:3" x14ac:dyDescent="0.25">
      <c r="A656" s="238">
        <v>37844</v>
      </c>
      <c r="B656" s="239">
        <v>1421.01</v>
      </c>
      <c r="C656" s="242">
        <f t="shared" si="10"/>
        <v>3.3200491496658438E-3</v>
      </c>
    </row>
    <row r="657" spans="1:3" x14ac:dyDescent="0.25">
      <c r="A657" s="238">
        <v>37845</v>
      </c>
      <c r="B657" s="239">
        <v>1435.17</v>
      </c>
      <c r="C657" s="242">
        <f t="shared" si="10"/>
        <v>9.9154227060105782E-3</v>
      </c>
    </row>
    <row r="658" spans="1:3" x14ac:dyDescent="0.25">
      <c r="A658" s="238">
        <v>37846</v>
      </c>
      <c r="B658" s="239">
        <v>1426.55</v>
      </c>
      <c r="C658" s="242">
        <f t="shared" si="10"/>
        <v>-6.0243672130440417E-3</v>
      </c>
    </row>
    <row r="659" spans="1:3" x14ac:dyDescent="0.25">
      <c r="A659" s="238">
        <v>37847</v>
      </c>
      <c r="B659" s="239">
        <v>1435.95</v>
      </c>
      <c r="C659" s="242">
        <f t="shared" si="10"/>
        <v>6.5677091974886076E-3</v>
      </c>
    </row>
    <row r="660" spans="1:3" x14ac:dyDescent="0.25">
      <c r="A660" s="238">
        <v>37848</v>
      </c>
      <c r="B660" s="239">
        <v>1436.43</v>
      </c>
      <c r="C660" s="242">
        <f t="shared" si="10"/>
        <v>3.342176205571489E-4</v>
      </c>
    </row>
    <row r="661" spans="1:3" x14ac:dyDescent="0.25">
      <c r="A661" s="238">
        <v>37851</v>
      </c>
      <c r="B661" s="239">
        <v>1449.65</v>
      </c>
      <c r="C661" s="242">
        <f t="shared" si="10"/>
        <v>9.1612792865716532E-3</v>
      </c>
    </row>
    <row r="662" spans="1:3" x14ac:dyDescent="0.25">
      <c r="A662" s="238">
        <v>37852</v>
      </c>
      <c r="B662" s="239">
        <v>1453.45</v>
      </c>
      <c r="C662" s="242">
        <f t="shared" si="10"/>
        <v>2.6178927148434723E-3</v>
      </c>
    </row>
    <row r="663" spans="1:3" x14ac:dyDescent="0.25">
      <c r="A663" s="238">
        <v>37853</v>
      </c>
      <c r="B663" s="239">
        <v>1450.6000000000001</v>
      </c>
      <c r="C663" s="242">
        <f t="shared" si="10"/>
        <v>-1.9627767531321923E-3</v>
      </c>
    </row>
    <row r="664" spans="1:3" x14ac:dyDescent="0.25">
      <c r="A664" s="238">
        <v>37854</v>
      </c>
      <c r="B664" s="239">
        <v>1454.98</v>
      </c>
      <c r="C664" s="242">
        <f t="shared" si="10"/>
        <v>3.0148908773403186E-3</v>
      </c>
    </row>
    <row r="665" spans="1:3" x14ac:dyDescent="0.25">
      <c r="A665" s="238">
        <v>37855</v>
      </c>
      <c r="B665" s="239">
        <v>1440.16</v>
      </c>
      <c r="C665" s="242">
        <f t="shared" si="10"/>
        <v>-1.0237936297877333E-2</v>
      </c>
    </row>
    <row r="666" spans="1:3" x14ac:dyDescent="0.25">
      <c r="A666" s="238">
        <v>37858</v>
      </c>
      <c r="B666" s="239">
        <v>1441.1100000000001</v>
      </c>
      <c r="C666" s="242">
        <f t="shared" si="10"/>
        <v>6.5943145517474418E-4</v>
      </c>
    </row>
    <row r="667" spans="1:3" x14ac:dyDescent="0.25">
      <c r="A667" s="238">
        <v>37859</v>
      </c>
      <c r="B667" s="239">
        <v>1445.5</v>
      </c>
      <c r="C667" s="242">
        <f t="shared" si="10"/>
        <v>3.0416324924507614E-3</v>
      </c>
    </row>
    <row r="668" spans="1:3" x14ac:dyDescent="0.25">
      <c r="A668" s="238">
        <v>37860</v>
      </c>
      <c r="B668" s="239">
        <v>1445.84</v>
      </c>
      <c r="C668" s="242">
        <f t="shared" si="10"/>
        <v>2.3518507098235674E-4</v>
      </c>
    </row>
    <row r="669" spans="1:3" x14ac:dyDescent="0.25">
      <c r="A669" s="238">
        <v>37861</v>
      </c>
      <c r="B669" s="239">
        <v>1454.7</v>
      </c>
      <c r="C669" s="242">
        <f t="shared" si="10"/>
        <v>6.1092262520332195E-3</v>
      </c>
    </row>
    <row r="670" spans="1:3" x14ac:dyDescent="0.25">
      <c r="A670" s="238">
        <v>37862</v>
      </c>
      <c r="B670" s="239">
        <v>1462.3</v>
      </c>
      <c r="C670" s="242">
        <f t="shared" si="10"/>
        <v>5.2108448384170355E-3</v>
      </c>
    </row>
    <row r="671" spans="1:3" x14ac:dyDescent="0.25">
      <c r="A671" s="238">
        <v>37866</v>
      </c>
      <c r="B671" s="239">
        <v>1482.6100000000001</v>
      </c>
      <c r="C671" s="242">
        <f t="shared" si="10"/>
        <v>1.3793509489634072E-2</v>
      </c>
    </row>
    <row r="672" spans="1:3" x14ac:dyDescent="0.25">
      <c r="A672" s="238">
        <v>37867</v>
      </c>
      <c r="B672" s="239">
        <v>1489.25</v>
      </c>
      <c r="C672" s="242">
        <f t="shared" si="10"/>
        <v>4.4685894013294022E-3</v>
      </c>
    </row>
    <row r="673" spans="1:3" x14ac:dyDescent="0.25">
      <c r="A673" s="238">
        <v>37868</v>
      </c>
      <c r="B673" s="239">
        <v>1491.77</v>
      </c>
      <c r="C673" s="242">
        <f t="shared" si="10"/>
        <v>1.6906968757511029E-3</v>
      </c>
    </row>
    <row r="674" spans="1:3" x14ac:dyDescent="0.25">
      <c r="A674" s="238">
        <v>37869</v>
      </c>
      <c r="B674" s="239">
        <v>1482.24</v>
      </c>
      <c r="C674" s="242">
        <f t="shared" si="10"/>
        <v>-6.4088773200814825E-3</v>
      </c>
    </row>
    <row r="675" spans="1:3" x14ac:dyDescent="0.25">
      <c r="A675" s="238">
        <v>37872</v>
      </c>
      <c r="B675" s="239">
        <v>1497.22</v>
      </c>
      <c r="C675" s="242">
        <f t="shared" si="10"/>
        <v>1.0055598145354958E-2</v>
      </c>
    </row>
    <row r="676" spans="1:3" x14ac:dyDescent="0.25">
      <c r="A676" s="238">
        <v>37873</v>
      </c>
      <c r="B676" s="239">
        <v>1484.93</v>
      </c>
      <c r="C676" s="242">
        <f t="shared" si="10"/>
        <v>-8.2424221311920339E-3</v>
      </c>
    </row>
    <row r="677" spans="1:3" x14ac:dyDescent="0.25">
      <c r="A677" s="238">
        <v>37874</v>
      </c>
      <c r="B677" s="239">
        <v>1467.29</v>
      </c>
      <c r="C677" s="242">
        <f t="shared" si="10"/>
        <v>-1.1950471127306135E-2</v>
      </c>
    </row>
    <row r="678" spans="1:3" x14ac:dyDescent="0.25">
      <c r="A678" s="238">
        <v>37875</v>
      </c>
      <c r="B678" s="239">
        <v>1475.71</v>
      </c>
      <c r="C678" s="242">
        <f t="shared" si="10"/>
        <v>5.7220679401976402E-3</v>
      </c>
    </row>
    <row r="679" spans="1:3" x14ac:dyDescent="0.25">
      <c r="A679" s="238">
        <v>37876</v>
      </c>
      <c r="B679" s="239">
        <v>1478.93</v>
      </c>
      <c r="C679" s="242">
        <f t="shared" si="10"/>
        <v>2.1796234226752862E-3</v>
      </c>
    </row>
    <row r="680" spans="1:3" x14ac:dyDescent="0.25">
      <c r="A680" s="238">
        <v>37879</v>
      </c>
      <c r="B680" s="239">
        <v>1473.43</v>
      </c>
      <c r="C680" s="242">
        <f t="shared" si="10"/>
        <v>-3.7258372031317133E-3</v>
      </c>
    </row>
    <row r="681" spans="1:3" x14ac:dyDescent="0.25">
      <c r="A681" s="238">
        <v>37880</v>
      </c>
      <c r="B681" s="239">
        <v>1494.5</v>
      </c>
      <c r="C681" s="242">
        <f t="shared" si="10"/>
        <v>1.4198686612928224E-2</v>
      </c>
    </row>
    <row r="682" spans="1:3" x14ac:dyDescent="0.25">
      <c r="A682" s="238">
        <v>37881</v>
      </c>
      <c r="B682" s="239">
        <v>1489.69</v>
      </c>
      <c r="C682" s="242">
        <f t="shared" si="10"/>
        <v>-3.223658121934534E-3</v>
      </c>
    </row>
    <row r="683" spans="1:3" x14ac:dyDescent="0.25">
      <c r="A683" s="238">
        <v>37882</v>
      </c>
      <c r="B683" s="239">
        <v>1509.47</v>
      </c>
      <c r="C683" s="242">
        <f t="shared" si="10"/>
        <v>1.3190551216835444E-2</v>
      </c>
    </row>
    <row r="684" spans="1:3" x14ac:dyDescent="0.25">
      <c r="A684" s="238">
        <v>37883</v>
      </c>
      <c r="B684" s="239">
        <v>1504.74</v>
      </c>
      <c r="C684" s="242">
        <f t="shared" si="10"/>
        <v>-3.1384700352919972E-3</v>
      </c>
    </row>
    <row r="685" spans="1:3" x14ac:dyDescent="0.25">
      <c r="A685" s="238">
        <v>37886</v>
      </c>
      <c r="B685" s="239">
        <v>1485.16</v>
      </c>
      <c r="C685" s="242">
        <f t="shared" si="10"/>
        <v>-1.3097615243036927E-2</v>
      </c>
    </row>
    <row r="686" spans="1:3" x14ac:dyDescent="0.25">
      <c r="A686" s="238">
        <v>37887</v>
      </c>
      <c r="B686" s="239">
        <v>1494.19</v>
      </c>
      <c r="C686" s="242">
        <f t="shared" si="10"/>
        <v>6.061743434235556E-3</v>
      </c>
    </row>
    <row r="687" spans="1:3" x14ac:dyDescent="0.25">
      <c r="A687" s="238">
        <v>37888</v>
      </c>
      <c r="B687" s="239">
        <v>1465.66</v>
      </c>
      <c r="C687" s="242">
        <f t="shared" si="10"/>
        <v>-1.9278601028278046E-2</v>
      </c>
    </row>
    <row r="688" spans="1:3" x14ac:dyDescent="0.25">
      <c r="A688" s="238">
        <v>37889</v>
      </c>
      <c r="B688" s="239">
        <v>1457.09</v>
      </c>
      <c r="C688" s="242">
        <f t="shared" si="10"/>
        <v>-5.8643568972130038E-3</v>
      </c>
    </row>
    <row r="689" spans="1:3" x14ac:dyDescent="0.25">
      <c r="A689" s="238">
        <v>37890</v>
      </c>
      <c r="B689" s="239">
        <v>1448.03</v>
      </c>
      <c r="C689" s="242">
        <f t="shared" si="10"/>
        <v>-6.2372840862230106E-3</v>
      </c>
    </row>
    <row r="690" spans="1:3" x14ac:dyDescent="0.25">
      <c r="A690" s="238">
        <v>37893</v>
      </c>
      <c r="B690" s="239">
        <v>1462.2</v>
      </c>
      <c r="C690" s="242">
        <f t="shared" si="10"/>
        <v>9.7381388961293534E-3</v>
      </c>
    </row>
    <row r="691" spans="1:3" x14ac:dyDescent="0.25">
      <c r="A691" s="238">
        <v>37894</v>
      </c>
      <c r="B691" s="239">
        <v>1446.77</v>
      </c>
      <c r="C691" s="242">
        <f t="shared" si="10"/>
        <v>-1.0608665412345052E-2</v>
      </c>
    </row>
    <row r="692" spans="1:3" x14ac:dyDescent="0.25">
      <c r="A692" s="238">
        <v>37895</v>
      </c>
      <c r="B692" s="239">
        <v>1479.23</v>
      </c>
      <c r="C692" s="242">
        <f t="shared" si="10"/>
        <v>2.2188196653482168E-2</v>
      </c>
    </row>
    <row r="693" spans="1:3" x14ac:dyDescent="0.25">
      <c r="A693" s="238">
        <v>37896</v>
      </c>
      <c r="B693" s="239">
        <v>1482.3600000000001</v>
      </c>
      <c r="C693" s="242">
        <f t="shared" si="10"/>
        <v>2.1137302363700909E-3</v>
      </c>
    </row>
    <row r="694" spans="1:3" x14ac:dyDescent="0.25">
      <c r="A694" s="238">
        <v>37897</v>
      </c>
      <c r="B694" s="239">
        <v>1496.32</v>
      </c>
      <c r="C694" s="242">
        <f t="shared" si="10"/>
        <v>9.3733480668713471E-3</v>
      </c>
    </row>
    <row r="695" spans="1:3" x14ac:dyDescent="0.25">
      <c r="A695" s="238">
        <v>37900</v>
      </c>
      <c r="B695" s="239">
        <v>1502.8600000000001</v>
      </c>
      <c r="C695" s="242">
        <f t="shared" si="10"/>
        <v>4.3611989716706243E-3</v>
      </c>
    </row>
    <row r="696" spans="1:3" x14ac:dyDescent="0.25">
      <c r="A696" s="238">
        <v>37901</v>
      </c>
      <c r="B696" s="239">
        <v>1510.05</v>
      </c>
      <c r="C696" s="242">
        <f t="shared" si="10"/>
        <v>4.7728034682771861E-3</v>
      </c>
    </row>
    <row r="697" spans="1:3" x14ac:dyDescent="0.25">
      <c r="A697" s="238">
        <v>37902</v>
      </c>
      <c r="B697" s="239">
        <v>1502.65</v>
      </c>
      <c r="C697" s="242">
        <f t="shared" si="10"/>
        <v>-4.9125468065736597E-3</v>
      </c>
    </row>
    <row r="698" spans="1:3" x14ac:dyDescent="0.25">
      <c r="A698" s="238">
        <v>37903</v>
      </c>
      <c r="B698" s="239">
        <v>1509.8600000000001</v>
      </c>
      <c r="C698" s="242">
        <f t="shared" si="10"/>
        <v>4.7867152418908454E-3</v>
      </c>
    </row>
    <row r="699" spans="1:3" x14ac:dyDescent="0.25">
      <c r="A699" s="238">
        <v>37904</v>
      </c>
      <c r="B699" s="239">
        <v>1509</v>
      </c>
      <c r="C699" s="242">
        <f t="shared" si="10"/>
        <v>-5.6975151101036072E-4</v>
      </c>
    </row>
    <row r="700" spans="1:3" x14ac:dyDescent="0.25">
      <c r="A700" s="238">
        <v>37907</v>
      </c>
      <c r="B700" s="239">
        <v>1519.6000000000001</v>
      </c>
      <c r="C700" s="242">
        <f t="shared" si="10"/>
        <v>6.9999625456217199E-3</v>
      </c>
    </row>
    <row r="701" spans="1:3" x14ac:dyDescent="0.25">
      <c r="A701" s="238">
        <v>37908</v>
      </c>
      <c r="B701" s="239">
        <v>1525.6000000000001</v>
      </c>
      <c r="C701" s="242">
        <f t="shared" si="10"/>
        <v>3.9406329727388221E-3</v>
      </c>
    </row>
    <row r="702" spans="1:3" x14ac:dyDescent="0.25">
      <c r="A702" s="238">
        <v>37909</v>
      </c>
      <c r="B702" s="239">
        <v>1521.95</v>
      </c>
      <c r="C702" s="242">
        <f t="shared" si="10"/>
        <v>-2.3953679153704615E-3</v>
      </c>
    </row>
    <row r="703" spans="1:3" x14ac:dyDescent="0.25">
      <c r="A703" s="238">
        <v>37910</v>
      </c>
      <c r="B703" s="239">
        <v>1526.8</v>
      </c>
      <c r="C703" s="242">
        <f t="shared" si="10"/>
        <v>3.1816345002355887E-3</v>
      </c>
    </row>
    <row r="704" spans="1:3" x14ac:dyDescent="0.25">
      <c r="A704" s="238">
        <v>37911</v>
      </c>
      <c r="B704" s="239">
        <v>1511.18</v>
      </c>
      <c r="C704" s="242">
        <f t="shared" si="10"/>
        <v>-1.0283239286968478E-2</v>
      </c>
    </row>
    <row r="705" spans="1:3" x14ac:dyDescent="0.25">
      <c r="A705" s="238">
        <v>37914</v>
      </c>
      <c r="B705" s="239">
        <v>1518.97</v>
      </c>
      <c r="C705" s="242">
        <f t="shared" si="10"/>
        <v>5.141670981218243E-3</v>
      </c>
    </row>
    <row r="706" spans="1:3" x14ac:dyDescent="0.25">
      <c r="A706" s="238">
        <v>37915</v>
      </c>
      <c r="B706" s="239">
        <v>1520.93</v>
      </c>
      <c r="C706" s="242">
        <f t="shared" si="10"/>
        <v>1.2895162811928451E-3</v>
      </c>
    </row>
    <row r="707" spans="1:3" x14ac:dyDescent="0.25">
      <c r="A707" s="238">
        <v>37916</v>
      </c>
      <c r="B707" s="239">
        <v>1498.28</v>
      </c>
      <c r="C707" s="242">
        <f t="shared" si="10"/>
        <v>-1.5004206348100093E-2</v>
      </c>
    </row>
    <row r="708" spans="1:3" x14ac:dyDescent="0.25">
      <c r="A708" s="238">
        <v>37917</v>
      </c>
      <c r="B708" s="239">
        <v>1503.26</v>
      </c>
      <c r="C708" s="242">
        <f t="shared" si="10"/>
        <v>3.3182996525856785E-3</v>
      </c>
    </row>
    <row r="709" spans="1:3" x14ac:dyDescent="0.25">
      <c r="A709" s="238">
        <v>37918</v>
      </c>
      <c r="B709" s="239">
        <v>1496.19</v>
      </c>
      <c r="C709" s="242">
        <f t="shared" ref="C709:C772" si="11">LN(B709/B708)</f>
        <v>-4.7142063334829057E-3</v>
      </c>
    </row>
    <row r="710" spans="1:3" x14ac:dyDescent="0.25">
      <c r="A710" s="238">
        <v>37921</v>
      </c>
      <c r="B710" s="239">
        <v>1499.43</v>
      </c>
      <c r="C710" s="242">
        <f t="shared" si="11"/>
        <v>2.1631590544857757E-3</v>
      </c>
    </row>
    <row r="711" spans="1:3" x14ac:dyDescent="0.25">
      <c r="A711" s="238">
        <v>37922</v>
      </c>
      <c r="B711" s="239">
        <v>1522.21</v>
      </c>
      <c r="C711" s="242">
        <f t="shared" si="11"/>
        <v>1.5078190378676944E-2</v>
      </c>
    </row>
    <row r="712" spans="1:3" x14ac:dyDescent="0.25">
      <c r="A712" s="238">
        <v>37923</v>
      </c>
      <c r="B712" s="239">
        <v>1524.41</v>
      </c>
      <c r="C712" s="242">
        <f t="shared" si="11"/>
        <v>1.4442236855225737E-3</v>
      </c>
    </row>
    <row r="713" spans="1:3" x14ac:dyDescent="0.25">
      <c r="A713" s="238">
        <v>37924</v>
      </c>
      <c r="B713" s="239">
        <v>1523.1200000000001</v>
      </c>
      <c r="C713" s="242">
        <f t="shared" si="11"/>
        <v>-8.465872867838858E-4</v>
      </c>
    </row>
    <row r="714" spans="1:3" x14ac:dyDescent="0.25">
      <c r="A714" s="238">
        <v>37925</v>
      </c>
      <c r="B714" s="239">
        <v>1528.6200000000001</v>
      </c>
      <c r="C714" s="242">
        <f t="shared" si="11"/>
        <v>3.6045049413609073E-3</v>
      </c>
    </row>
    <row r="715" spans="1:3" x14ac:dyDescent="0.25">
      <c r="A715" s="238">
        <v>37928</v>
      </c>
      <c r="B715" s="239">
        <v>1540.71</v>
      </c>
      <c r="C715" s="242">
        <f t="shared" si="11"/>
        <v>7.8779815321243646E-3</v>
      </c>
    </row>
    <row r="716" spans="1:3" x14ac:dyDescent="0.25">
      <c r="A716" s="238">
        <v>37929</v>
      </c>
      <c r="B716" s="239">
        <v>1532.3400000000001</v>
      </c>
      <c r="C716" s="242">
        <f t="shared" si="11"/>
        <v>-5.4473703307759682E-3</v>
      </c>
    </row>
    <row r="717" spans="1:3" x14ac:dyDescent="0.25">
      <c r="A717" s="238">
        <v>37930</v>
      </c>
      <c r="B717" s="239">
        <v>1530.54</v>
      </c>
      <c r="C717" s="242">
        <f t="shared" si="11"/>
        <v>-1.175364498264646E-3</v>
      </c>
    </row>
    <row r="718" spans="1:3" x14ac:dyDescent="0.25">
      <c r="A718" s="238">
        <v>37931</v>
      </c>
      <c r="B718" s="239">
        <v>1539.75</v>
      </c>
      <c r="C718" s="242">
        <f t="shared" si="11"/>
        <v>5.9994512732868674E-3</v>
      </c>
    </row>
    <row r="719" spans="1:3" x14ac:dyDescent="0.25">
      <c r="A719" s="238">
        <v>37932</v>
      </c>
      <c r="B719" s="239">
        <v>1533.02</v>
      </c>
      <c r="C719" s="242">
        <f t="shared" si="11"/>
        <v>-4.3804194660248021E-3</v>
      </c>
    </row>
    <row r="720" spans="1:3" x14ac:dyDescent="0.25">
      <c r="A720" s="238">
        <v>37935</v>
      </c>
      <c r="B720" s="239">
        <v>1524.26</v>
      </c>
      <c r="C720" s="242">
        <f t="shared" si="11"/>
        <v>-5.7305997311475586E-3</v>
      </c>
    </row>
    <row r="721" spans="1:3" x14ac:dyDescent="0.25">
      <c r="A721" s="238">
        <v>37936</v>
      </c>
      <c r="B721" s="239">
        <v>1523.47</v>
      </c>
      <c r="C721" s="242">
        <f t="shared" si="11"/>
        <v>-5.184186379325851E-4</v>
      </c>
    </row>
    <row r="722" spans="1:3" x14ac:dyDescent="0.25">
      <c r="A722" s="238">
        <v>37937</v>
      </c>
      <c r="B722" s="239">
        <v>1541.49</v>
      </c>
      <c r="C722" s="242">
        <f t="shared" si="11"/>
        <v>1.1758853385311409E-2</v>
      </c>
    </row>
    <row r="723" spans="1:3" x14ac:dyDescent="0.25">
      <c r="A723" s="238">
        <v>37938</v>
      </c>
      <c r="B723" s="239">
        <v>1541.3</v>
      </c>
      <c r="C723" s="242">
        <f t="shared" si="11"/>
        <v>-1.232649646849481E-4</v>
      </c>
    </row>
    <row r="724" spans="1:3" x14ac:dyDescent="0.25">
      <c r="A724" s="238">
        <v>37939</v>
      </c>
      <c r="B724" s="239">
        <v>1529.83</v>
      </c>
      <c r="C724" s="242">
        <f t="shared" si="11"/>
        <v>-7.4695980506008378E-3</v>
      </c>
    </row>
    <row r="725" spans="1:3" x14ac:dyDescent="0.25">
      <c r="A725" s="238">
        <v>37942</v>
      </c>
      <c r="B725" s="239">
        <v>1520.07</v>
      </c>
      <c r="C725" s="242">
        <f t="shared" si="11"/>
        <v>-6.400231690562151E-3</v>
      </c>
    </row>
    <row r="726" spans="1:3" x14ac:dyDescent="0.25">
      <c r="A726" s="238">
        <v>37943</v>
      </c>
      <c r="B726" s="239">
        <v>1506.32</v>
      </c>
      <c r="C726" s="242">
        <f t="shared" si="11"/>
        <v>-9.0867962233380818E-3</v>
      </c>
    </row>
    <row r="727" spans="1:3" x14ac:dyDescent="0.25">
      <c r="A727" s="238">
        <v>37944</v>
      </c>
      <c r="B727" s="239">
        <v>1518.51</v>
      </c>
      <c r="C727" s="242">
        <f t="shared" si="11"/>
        <v>8.0600007221104664E-3</v>
      </c>
    </row>
    <row r="728" spans="1:3" x14ac:dyDescent="0.25">
      <c r="A728" s="238">
        <v>37945</v>
      </c>
      <c r="B728" s="239">
        <v>1505.76</v>
      </c>
      <c r="C728" s="242">
        <f t="shared" si="11"/>
        <v>-8.4318367998057909E-3</v>
      </c>
    </row>
    <row r="729" spans="1:3" x14ac:dyDescent="0.25">
      <c r="A729" s="238">
        <v>37946</v>
      </c>
      <c r="B729" s="239">
        <v>1508.21</v>
      </c>
      <c r="C729" s="242">
        <f t="shared" si="11"/>
        <v>1.6257630564565219E-3</v>
      </c>
    </row>
    <row r="730" spans="1:3" x14ac:dyDescent="0.25">
      <c r="A730" s="238">
        <v>37949</v>
      </c>
      <c r="B730" s="239">
        <v>1532.68</v>
      </c>
      <c r="C730" s="242">
        <f t="shared" si="11"/>
        <v>1.609431988477994E-2</v>
      </c>
    </row>
    <row r="731" spans="1:3" x14ac:dyDescent="0.25">
      <c r="A731" s="238">
        <v>37950</v>
      </c>
      <c r="B731" s="239">
        <v>1535.49</v>
      </c>
      <c r="C731" s="242">
        <f t="shared" si="11"/>
        <v>1.8317112713232299E-3</v>
      </c>
    </row>
    <row r="732" spans="1:3" x14ac:dyDescent="0.25">
      <c r="A732" s="238">
        <v>37951</v>
      </c>
      <c r="B732" s="239">
        <v>1542.39</v>
      </c>
      <c r="C732" s="242">
        <f t="shared" si="11"/>
        <v>4.4836131097369843E-3</v>
      </c>
    </row>
    <row r="733" spans="1:3" x14ac:dyDescent="0.25">
      <c r="A733" s="238">
        <v>37953</v>
      </c>
      <c r="B733" s="239">
        <v>1542.07</v>
      </c>
      <c r="C733" s="242">
        <f t="shared" si="11"/>
        <v>-2.0749174970550516E-4</v>
      </c>
    </row>
    <row r="734" spans="1:3" x14ac:dyDescent="0.25">
      <c r="A734" s="238">
        <v>37956</v>
      </c>
      <c r="B734" s="239">
        <v>1559.5</v>
      </c>
      <c r="C734" s="242">
        <f t="shared" si="11"/>
        <v>1.1239587364789071E-2</v>
      </c>
    </row>
    <row r="735" spans="1:3" x14ac:dyDescent="0.25">
      <c r="A735" s="238">
        <v>37957</v>
      </c>
      <c r="B735" s="239">
        <v>1554.41</v>
      </c>
      <c r="C735" s="242">
        <f t="shared" si="11"/>
        <v>-3.2692046548325388E-3</v>
      </c>
    </row>
    <row r="736" spans="1:3" x14ac:dyDescent="0.25">
      <c r="A736" s="238">
        <v>37958</v>
      </c>
      <c r="B736" s="239">
        <v>1552.0900000000001</v>
      </c>
      <c r="C736" s="242">
        <f t="shared" si="11"/>
        <v>-1.4936426404767048E-3</v>
      </c>
    </row>
    <row r="737" spans="1:3" x14ac:dyDescent="0.25">
      <c r="A737" s="238">
        <v>37959</v>
      </c>
      <c r="B737" s="239">
        <v>1559.47</v>
      </c>
      <c r="C737" s="242">
        <f t="shared" si="11"/>
        <v>4.7436101753620744E-3</v>
      </c>
    </row>
    <row r="738" spans="1:3" x14ac:dyDescent="0.25">
      <c r="A738" s="238">
        <v>37960</v>
      </c>
      <c r="B738" s="239">
        <v>1547.51</v>
      </c>
      <c r="C738" s="242">
        <f t="shared" si="11"/>
        <v>-7.698832354497271E-3</v>
      </c>
    </row>
    <row r="739" spans="1:3" x14ac:dyDescent="0.25">
      <c r="A739" s="238">
        <v>37963</v>
      </c>
      <c r="B739" s="239">
        <v>1558.96</v>
      </c>
      <c r="C739" s="242">
        <f t="shared" si="11"/>
        <v>7.3717446824655818E-3</v>
      </c>
    </row>
    <row r="740" spans="1:3" x14ac:dyDescent="0.25">
      <c r="A740" s="238">
        <v>37964</v>
      </c>
      <c r="B740" s="239">
        <v>1545.68</v>
      </c>
      <c r="C740" s="242">
        <f t="shared" si="11"/>
        <v>-8.5549893027509188E-3</v>
      </c>
    </row>
    <row r="741" spans="1:3" x14ac:dyDescent="0.25">
      <c r="A741" s="238">
        <v>37965</v>
      </c>
      <c r="B741" s="239">
        <v>1544.31</v>
      </c>
      <c r="C741" s="242">
        <f t="shared" si="11"/>
        <v>-8.8673431937910619E-4</v>
      </c>
    </row>
    <row r="742" spans="1:3" x14ac:dyDescent="0.25">
      <c r="A742" s="238">
        <v>37966</v>
      </c>
      <c r="B742" s="239">
        <v>1562.23</v>
      </c>
      <c r="C742" s="242">
        <f t="shared" si="11"/>
        <v>1.1537079045167325E-2</v>
      </c>
    </row>
    <row r="743" spans="1:3" x14ac:dyDescent="0.25">
      <c r="A743" s="238">
        <v>37967</v>
      </c>
      <c r="B743" s="239">
        <v>1566.5</v>
      </c>
      <c r="C743" s="242">
        <f t="shared" si="11"/>
        <v>2.7295437133300158E-3</v>
      </c>
    </row>
    <row r="744" spans="1:3" x14ac:dyDescent="0.25">
      <c r="A744" s="238">
        <v>37970</v>
      </c>
      <c r="B744" s="239">
        <v>1557.66</v>
      </c>
      <c r="C744" s="242">
        <f t="shared" si="11"/>
        <v>-5.6591362749307504E-3</v>
      </c>
    </row>
    <row r="745" spans="1:3" x14ac:dyDescent="0.25">
      <c r="A745" s="238">
        <v>37971</v>
      </c>
      <c r="B745" s="239">
        <v>1568.02</v>
      </c>
      <c r="C745" s="242">
        <f t="shared" si="11"/>
        <v>6.6289818137326212E-3</v>
      </c>
    </row>
    <row r="746" spans="1:3" x14ac:dyDescent="0.25">
      <c r="A746" s="238">
        <v>37972</v>
      </c>
      <c r="B746" s="239">
        <v>1570.15</v>
      </c>
      <c r="C746" s="242">
        <f t="shared" si="11"/>
        <v>1.3574792487904338E-3</v>
      </c>
    </row>
    <row r="747" spans="1:3" x14ac:dyDescent="0.25">
      <c r="A747" s="238">
        <v>37973</v>
      </c>
      <c r="B747" s="239">
        <v>1588.9</v>
      </c>
      <c r="C747" s="242">
        <f t="shared" si="11"/>
        <v>1.1870796714482684E-2</v>
      </c>
    </row>
    <row r="748" spans="1:3" x14ac:dyDescent="0.25">
      <c r="A748" s="238">
        <v>37974</v>
      </c>
      <c r="B748" s="239">
        <v>1588.19</v>
      </c>
      <c r="C748" s="242">
        <f t="shared" si="11"/>
        <v>-4.4694988925047098E-4</v>
      </c>
    </row>
    <row r="749" spans="1:3" x14ac:dyDescent="0.25">
      <c r="A749" s="238">
        <v>37977</v>
      </c>
      <c r="B749" s="239">
        <v>1594.43</v>
      </c>
      <c r="C749" s="242">
        <f t="shared" si="11"/>
        <v>3.9213025719923968E-3</v>
      </c>
    </row>
    <row r="750" spans="1:3" x14ac:dyDescent="0.25">
      <c r="A750" s="238">
        <v>37978</v>
      </c>
      <c r="B750" s="239">
        <v>1598.93</v>
      </c>
      <c r="C750" s="242">
        <f t="shared" si="11"/>
        <v>2.8183499377839607E-3</v>
      </c>
    </row>
    <row r="751" spans="1:3" x14ac:dyDescent="0.25">
      <c r="A751" s="238">
        <v>37979</v>
      </c>
      <c r="B751" s="239">
        <v>1596.05</v>
      </c>
      <c r="C751" s="242">
        <f t="shared" si="11"/>
        <v>-1.8028286750126166E-3</v>
      </c>
    </row>
    <row r="752" spans="1:3" x14ac:dyDescent="0.25">
      <c r="A752" s="238">
        <v>37981</v>
      </c>
      <c r="B752" s="239">
        <v>1598.74</v>
      </c>
      <c r="C752" s="242">
        <f t="shared" si="11"/>
        <v>1.6839921470260262E-3</v>
      </c>
    </row>
    <row r="753" spans="1:3" x14ac:dyDescent="0.25">
      <c r="A753" s="238">
        <v>37984</v>
      </c>
      <c r="B753" s="239">
        <v>1619.16</v>
      </c>
      <c r="C753" s="242">
        <f t="shared" si="11"/>
        <v>1.2691677243835974E-2</v>
      </c>
    </row>
    <row r="754" spans="1:3" x14ac:dyDescent="0.25">
      <c r="A754" s="238">
        <v>37985</v>
      </c>
      <c r="B754" s="239">
        <v>1619.5900000000001</v>
      </c>
      <c r="C754" s="242">
        <f t="shared" si="11"/>
        <v>2.6553454420791804E-4</v>
      </c>
    </row>
    <row r="755" spans="1:3" x14ac:dyDescent="0.25">
      <c r="A755" s="238">
        <v>37986</v>
      </c>
      <c r="B755" s="239">
        <v>1622.94</v>
      </c>
      <c r="C755" s="242">
        <f t="shared" si="11"/>
        <v>2.0662884796226045E-3</v>
      </c>
    </row>
    <row r="756" spans="1:3" x14ac:dyDescent="0.25">
      <c r="A756" s="238">
        <v>37988</v>
      </c>
      <c r="B756" s="239">
        <v>1618.05</v>
      </c>
      <c r="C756" s="242">
        <f t="shared" si="11"/>
        <v>-3.0175987649790534E-3</v>
      </c>
    </row>
    <row r="757" spans="1:3" x14ac:dyDescent="0.25">
      <c r="A757" s="238">
        <v>37991</v>
      </c>
      <c r="B757" s="239">
        <v>1638.1000000000001</v>
      </c>
      <c r="C757" s="242">
        <f t="shared" si="11"/>
        <v>1.2315313121037978E-2</v>
      </c>
    </row>
    <row r="758" spans="1:3" x14ac:dyDescent="0.25">
      <c r="A758" s="238">
        <v>37992</v>
      </c>
      <c r="B758" s="239">
        <v>1640.3</v>
      </c>
      <c r="C758" s="242">
        <f t="shared" si="11"/>
        <v>1.3421183078543761E-3</v>
      </c>
    </row>
    <row r="759" spans="1:3" x14ac:dyDescent="0.25">
      <c r="A759" s="238">
        <v>37993</v>
      </c>
      <c r="B759" s="239">
        <v>1644.6000000000001</v>
      </c>
      <c r="C759" s="242">
        <f t="shared" si="11"/>
        <v>2.6180416183550887E-3</v>
      </c>
    </row>
    <row r="760" spans="1:3" x14ac:dyDescent="0.25">
      <c r="A760" s="238">
        <v>37994</v>
      </c>
      <c r="B760" s="239">
        <v>1652.83</v>
      </c>
      <c r="C760" s="242">
        <f t="shared" si="11"/>
        <v>4.9917766803081447E-3</v>
      </c>
    </row>
    <row r="761" spans="1:3" x14ac:dyDescent="0.25">
      <c r="A761" s="238">
        <v>37995</v>
      </c>
      <c r="B761" s="239">
        <v>1638.13</v>
      </c>
      <c r="C761" s="242">
        <f t="shared" si="11"/>
        <v>-8.9336228739646667E-3</v>
      </c>
    </row>
    <row r="762" spans="1:3" x14ac:dyDescent="0.25">
      <c r="A762" s="238">
        <v>37998</v>
      </c>
      <c r="B762" s="239">
        <v>1646.03</v>
      </c>
      <c r="C762" s="242">
        <f t="shared" si="11"/>
        <v>4.8109807302149782E-3</v>
      </c>
    </row>
    <row r="763" spans="1:3" x14ac:dyDescent="0.25">
      <c r="A763" s="238">
        <v>37999</v>
      </c>
      <c r="B763" s="239">
        <v>1637.33</v>
      </c>
      <c r="C763" s="242">
        <f t="shared" si="11"/>
        <v>-5.2994617471761865E-3</v>
      </c>
    </row>
    <row r="764" spans="1:3" x14ac:dyDescent="0.25">
      <c r="A764" s="238">
        <v>38000</v>
      </c>
      <c r="B764" s="239">
        <v>1650.96</v>
      </c>
      <c r="C764" s="242">
        <f t="shared" si="11"/>
        <v>8.2900705596908597E-3</v>
      </c>
    </row>
    <row r="765" spans="1:3" x14ac:dyDescent="0.25">
      <c r="A765" s="238">
        <v>38001</v>
      </c>
      <c r="B765" s="239">
        <v>1653.2</v>
      </c>
      <c r="C765" s="242">
        <f t="shared" si="11"/>
        <v>1.3558667517088935E-3</v>
      </c>
    </row>
    <row r="766" spans="1:3" x14ac:dyDescent="0.25">
      <c r="A766" s="238">
        <v>38002</v>
      </c>
      <c r="B766" s="239">
        <v>1664.57</v>
      </c>
      <c r="C766" s="242">
        <f t="shared" si="11"/>
        <v>6.8540281643018905E-3</v>
      </c>
    </row>
    <row r="767" spans="1:3" x14ac:dyDescent="0.25">
      <c r="A767" s="238">
        <v>38006</v>
      </c>
      <c r="B767" s="239">
        <v>1663.02</v>
      </c>
      <c r="C767" s="242">
        <f t="shared" si="11"/>
        <v>-9.3160522306061681E-4</v>
      </c>
    </row>
    <row r="768" spans="1:3" x14ac:dyDescent="0.25">
      <c r="A768" s="238">
        <v>38007</v>
      </c>
      <c r="B768" s="239">
        <v>1676.07</v>
      </c>
      <c r="C768" s="242">
        <f t="shared" si="11"/>
        <v>7.8165407008153765E-3</v>
      </c>
    </row>
    <row r="769" spans="1:3" x14ac:dyDescent="0.25">
      <c r="A769" s="238">
        <v>38008</v>
      </c>
      <c r="B769" s="239">
        <v>1670.73</v>
      </c>
      <c r="C769" s="242">
        <f t="shared" si="11"/>
        <v>-3.1911106319573576E-3</v>
      </c>
    </row>
    <row r="770" spans="1:3" x14ac:dyDescent="0.25">
      <c r="A770" s="238">
        <v>38009</v>
      </c>
      <c r="B770" s="239">
        <v>1667.26</v>
      </c>
      <c r="C770" s="242">
        <f t="shared" si="11"/>
        <v>-2.0790962525134037E-3</v>
      </c>
    </row>
    <row r="771" spans="1:3" x14ac:dyDescent="0.25">
      <c r="A771" s="238">
        <v>38012</v>
      </c>
      <c r="B771" s="239">
        <v>1687.44</v>
      </c>
      <c r="C771" s="242">
        <f t="shared" si="11"/>
        <v>1.2031027163852664E-2</v>
      </c>
    </row>
    <row r="772" spans="1:3" x14ac:dyDescent="0.25">
      <c r="A772" s="238">
        <v>38013</v>
      </c>
      <c r="B772" s="239">
        <v>1670.9</v>
      </c>
      <c r="C772" s="242">
        <f t="shared" si="11"/>
        <v>-9.8501841589178126E-3</v>
      </c>
    </row>
    <row r="773" spans="1:3" x14ac:dyDescent="0.25">
      <c r="A773" s="238">
        <v>38014</v>
      </c>
      <c r="B773" s="239">
        <v>1648.43</v>
      </c>
      <c r="C773" s="242">
        <f t="shared" ref="C773:C836" si="12">LN(B773/B772)</f>
        <v>-1.3539083634894726E-2</v>
      </c>
    </row>
    <row r="774" spans="1:3" x14ac:dyDescent="0.25">
      <c r="A774" s="238">
        <v>38015</v>
      </c>
      <c r="B774" s="239">
        <v>1657.0900000000001</v>
      </c>
      <c r="C774" s="242">
        <f t="shared" si="12"/>
        <v>5.2397322135097329E-3</v>
      </c>
    </row>
    <row r="775" spans="1:3" x14ac:dyDescent="0.25">
      <c r="A775" s="238">
        <v>38016</v>
      </c>
      <c r="B775" s="239">
        <v>1652.72</v>
      </c>
      <c r="C775" s="242">
        <f t="shared" si="12"/>
        <v>-2.640636495339467E-3</v>
      </c>
    </row>
    <row r="776" spans="1:3" x14ac:dyDescent="0.25">
      <c r="A776" s="238">
        <v>38019</v>
      </c>
      <c r="B776" s="239">
        <v>1658.79</v>
      </c>
      <c r="C776" s="242">
        <f t="shared" si="12"/>
        <v>3.6660054163773432E-3</v>
      </c>
    </row>
    <row r="777" spans="1:3" x14ac:dyDescent="0.25">
      <c r="A777" s="238">
        <v>38020</v>
      </c>
      <c r="B777" s="239">
        <v>1659.92</v>
      </c>
      <c r="C777" s="242">
        <f t="shared" si="12"/>
        <v>6.8098751844499665E-4</v>
      </c>
    </row>
    <row r="778" spans="1:3" x14ac:dyDescent="0.25">
      <c r="A778" s="238">
        <v>38021</v>
      </c>
      <c r="B778" s="239">
        <v>1646.29</v>
      </c>
      <c r="C778" s="242">
        <f t="shared" si="12"/>
        <v>-8.2451370097224117E-3</v>
      </c>
    </row>
    <row r="779" spans="1:3" x14ac:dyDescent="0.25">
      <c r="A779" s="238">
        <v>38022</v>
      </c>
      <c r="B779" s="239">
        <v>1649.3500000000001</v>
      </c>
      <c r="C779" s="242">
        <f t="shared" si="12"/>
        <v>1.8569994777064244E-3</v>
      </c>
    </row>
    <row r="780" spans="1:3" x14ac:dyDescent="0.25">
      <c r="A780" s="238">
        <v>38023</v>
      </c>
      <c r="B780" s="239">
        <v>1670.14</v>
      </c>
      <c r="C780" s="242">
        <f t="shared" si="12"/>
        <v>1.2526184346216586E-2</v>
      </c>
    </row>
    <row r="781" spans="1:3" x14ac:dyDescent="0.25">
      <c r="A781" s="238">
        <v>38026</v>
      </c>
      <c r="B781" s="239">
        <v>1666.16</v>
      </c>
      <c r="C781" s="242">
        <f t="shared" si="12"/>
        <v>-2.38587770163548E-3</v>
      </c>
    </row>
    <row r="782" spans="1:3" x14ac:dyDescent="0.25">
      <c r="A782" s="238">
        <v>38027</v>
      </c>
      <c r="B782" s="239">
        <v>1674.55</v>
      </c>
      <c r="C782" s="242">
        <f t="shared" si="12"/>
        <v>5.0228949173074348E-3</v>
      </c>
    </row>
    <row r="783" spans="1:3" x14ac:dyDescent="0.25">
      <c r="A783" s="238">
        <v>38028</v>
      </c>
      <c r="B783" s="239">
        <v>1693.03</v>
      </c>
      <c r="C783" s="242">
        <f t="shared" si="12"/>
        <v>1.0975350551695785E-2</v>
      </c>
    </row>
    <row r="784" spans="1:3" x14ac:dyDescent="0.25">
      <c r="A784" s="238">
        <v>38029</v>
      </c>
      <c r="B784" s="239">
        <v>1684.92</v>
      </c>
      <c r="C784" s="242">
        <f t="shared" si="12"/>
        <v>-4.8017380852130292E-3</v>
      </c>
    </row>
    <row r="785" spans="1:3" x14ac:dyDescent="0.25">
      <c r="A785" s="238">
        <v>38030</v>
      </c>
      <c r="B785" s="239">
        <v>1675.8600000000001</v>
      </c>
      <c r="C785" s="242">
        <f t="shared" si="12"/>
        <v>-5.3916185811033459E-3</v>
      </c>
    </row>
    <row r="786" spans="1:3" x14ac:dyDescent="0.25">
      <c r="A786" s="238">
        <v>38034</v>
      </c>
      <c r="B786" s="239">
        <v>1692.22</v>
      </c>
      <c r="C786" s="242">
        <f t="shared" si="12"/>
        <v>9.7148100210417334E-3</v>
      </c>
    </row>
    <row r="787" spans="1:3" x14ac:dyDescent="0.25">
      <c r="A787" s="238">
        <v>38035</v>
      </c>
      <c r="B787" s="239">
        <v>1684.89</v>
      </c>
      <c r="C787" s="242">
        <f t="shared" si="12"/>
        <v>-4.3409965980932153E-3</v>
      </c>
    </row>
    <row r="788" spans="1:3" x14ac:dyDescent="0.25">
      <c r="A788" s="238">
        <v>38036</v>
      </c>
      <c r="B788" s="239">
        <v>1678.01</v>
      </c>
      <c r="C788" s="242">
        <f t="shared" si="12"/>
        <v>-4.0917122714363941E-3</v>
      </c>
    </row>
    <row r="789" spans="1:3" x14ac:dyDescent="0.25">
      <c r="A789" s="238">
        <v>38037</v>
      </c>
      <c r="B789" s="239">
        <v>1673.71</v>
      </c>
      <c r="C789" s="242">
        <f t="shared" si="12"/>
        <v>-2.5658481968152428E-3</v>
      </c>
    </row>
    <row r="790" spans="1:3" x14ac:dyDescent="0.25">
      <c r="A790" s="238">
        <v>38040</v>
      </c>
      <c r="B790" s="239">
        <v>1669.2</v>
      </c>
      <c r="C790" s="242">
        <f t="shared" si="12"/>
        <v>-2.6982495707472513E-3</v>
      </c>
    </row>
    <row r="791" spans="1:3" x14ac:dyDescent="0.25">
      <c r="A791" s="238">
        <v>38041</v>
      </c>
      <c r="B791" s="239">
        <v>1666.42</v>
      </c>
      <c r="C791" s="242">
        <f t="shared" si="12"/>
        <v>-1.6668569223505147E-3</v>
      </c>
    </row>
    <row r="792" spans="1:3" x14ac:dyDescent="0.25">
      <c r="A792" s="238">
        <v>38042</v>
      </c>
      <c r="B792" s="239">
        <v>1673.3400000000001</v>
      </c>
      <c r="C792" s="242">
        <f t="shared" si="12"/>
        <v>4.1440162784267733E-3</v>
      </c>
    </row>
    <row r="793" spans="1:3" x14ac:dyDescent="0.25">
      <c r="A793" s="238">
        <v>38043</v>
      </c>
      <c r="B793" s="239">
        <v>1675.63</v>
      </c>
      <c r="C793" s="242">
        <f t="shared" si="12"/>
        <v>1.367584873506335E-3</v>
      </c>
    </row>
    <row r="794" spans="1:3" x14ac:dyDescent="0.25">
      <c r="A794" s="238">
        <v>38044</v>
      </c>
      <c r="B794" s="239">
        <v>1675.7</v>
      </c>
      <c r="C794" s="242">
        <f t="shared" si="12"/>
        <v>4.1774459698124751E-5</v>
      </c>
    </row>
    <row r="795" spans="1:3" x14ac:dyDescent="0.25">
      <c r="A795" s="238">
        <v>38047</v>
      </c>
      <c r="B795" s="239">
        <v>1691.9</v>
      </c>
      <c r="C795" s="242">
        <f t="shared" si="12"/>
        <v>9.6211693580721264E-3</v>
      </c>
    </row>
    <row r="796" spans="1:3" x14ac:dyDescent="0.25">
      <c r="A796" s="238">
        <v>38048</v>
      </c>
      <c r="B796" s="239">
        <v>1681.88</v>
      </c>
      <c r="C796" s="242">
        <f t="shared" si="12"/>
        <v>-5.9399424154612046E-3</v>
      </c>
    </row>
    <row r="797" spans="1:3" x14ac:dyDescent="0.25">
      <c r="A797" s="238">
        <v>38049</v>
      </c>
      <c r="B797" s="239">
        <v>1685.17</v>
      </c>
      <c r="C797" s="242">
        <f t="shared" si="12"/>
        <v>1.9542335558130602E-3</v>
      </c>
    </row>
    <row r="798" spans="1:3" x14ac:dyDescent="0.25">
      <c r="A798" s="238">
        <v>38050</v>
      </c>
      <c r="B798" s="239">
        <v>1690.83</v>
      </c>
      <c r="C798" s="242">
        <f t="shared" si="12"/>
        <v>3.3530837103243395E-3</v>
      </c>
    </row>
    <row r="799" spans="1:3" x14ac:dyDescent="0.25">
      <c r="A799" s="238">
        <v>38051</v>
      </c>
      <c r="B799" s="239">
        <v>1693.76</v>
      </c>
      <c r="C799" s="242">
        <f t="shared" si="12"/>
        <v>1.7313770541958974E-3</v>
      </c>
    </row>
    <row r="800" spans="1:3" x14ac:dyDescent="0.25">
      <c r="A800" s="238">
        <v>38054</v>
      </c>
      <c r="B800" s="239">
        <v>1679.74</v>
      </c>
      <c r="C800" s="242">
        <f t="shared" si="12"/>
        <v>-8.3118901539393445E-3</v>
      </c>
    </row>
    <row r="801" spans="1:3" x14ac:dyDescent="0.25">
      <c r="A801" s="238">
        <v>38055</v>
      </c>
      <c r="B801" s="239">
        <v>1670.07</v>
      </c>
      <c r="C801" s="242">
        <f t="shared" si="12"/>
        <v>-5.7734778156760371E-3</v>
      </c>
    </row>
    <row r="802" spans="1:3" x14ac:dyDescent="0.25">
      <c r="A802" s="238">
        <v>38056</v>
      </c>
      <c r="B802" s="239">
        <v>1645.79</v>
      </c>
      <c r="C802" s="242">
        <f t="shared" si="12"/>
        <v>-1.4645029619281028E-2</v>
      </c>
    </row>
    <row r="803" spans="1:3" x14ac:dyDescent="0.25">
      <c r="A803" s="238">
        <v>38057</v>
      </c>
      <c r="B803" s="239">
        <v>1621.21</v>
      </c>
      <c r="C803" s="242">
        <f t="shared" si="12"/>
        <v>-1.5047728075179543E-2</v>
      </c>
    </row>
    <row r="804" spans="1:3" x14ac:dyDescent="0.25">
      <c r="A804" s="238">
        <v>38058</v>
      </c>
      <c r="B804" s="239">
        <v>1641.42</v>
      </c>
      <c r="C804" s="242">
        <f t="shared" si="12"/>
        <v>1.2388936836192199E-2</v>
      </c>
    </row>
    <row r="805" spans="1:3" x14ac:dyDescent="0.25">
      <c r="A805" s="238">
        <v>38061</v>
      </c>
      <c r="B805" s="239">
        <v>1617.91</v>
      </c>
      <c r="C805" s="242">
        <f t="shared" si="12"/>
        <v>-1.4426527997827881E-2</v>
      </c>
    </row>
    <row r="806" spans="1:3" x14ac:dyDescent="0.25">
      <c r="A806" s="238">
        <v>38062</v>
      </c>
      <c r="B806" s="239">
        <v>1627.03</v>
      </c>
      <c r="C806" s="242">
        <f t="shared" si="12"/>
        <v>5.6210740496324494E-3</v>
      </c>
    </row>
    <row r="807" spans="1:3" x14ac:dyDescent="0.25">
      <c r="A807" s="238">
        <v>38063</v>
      </c>
      <c r="B807" s="239">
        <v>1646.29</v>
      </c>
      <c r="C807" s="242">
        <f t="shared" si="12"/>
        <v>1.1768004514929835E-2</v>
      </c>
    </row>
    <row r="808" spans="1:3" x14ac:dyDescent="0.25">
      <c r="A808" s="238">
        <v>38064</v>
      </c>
      <c r="B808" s="239">
        <v>1644.21</v>
      </c>
      <c r="C808" s="242">
        <f t="shared" si="12"/>
        <v>-1.2642457237755074E-3</v>
      </c>
    </row>
    <row r="809" spans="1:3" x14ac:dyDescent="0.25">
      <c r="A809" s="238">
        <v>38065</v>
      </c>
      <c r="B809" s="239">
        <v>1625.8400000000001</v>
      </c>
      <c r="C809" s="242">
        <f t="shared" si="12"/>
        <v>-1.1235420402646095E-2</v>
      </c>
    </row>
    <row r="810" spans="1:3" x14ac:dyDescent="0.25">
      <c r="A810" s="238">
        <v>38068</v>
      </c>
      <c r="B810" s="239">
        <v>1604.8</v>
      </c>
      <c r="C810" s="242">
        <f t="shared" si="12"/>
        <v>-1.3025467074380615E-2</v>
      </c>
    </row>
    <row r="811" spans="1:3" x14ac:dyDescent="0.25">
      <c r="A811" s="238">
        <v>38069</v>
      </c>
      <c r="B811" s="239">
        <v>1602.67</v>
      </c>
      <c r="C811" s="242">
        <f t="shared" si="12"/>
        <v>-1.328149796011644E-3</v>
      </c>
    </row>
    <row r="812" spans="1:3" x14ac:dyDescent="0.25">
      <c r="A812" s="238">
        <v>38070</v>
      </c>
      <c r="B812" s="239">
        <v>1598.8500000000001</v>
      </c>
      <c r="C812" s="242">
        <f t="shared" si="12"/>
        <v>-2.3863676084039114E-3</v>
      </c>
    </row>
    <row r="813" spans="1:3" x14ac:dyDescent="0.25">
      <c r="A813" s="238">
        <v>38071</v>
      </c>
      <c r="B813" s="239">
        <v>1625.01</v>
      </c>
      <c r="C813" s="242">
        <f t="shared" si="12"/>
        <v>1.6229348787801384E-2</v>
      </c>
    </row>
    <row r="814" spans="1:3" x14ac:dyDescent="0.25">
      <c r="A814" s="238">
        <v>38072</v>
      </c>
      <c r="B814" s="239">
        <v>1623.3600000000001</v>
      </c>
      <c r="C814" s="242">
        <f t="shared" si="12"/>
        <v>-1.015894212731588E-3</v>
      </c>
    </row>
    <row r="815" spans="1:3" x14ac:dyDescent="0.25">
      <c r="A815" s="238">
        <v>38075</v>
      </c>
      <c r="B815" s="239">
        <v>1644.75</v>
      </c>
      <c r="C815" s="242">
        <f t="shared" si="12"/>
        <v>1.3090321587782006E-2</v>
      </c>
    </row>
    <row r="816" spans="1:3" x14ac:dyDescent="0.25">
      <c r="A816" s="238">
        <v>38076</v>
      </c>
      <c r="B816" s="239">
        <v>1651.43</v>
      </c>
      <c r="C816" s="242">
        <f t="shared" si="12"/>
        <v>4.0531822564768734E-3</v>
      </c>
    </row>
    <row r="817" spans="1:3" x14ac:dyDescent="0.25">
      <c r="A817" s="238">
        <v>38077</v>
      </c>
      <c r="B817" s="239">
        <v>1650.42</v>
      </c>
      <c r="C817" s="242">
        <f t="shared" si="12"/>
        <v>-6.1177826460998594E-4</v>
      </c>
    </row>
    <row r="818" spans="1:3" x14ac:dyDescent="0.25">
      <c r="A818" s="238">
        <v>38078</v>
      </c>
      <c r="B818" s="239">
        <v>1659.16</v>
      </c>
      <c r="C818" s="242">
        <f t="shared" si="12"/>
        <v>5.2816492228289309E-3</v>
      </c>
    </row>
    <row r="819" spans="1:3" x14ac:dyDescent="0.25">
      <c r="A819" s="238">
        <v>38079</v>
      </c>
      <c r="B819" s="239">
        <v>1673.4</v>
      </c>
      <c r="C819" s="242">
        <f t="shared" si="12"/>
        <v>8.5460346806952112E-3</v>
      </c>
    </row>
    <row r="820" spans="1:3" x14ac:dyDescent="0.25">
      <c r="A820" s="238">
        <v>38082</v>
      </c>
      <c r="B820" s="239">
        <v>1686.24</v>
      </c>
      <c r="C820" s="242">
        <f t="shared" si="12"/>
        <v>7.6437133241282415E-3</v>
      </c>
    </row>
    <row r="821" spans="1:3" x14ac:dyDescent="0.25">
      <c r="A821" s="238">
        <v>38083</v>
      </c>
      <c r="B821" s="239">
        <v>1683.23</v>
      </c>
      <c r="C821" s="242">
        <f t="shared" si="12"/>
        <v>-1.7866316071507517E-3</v>
      </c>
    </row>
    <row r="822" spans="1:3" x14ac:dyDescent="0.25">
      <c r="A822" s="238">
        <v>38084</v>
      </c>
      <c r="B822" s="239">
        <v>1672.14</v>
      </c>
      <c r="C822" s="242">
        <f t="shared" si="12"/>
        <v>-6.6103233817456477E-3</v>
      </c>
    </row>
    <row r="823" spans="1:3" x14ac:dyDescent="0.25">
      <c r="A823" s="238">
        <v>38085</v>
      </c>
      <c r="B823" s="239">
        <v>1670.3600000000001</v>
      </c>
      <c r="C823" s="242">
        <f t="shared" si="12"/>
        <v>-1.0650711552824953E-3</v>
      </c>
    </row>
    <row r="824" spans="1:3" x14ac:dyDescent="0.25">
      <c r="A824" s="238">
        <v>38089</v>
      </c>
      <c r="B824" s="239">
        <v>1679.02</v>
      </c>
      <c r="C824" s="242">
        <f t="shared" si="12"/>
        <v>5.171117817440592E-3</v>
      </c>
    </row>
    <row r="825" spans="1:3" x14ac:dyDescent="0.25">
      <c r="A825" s="238">
        <v>38090</v>
      </c>
      <c r="B825" s="239">
        <v>1655.99</v>
      </c>
      <c r="C825" s="242">
        <f t="shared" si="12"/>
        <v>-1.3811272579259039E-2</v>
      </c>
    </row>
    <row r="826" spans="1:3" x14ac:dyDescent="0.25">
      <c r="A826" s="238">
        <v>38091</v>
      </c>
      <c r="B826" s="239">
        <v>1654.17</v>
      </c>
      <c r="C826" s="242">
        <f t="shared" si="12"/>
        <v>-1.0996448409733167E-3</v>
      </c>
    </row>
    <row r="827" spans="1:3" x14ac:dyDescent="0.25">
      <c r="A827" s="238">
        <v>38092</v>
      </c>
      <c r="B827" s="239">
        <v>1655.15</v>
      </c>
      <c r="C827" s="242">
        <f t="shared" si="12"/>
        <v>5.9226670654215338E-4</v>
      </c>
    </row>
    <row r="828" spans="1:3" x14ac:dyDescent="0.25">
      <c r="A828" s="238">
        <v>38093</v>
      </c>
      <c r="B828" s="239">
        <v>1663.6200000000001</v>
      </c>
      <c r="C828" s="242">
        <f t="shared" si="12"/>
        <v>5.1043117719956179E-3</v>
      </c>
    </row>
    <row r="829" spans="1:3" x14ac:dyDescent="0.25">
      <c r="A829" s="238">
        <v>38096</v>
      </c>
      <c r="B829" s="239">
        <v>1665.39</v>
      </c>
      <c r="C829" s="242">
        <f t="shared" si="12"/>
        <v>1.0633793030297078E-3</v>
      </c>
    </row>
    <row r="830" spans="1:3" x14ac:dyDescent="0.25">
      <c r="A830" s="238">
        <v>38097</v>
      </c>
      <c r="B830" s="239">
        <v>1639.49</v>
      </c>
      <c r="C830" s="242">
        <f t="shared" si="12"/>
        <v>-1.5674112374676967E-2</v>
      </c>
    </row>
    <row r="831" spans="1:3" x14ac:dyDescent="0.25">
      <c r="A831" s="238">
        <v>38098</v>
      </c>
      <c r="B831" s="239">
        <v>1648.31</v>
      </c>
      <c r="C831" s="242">
        <f t="shared" si="12"/>
        <v>5.3653027301220025E-3</v>
      </c>
    </row>
    <row r="832" spans="1:3" x14ac:dyDescent="0.25">
      <c r="A832" s="238">
        <v>38099</v>
      </c>
      <c r="B832" s="239">
        <v>1671.63</v>
      </c>
      <c r="C832" s="242">
        <f t="shared" si="12"/>
        <v>1.4048677714292017E-2</v>
      </c>
    </row>
    <row r="833" spans="1:3" x14ac:dyDescent="0.25">
      <c r="A833" s="238">
        <v>38100</v>
      </c>
      <c r="B833" s="239">
        <v>1672.6200000000001</v>
      </c>
      <c r="C833" s="242">
        <f t="shared" si="12"/>
        <v>5.9206101751925369E-4</v>
      </c>
    </row>
    <row r="834" spans="1:3" x14ac:dyDescent="0.25">
      <c r="A834" s="238">
        <v>38103</v>
      </c>
      <c r="B834" s="239">
        <v>1665.19</v>
      </c>
      <c r="C834" s="242">
        <f t="shared" si="12"/>
        <v>-4.452028289341564E-3</v>
      </c>
    </row>
    <row r="835" spans="1:3" x14ac:dyDescent="0.25">
      <c r="A835" s="238">
        <v>38104</v>
      </c>
      <c r="B835" s="239">
        <v>1668.98</v>
      </c>
      <c r="C835" s="242">
        <f t="shared" si="12"/>
        <v>2.2734303484104831E-3</v>
      </c>
    </row>
    <row r="836" spans="1:3" x14ac:dyDescent="0.25">
      <c r="A836" s="238">
        <v>38105</v>
      </c>
      <c r="B836" s="239">
        <v>1646.19</v>
      </c>
      <c r="C836" s="242">
        <f t="shared" si="12"/>
        <v>-1.3749134442494758E-2</v>
      </c>
    </row>
    <row r="837" spans="1:3" x14ac:dyDescent="0.25">
      <c r="A837" s="238">
        <v>38106</v>
      </c>
      <c r="B837" s="239">
        <v>1634.16</v>
      </c>
      <c r="C837" s="242">
        <f t="shared" ref="C837:C900" si="13">LN(B837/B836)</f>
        <v>-7.3346160812329062E-3</v>
      </c>
    </row>
    <row r="838" spans="1:3" x14ac:dyDescent="0.25">
      <c r="A838" s="238">
        <v>38107</v>
      </c>
      <c r="B838" s="239">
        <v>1624.51</v>
      </c>
      <c r="C838" s="242">
        <f t="shared" si="13"/>
        <v>-5.9226790123846872E-3</v>
      </c>
    </row>
    <row r="839" spans="1:3" x14ac:dyDescent="0.25">
      <c r="A839" s="238">
        <v>38110</v>
      </c>
      <c r="B839" s="239">
        <v>1639.46</v>
      </c>
      <c r="C839" s="242">
        <f t="shared" si="13"/>
        <v>9.1606874744181513E-3</v>
      </c>
    </row>
    <row r="840" spans="1:3" x14ac:dyDescent="0.25">
      <c r="A840" s="238">
        <v>38111</v>
      </c>
      <c r="B840" s="239">
        <v>1642.5</v>
      </c>
      <c r="C840" s="242">
        <f t="shared" si="13"/>
        <v>1.8525520539110804E-3</v>
      </c>
    </row>
    <row r="841" spans="1:3" x14ac:dyDescent="0.25">
      <c r="A841" s="238">
        <v>38112</v>
      </c>
      <c r="B841" s="239">
        <v>1645.65</v>
      </c>
      <c r="C841" s="242">
        <f t="shared" si="13"/>
        <v>1.9159715728441426E-3</v>
      </c>
    </row>
    <row r="842" spans="1:3" x14ac:dyDescent="0.25">
      <c r="A842" s="238">
        <v>38113</v>
      </c>
      <c r="B842" s="239">
        <v>1634.75</v>
      </c>
      <c r="C842" s="242">
        <f t="shared" si="13"/>
        <v>-6.6455554902243915E-3</v>
      </c>
    </row>
    <row r="843" spans="1:3" x14ac:dyDescent="0.25">
      <c r="A843" s="238">
        <v>38114</v>
      </c>
      <c r="B843" s="239">
        <v>1612.31</v>
      </c>
      <c r="C843" s="242">
        <f t="shared" si="13"/>
        <v>-1.3821954171257984E-2</v>
      </c>
    </row>
    <row r="844" spans="1:3" x14ac:dyDescent="0.25">
      <c r="A844" s="238">
        <v>38117</v>
      </c>
      <c r="B844" s="239">
        <v>1595.38</v>
      </c>
      <c r="C844" s="242">
        <f t="shared" si="13"/>
        <v>-1.0555980912793183E-2</v>
      </c>
    </row>
    <row r="845" spans="1:3" x14ac:dyDescent="0.25">
      <c r="A845" s="238">
        <v>38118</v>
      </c>
      <c r="B845" s="239">
        <v>1607.94</v>
      </c>
      <c r="C845" s="242">
        <f t="shared" si="13"/>
        <v>7.8419042525781687E-3</v>
      </c>
    </row>
    <row r="846" spans="1:3" x14ac:dyDescent="0.25">
      <c r="A846" s="238">
        <v>38119</v>
      </c>
      <c r="B846" s="239">
        <v>1611.15</v>
      </c>
      <c r="C846" s="242">
        <f t="shared" si="13"/>
        <v>1.9943531022533121E-3</v>
      </c>
    </row>
    <row r="847" spans="1:3" x14ac:dyDescent="0.25">
      <c r="A847" s="238">
        <v>38120</v>
      </c>
      <c r="B847" s="239">
        <v>1610.05</v>
      </c>
      <c r="C847" s="242">
        <f t="shared" si="13"/>
        <v>-6.8297531526052282E-4</v>
      </c>
    </row>
    <row r="848" spans="1:3" x14ac:dyDescent="0.25">
      <c r="A848" s="238">
        <v>38121</v>
      </c>
      <c r="B848" s="239">
        <v>1609.1200000000001</v>
      </c>
      <c r="C848" s="242">
        <f t="shared" si="13"/>
        <v>-5.7778870073488839E-4</v>
      </c>
    </row>
    <row r="849" spans="1:3" x14ac:dyDescent="0.25">
      <c r="A849" s="238">
        <v>38124</v>
      </c>
      <c r="B849" s="239">
        <v>1592.23</v>
      </c>
      <c r="C849" s="242">
        <f t="shared" si="13"/>
        <v>-1.0551896365159635E-2</v>
      </c>
    </row>
    <row r="850" spans="1:3" x14ac:dyDescent="0.25">
      <c r="A850" s="238">
        <v>38125</v>
      </c>
      <c r="B850" s="239">
        <v>1603.14</v>
      </c>
      <c r="C850" s="242">
        <f t="shared" si="13"/>
        <v>6.8286567094959063E-3</v>
      </c>
    </row>
    <row r="851" spans="1:3" x14ac:dyDescent="0.25">
      <c r="A851" s="238">
        <v>38126</v>
      </c>
      <c r="B851" s="239">
        <v>1599.29</v>
      </c>
      <c r="C851" s="242">
        <f t="shared" si="13"/>
        <v>-2.4044252988019671E-3</v>
      </c>
    </row>
    <row r="852" spans="1:3" x14ac:dyDescent="0.25">
      <c r="A852" s="238">
        <v>38127</v>
      </c>
      <c r="B852" s="239">
        <v>1600.06</v>
      </c>
      <c r="C852" s="242">
        <f t="shared" si="13"/>
        <v>4.8134778306046242E-4</v>
      </c>
    </row>
    <row r="853" spans="1:3" x14ac:dyDescent="0.25">
      <c r="A853" s="238">
        <v>38128</v>
      </c>
      <c r="B853" s="239">
        <v>1606.49</v>
      </c>
      <c r="C853" s="242">
        <f t="shared" si="13"/>
        <v>4.010546299667273E-3</v>
      </c>
    </row>
    <row r="854" spans="1:3" x14ac:dyDescent="0.25">
      <c r="A854" s="238">
        <v>38131</v>
      </c>
      <c r="B854" s="239">
        <v>1609.22</v>
      </c>
      <c r="C854" s="242">
        <f t="shared" si="13"/>
        <v>1.6979147098856418E-3</v>
      </c>
    </row>
    <row r="855" spans="1:3" x14ac:dyDescent="0.25">
      <c r="A855" s="238">
        <v>38132</v>
      </c>
      <c r="B855" s="239">
        <v>1635.14</v>
      </c>
      <c r="C855" s="242">
        <f t="shared" si="13"/>
        <v>1.5978838042575983E-2</v>
      </c>
    </row>
    <row r="856" spans="1:3" x14ac:dyDescent="0.25">
      <c r="A856" s="238">
        <v>38133</v>
      </c>
      <c r="B856" s="239">
        <v>1638.16</v>
      </c>
      <c r="C856" s="242">
        <f t="shared" si="13"/>
        <v>1.8452331634106472E-3</v>
      </c>
    </row>
    <row r="857" spans="1:3" x14ac:dyDescent="0.25">
      <c r="A857" s="238">
        <v>38134</v>
      </c>
      <c r="B857" s="239">
        <v>1647.65</v>
      </c>
      <c r="C857" s="242">
        <f t="shared" si="13"/>
        <v>5.7763695327985023E-3</v>
      </c>
    </row>
    <row r="858" spans="1:3" x14ac:dyDescent="0.25">
      <c r="A858" s="238">
        <v>38135</v>
      </c>
      <c r="B858" s="239">
        <v>1646.8</v>
      </c>
      <c r="C858" s="242">
        <f t="shared" si="13"/>
        <v>-5.1601937735366789E-4</v>
      </c>
    </row>
    <row r="859" spans="1:3" x14ac:dyDescent="0.25">
      <c r="A859" s="238">
        <v>38139</v>
      </c>
      <c r="B859" s="239">
        <v>1647.57</v>
      </c>
      <c r="C859" s="242">
        <f t="shared" si="13"/>
        <v>4.674641974167429E-4</v>
      </c>
    </row>
    <row r="860" spans="1:3" x14ac:dyDescent="0.25">
      <c r="A860" s="238">
        <v>38140</v>
      </c>
      <c r="B860" s="239">
        <v>1653.66</v>
      </c>
      <c r="C860" s="242">
        <f t="shared" si="13"/>
        <v>3.6895380863734141E-3</v>
      </c>
    </row>
    <row r="861" spans="1:3" x14ac:dyDescent="0.25">
      <c r="A861" s="238">
        <v>38141</v>
      </c>
      <c r="B861" s="239">
        <v>1641.43</v>
      </c>
      <c r="C861" s="242">
        <f t="shared" si="13"/>
        <v>-7.4232000704112676E-3</v>
      </c>
    </row>
    <row r="862" spans="1:3" x14ac:dyDescent="0.25">
      <c r="A862" s="238">
        <v>38142</v>
      </c>
      <c r="B862" s="239">
        <v>1650.07</v>
      </c>
      <c r="C862" s="242">
        <f t="shared" si="13"/>
        <v>5.2498981280391802E-3</v>
      </c>
    </row>
    <row r="863" spans="1:3" x14ac:dyDescent="0.25">
      <c r="A863" s="238">
        <v>38145</v>
      </c>
      <c r="B863" s="239">
        <v>1676.48</v>
      </c>
      <c r="C863" s="242">
        <f t="shared" si="13"/>
        <v>1.5878645982687106E-2</v>
      </c>
    </row>
    <row r="864" spans="1:3" x14ac:dyDescent="0.25">
      <c r="A864" s="238">
        <v>38146</v>
      </c>
      <c r="B864" s="239">
        <v>1679.21</v>
      </c>
      <c r="C864" s="242">
        <f t="shared" si="13"/>
        <v>1.6270874856059976E-3</v>
      </c>
    </row>
    <row r="865" spans="1:3" x14ac:dyDescent="0.25">
      <c r="A865" s="238">
        <v>38147</v>
      </c>
      <c r="B865" s="239">
        <v>1663.38</v>
      </c>
      <c r="C865" s="242">
        <f t="shared" si="13"/>
        <v>-9.4717679093471209E-3</v>
      </c>
    </row>
    <row r="866" spans="1:3" x14ac:dyDescent="0.25">
      <c r="A866" s="238">
        <v>38148</v>
      </c>
      <c r="B866" s="239">
        <v>1671.01</v>
      </c>
      <c r="C866" s="242">
        <f t="shared" si="13"/>
        <v>4.5765572218279061E-3</v>
      </c>
    </row>
    <row r="867" spans="1:3" x14ac:dyDescent="0.25">
      <c r="A867" s="238">
        <v>38152</v>
      </c>
      <c r="B867" s="239">
        <v>1655</v>
      </c>
      <c r="C867" s="242">
        <f t="shared" si="13"/>
        <v>-9.6272252067785783E-3</v>
      </c>
    </row>
    <row r="868" spans="1:3" x14ac:dyDescent="0.25">
      <c r="A868" s="238">
        <v>38153</v>
      </c>
      <c r="B868" s="239">
        <v>1664.92</v>
      </c>
      <c r="C868" s="242">
        <f t="shared" si="13"/>
        <v>5.9760654009885809E-3</v>
      </c>
    </row>
    <row r="869" spans="1:3" x14ac:dyDescent="0.25">
      <c r="A869" s="238">
        <v>38154</v>
      </c>
      <c r="B869" s="239">
        <v>1667.23</v>
      </c>
      <c r="C869" s="242">
        <f t="shared" si="13"/>
        <v>1.3864924268442826E-3</v>
      </c>
    </row>
    <row r="870" spans="1:3" x14ac:dyDescent="0.25">
      <c r="A870" s="238">
        <v>38155</v>
      </c>
      <c r="B870" s="239">
        <v>1665.02</v>
      </c>
      <c r="C870" s="242">
        <f t="shared" si="13"/>
        <v>-1.3264312845834524E-3</v>
      </c>
    </row>
    <row r="871" spans="1:3" x14ac:dyDescent="0.25">
      <c r="A871" s="238">
        <v>38156</v>
      </c>
      <c r="B871" s="239">
        <v>1669.39</v>
      </c>
      <c r="C871" s="242">
        <f t="shared" si="13"/>
        <v>2.6211548681714593E-3</v>
      </c>
    </row>
    <row r="872" spans="1:3" x14ac:dyDescent="0.25">
      <c r="A872" s="238">
        <v>38159</v>
      </c>
      <c r="B872" s="239">
        <v>1662.46</v>
      </c>
      <c r="C872" s="242">
        <f t="shared" si="13"/>
        <v>-4.1598571324007278E-3</v>
      </c>
    </row>
    <row r="873" spans="1:3" x14ac:dyDescent="0.25">
      <c r="A873" s="238">
        <v>38160</v>
      </c>
      <c r="B873" s="239">
        <v>1668.54</v>
      </c>
      <c r="C873" s="242">
        <f t="shared" si="13"/>
        <v>3.6505594428906992E-3</v>
      </c>
    </row>
    <row r="874" spans="1:3" x14ac:dyDescent="0.25">
      <c r="A874" s="238">
        <v>38161</v>
      </c>
      <c r="B874" s="239">
        <v>1682.75</v>
      </c>
      <c r="C874" s="242">
        <f t="shared" si="13"/>
        <v>8.4803673577485174E-3</v>
      </c>
    </row>
    <row r="875" spans="1:3" x14ac:dyDescent="0.25">
      <c r="A875" s="238">
        <v>38162</v>
      </c>
      <c r="B875" s="239">
        <v>1678.07</v>
      </c>
      <c r="C875" s="242">
        <f t="shared" si="13"/>
        <v>-2.7850364048097936E-3</v>
      </c>
    </row>
    <row r="876" spans="1:3" x14ac:dyDescent="0.25">
      <c r="A876" s="238">
        <v>38163</v>
      </c>
      <c r="B876" s="239">
        <v>1668.93</v>
      </c>
      <c r="C876" s="242">
        <f t="shared" si="13"/>
        <v>-5.4616209859425753E-3</v>
      </c>
    </row>
    <row r="877" spans="1:3" x14ac:dyDescent="0.25">
      <c r="A877" s="238">
        <v>38166</v>
      </c>
      <c r="B877" s="239">
        <v>1667.6100000000001</v>
      </c>
      <c r="C877" s="242">
        <f t="shared" si="13"/>
        <v>-7.912388695273994E-4</v>
      </c>
    </row>
    <row r="878" spans="1:3" x14ac:dyDescent="0.25">
      <c r="A878" s="238">
        <v>38167</v>
      </c>
      <c r="B878" s="239">
        <v>1671.8400000000001</v>
      </c>
      <c r="C878" s="242">
        <f t="shared" si="13"/>
        <v>2.5333526552581507E-3</v>
      </c>
    </row>
    <row r="879" spans="1:3" x14ac:dyDescent="0.25">
      <c r="A879" s="238">
        <v>38168</v>
      </c>
      <c r="B879" s="239">
        <v>1678.83</v>
      </c>
      <c r="C879" s="242">
        <f t="shared" si="13"/>
        <v>4.1723059210465362E-3</v>
      </c>
    </row>
    <row r="880" spans="1:3" x14ac:dyDescent="0.25">
      <c r="A880" s="238">
        <v>38169</v>
      </c>
      <c r="B880" s="239">
        <v>1661.45</v>
      </c>
      <c r="C880" s="242">
        <f t="shared" si="13"/>
        <v>-1.040640715420695E-2</v>
      </c>
    </row>
    <row r="881" spans="1:3" x14ac:dyDescent="0.25">
      <c r="A881" s="238">
        <v>38170</v>
      </c>
      <c r="B881" s="239">
        <v>1656.25</v>
      </c>
      <c r="C881" s="242">
        <f t="shared" si="13"/>
        <v>-3.1347043181080407E-3</v>
      </c>
    </row>
    <row r="882" spans="1:3" x14ac:dyDescent="0.25">
      <c r="A882" s="238">
        <v>38174</v>
      </c>
      <c r="B882" s="239">
        <v>1642.76</v>
      </c>
      <c r="C882" s="242">
        <f t="shared" si="13"/>
        <v>-8.1782566215599373E-3</v>
      </c>
    </row>
    <row r="883" spans="1:3" x14ac:dyDescent="0.25">
      <c r="A883" s="238">
        <v>38175</v>
      </c>
      <c r="B883" s="239">
        <v>1646.28</v>
      </c>
      <c r="C883" s="242">
        <f t="shared" si="13"/>
        <v>2.1404430131013443E-3</v>
      </c>
    </row>
    <row r="884" spans="1:3" x14ac:dyDescent="0.25">
      <c r="A884" s="238">
        <v>38176</v>
      </c>
      <c r="B884" s="239">
        <v>1632.81</v>
      </c>
      <c r="C884" s="242">
        <f t="shared" si="13"/>
        <v>-8.2157402003935204E-3</v>
      </c>
    </row>
    <row r="885" spans="1:3" x14ac:dyDescent="0.25">
      <c r="A885" s="238">
        <v>38177</v>
      </c>
      <c r="B885" s="239">
        <v>1638.3400000000001</v>
      </c>
      <c r="C885" s="242">
        <f t="shared" si="13"/>
        <v>3.3810771551899136E-3</v>
      </c>
    </row>
    <row r="886" spans="1:3" x14ac:dyDescent="0.25">
      <c r="A886" s="238">
        <v>38180</v>
      </c>
      <c r="B886" s="239">
        <v>1640.65</v>
      </c>
      <c r="C886" s="242">
        <f t="shared" si="13"/>
        <v>1.4089706782580329E-3</v>
      </c>
    </row>
    <row r="887" spans="1:3" x14ac:dyDescent="0.25">
      <c r="A887" s="238">
        <v>38181</v>
      </c>
      <c r="B887" s="239">
        <v>1641.89</v>
      </c>
      <c r="C887" s="242">
        <f t="shared" si="13"/>
        <v>7.5551253540404246E-4</v>
      </c>
    </row>
    <row r="888" spans="1:3" x14ac:dyDescent="0.25">
      <c r="A888" s="238">
        <v>38182</v>
      </c>
      <c r="B888" s="239">
        <v>1636.6200000000001</v>
      </c>
      <c r="C888" s="242">
        <f t="shared" si="13"/>
        <v>-3.2148778188747901E-3</v>
      </c>
    </row>
    <row r="889" spans="1:3" x14ac:dyDescent="0.25">
      <c r="A889" s="238">
        <v>38183</v>
      </c>
      <c r="B889" s="239">
        <v>1629.58</v>
      </c>
      <c r="C889" s="242">
        <f t="shared" si="13"/>
        <v>-4.3108265887919096E-3</v>
      </c>
    </row>
    <row r="890" spans="1:3" x14ac:dyDescent="0.25">
      <c r="A890" s="238">
        <v>38184</v>
      </c>
      <c r="B890" s="239">
        <v>1621.8</v>
      </c>
      <c r="C890" s="242">
        <f t="shared" si="13"/>
        <v>-4.7856693764085608E-3</v>
      </c>
    </row>
    <row r="891" spans="1:3" x14ac:dyDescent="0.25">
      <c r="A891" s="238">
        <v>38187</v>
      </c>
      <c r="B891" s="239">
        <v>1621.08</v>
      </c>
      <c r="C891" s="242">
        <f t="shared" si="13"/>
        <v>-4.4404974086671522E-4</v>
      </c>
    </row>
    <row r="892" spans="1:3" x14ac:dyDescent="0.25">
      <c r="A892" s="238">
        <v>38188</v>
      </c>
      <c r="B892" s="239">
        <v>1632.52</v>
      </c>
      <c r="C892" s="242">
        <f t="shared" si="13"/>
        <v>7.0322394544962974E-3</v>
      </c>
    </row>
    <row r="893" spans="1:3" x14ac:dyDescent="0.25">
      <c r="A893" s="238">
        <v>38189</v>
      </c>
      <c r="B893" s="239">
        <v>1610.88</v>
      </c>
      <c r="C893" s="242">
        <f t="shared" si="13"/>
        <v>-1.3344219717190148E-2</v>
      </c>
    </row>
    <row r="894" spans="1:3" x14ac:dyDescent="0.25">
      <c r="A894" s="238">
        <v>38190</v>
      </c>
      <c r="B894" s="239">
        <v>1615.27</v>
      </c>
      <c r="C894" s="242">
        <f t="shared" si="13"/>
        <v>2.7215118389352418E-3</v>
      </c>
    </row>
    <row r="895" spans="1:3" x14ac:dyDescent="0.25">
      <c r="A895" s="238">
        <v>38191</v>
      </c>
      <c r="B895" s="239">
        <v>1599.6200000000001</v>
      </c>
      <c r="C895" s="242">
        <f t="shared" si="13"/>
        <v>-9.7360243255502563E-3</v>
      </c>
    </row>
    <row r="896" spans="1:3" x14ac:dyDescent="0.25">
      <c r="A896" s="238">
        <v>38194</v>
      </c>
      <c r="B896" s="239">
        <v>1596.48</v>
      </c>
      <c r="C896" s="242">
        <f t="shared" si="13"/>
        <v>-1.9648953476088774E-3</v>
      </c>
    </row>
    <row r="897" spans="1:3" x14ac:dyDescent="0.25">
      <c r="A897" s="238">
        <v>38195</v>
      </c>
      <c r="B897" s="239">
        <v>1612.33</v>
      </c>
      <c r="C897" s="242">
        <f t="shared" si="13"/>
        <v>9.8791320829167729E-3</v>
      </c>
    </row>
    <row r="898" spans="1:3" x14ac:dyDescent="0.25">
      <c r="A898" s="238">
        <v>38196</v>
      </c>
      <c r="B898" s="239">
        <v>1613.5</v>
      </c>
      <c r="C898" s="242">
        <f t="shared" si="13"/>
        <v>7.2539473642711349E-4</v>
      </c>
    </row>
    <row r="899" spans="1:3" x14ac:dyDescent="0.25">
      <c r="A899" s="238">
        <v>38197</v>
      </c>
      <c r="B899" s="239">
        <v>1621.3500000000001</v>
      </c>
      <c r="C899" s="242">
        <f t="shared" si="13"/>
        <v>4.8534030383052991E-3</v>
      </c>
    </row>
    <row r="900" spans="1:3" x14ac:dyDescent="0.25">
      <c r="A900" s="238">
        <v>38198</v>
      </c>
      <c r="B900" s="239">
        <v>1623.26</v>
      </c>
      <c r="C900" s="242">
        <f t="shared" si="13"/>
        <v>1.1773373198161862E-3</v>
      </c>
    </row>
    <row r="901" spans="1:3" x14ac:dyDescent="0.25">
      <c r="A901" s="238">
        <v>38201</v>
      </c>
      <c r="B901" s="239">
        <v>1630.48</v>
      </c>
      <c r="C901" s="242">
        <f t="shared" ref="C901:C964" si="14">LN(B901/B900)</f>
        <v>4.4379771279861209E-3</v>
      </c>
    </row>
    <row r="902" spans="1:3" x14ac:dyDescent="0.25">
      <c r="A902" s="238">
        <v>38202</v>
      </c>
      <c r="B902" s="239">
        <v>1620.28</v>
      </c>
      <c r="C902" s="242">
        <f t="shared" si="14"/>
        <v>-6.27547618054803E-3</v>
      </c>
    </row>
    <row r="903" spans="1:3" x14ac:dyDescent="0.25">
      <c r="A903" s="238">
        <v>38203</v>
      </c>
      <c r="B903" s="239">
        <v>1619</v>
      </c>
      <c r="C903" s="242">
        <f t="shared" si="14"/>
        <v>-7.9029911994084356E-4</v>
      </c>
    </row>
    <row r="904" spans="1:3" x14ac:dyDescent="0.25">
      <c r="A904" s="238">
        <v>38204</v>
      </c>
      <c r="B904" s="239">
        <v>1592.64</v>
      </c>
      <c r="C904" s="242">
        <f t="shared" si="14"/>
        <v>-1.6415658007445693E-2</v>
      </c>
    </row>
    <row r="905" spans="1:3" x14ac:dyDescent="0.25">
      <c r="A905" s="238">
        <v>38205</v>
      </c>
      <c r="B905" s="239">
        <v>1568.07</v>
      </c>
      <c r="C905" s="242">
        <f t="shared" si="14"/>
        <v>-1.5547452899156176E-2</v>
      </c>
    </row>
    <row r="906" spans="1:3" x14ac:dyDescent="0.25">
      <c r="A906" s="238">
        <v>38208</v>
      </c>
      <c r="B906" s="239">
        <v>1569.96</v>
      </c>
      <c r="C906" s="242">
        <f t="shared" si="14"/>
        <v>1.2045775397518126E-3</v>
      </c>
    </row>
    <row r="907" spans="1:3" x14ac:dyDescent="0.25">
      <c r="A907" s="238">
        <v>38209</v>
      </c>
      <c r="B907" s="239">
        <v>1590.3500000000001</v>
      </c>
      <c r="C907" s="242">
        <f t="shared" si="14"/>
        <v>1.2903976465529625E-2</v>
      </c>
    </row>
    <row r="908" spans="1:3" x14ac:dyDescent="0.25">
      <c r="A908" s="238">
        <v>38210</v>
      </c>
      <c r="B908" s="239">
        <v>1586.43</v>
      </c>
      <c r="C908" s="242">
        <f t="shared" si="14"/>
        <v>-2.4679090082333341E-3</v>
      </c>
    </row>
    <row r="909" spans="1:3" x14ac:dyDescent="0.25">
      <c r="A909" s="238">
        <v>38211</v>
      </c>
      <c r="B909" s="239">
        <v>1567.95</v>
      </c>
      <c r="C909" s="242">
        <f t="shared" si="14"/>
        <v>-1.1717175121255603E-2</v>
      </c>
    </row>
    <row r="910" spans="1:3" x14ac:dyDescent="0.25">
      <c r="A910" s="238">
        <v>38212</v>
      </c>
      <c r="B910" s="239">
        <v>1570.44</v>
      </c>
      <c r="C910" s="242">
        <f t="shared" si="14"/>
        <v>1.5868012085636311E-3</v>
      </c>
    </row>
    <row r="911" spans="1:3" x14ac:dyDescent="0.25">
      <c r="A911" s="238">
        <v>38215</v>
      </c>
      <c r="B911" s="239">
        <v>1591.94</v>
      </c>
      <c r="C911" s="242">
        <f t="shared" si="14"/>
        <v>1.3597563396500627E-2</v>
      </c>
    </row>
    <row r="912" spans="1:3" x14ac:dyDescent="0.25">
      <c r="A912" s="238">
        <v>38216</v>
      </c>
      <c r="B912" s="239">
        <v>1595.57</v>
      </c>
      <c r="C912" s="242">
        <f t="shared" si="14"/>
        <v>2.2776408979192342E-3</v>
      </c>
    </row>
    <row r="913" spans="1:3" x14ac:dyDescent="0.25">
      <c r="A913" s="238">
        <v>38217</v>
      </c>
      <c r="B913" s="239">
        <v>1615.72</v>
      </c>
      <c r="C913" s="242">
        <f t="shared" si="14"/>
        <v>1.2549638591981212E-2</v>
      </c>
    </row>
    <row r="914" spans="1:3" x14ac:dyDescent="0.25">
      <c r="A914" s="238">
        <v>38218</v>
      </c>
      <c r="B914" s="239">
        <v>1609.97</v>
      </c>
      <c r="C914" s="242">
        <f t="shared" si="14"/>
        <v>-3.5651324772612097E-3</v>
      </c>
    </row>
    <row r="915" spans="1:3" x14ac:dyDescent="0.25">
      <c r="A915" s="238">
        <v>38219</v>
      </c>
      <c r="B915" s="239">
        <v>1620.47</v>
      </c>
      <c r="C915" s="242">
        <f t="shared" si="14"/>
        <v>6.5006853410186551E-3</v>
      </c>
    </row>
    <row r="916" spans="1:3" x14ac:dyDescent="0.25">
      <c r="A916" s="238">
        <v>38222</v>
      </c>
      <c r="B916" s="239">
        <v>1616.68</v>
      </c>
      <c r="C916" s="242">
        <f t="shared" si="14"/>
        <v>-2.341566953458234E-3</v>
      </c>
    </row>
    <row r="917" spans="1:3" x14ac:dyDescent="0.25">
      <c r="A917" s="238">
        <v>38223</v>
      </c>
      <c r="B917" s="239">
        <v>1617.46</v>
      </c>
      <c r="C917" s="242">
        <f t="shared" si="14"/>
        <v>4.8235389632060539E-4</v>
      </c>
    </row>
    <row r="918" spans="1:3" x14ac:dyDescent="0.25">
      <c r="A918" s="238">
        <v>38224</v>
      </c>
      <c r="B918" s="239">
        <v>1630.48</v>
      </c>
      <c r="C918" s="242">
        <f t="shared" si="14"/>
        <v>8.0174324297135023E-3</v>
      </c>
    </row>
    <row r="919" spans="1:3" x14ac:dyDescent="0.25">
      <c r="A919" s="238">
        <v>38225</v>
      </c>
      <c r="B919" s="239">
        <v>1630.68</v>
      </c>
      <c r="C919" s="242">
        <f t="shared" si="14"/>
        <v>1.2265574228236369E-4</v>
      </c>
    </row>
    <row r="920" spans="1:3" x14ac:dyDescent="0.25">
      <c r="A920" s="238">
        <v>38226</v>
      </c>
      <c r="B920" s="239">
        <v>1634.83</v>
      </c>
      <c r="C920" s="242">
        <f t="shared" si="14"/>
        <v>2.5417176699483635E-3</v>
      </c>
    </row>
    <row r="921" spans="1:3" x14ac:dyDescent="0.25">
      <c r="A921" s="238">
        <v>38229</v>
      </c>
      <c r="B921" s="239">
        <v>1622.28</v>
      </c>
      <c r="C921" s="242">
        <f t="shared" si="14"/>
        <v>-7.7062562260406106E-3</v>
      </c>
    </row>
    <row r="922" spans="1:3" x14ac:dyDescent="0.25">
      <c r="A922" s="238">
        <v>38230</v>
      </c>
      <c r="B922" s="239">
        <v>1629.83</v>
      </c>
      <c r="C922" s="242">
        <f t="shared" si="14"/>
        <v>4.643147718918667E-3</v>
      </c>
    </row>
    <row r="923" spans="1:3" x14ac:dyDescent="0.25">
      <c r="A923" s="238">
        <v>38231</v>
      </c>
      <c r="B923" s="239">
        <v>1632.82</v>
      </c>
      <c r="C923" s="242">
        <f t="shared" si="14"/>
        <v>1.8328664349839599E-3</v>
      </c>
    </row>
    <row r="924" spans="1:3" x14ac:dyDescent="0.25">
      <c r="A924" s="238">
        <v>38232</v>
      </c>
      <c r="B924" s="239">
        <v>1651.14</v>
      </c>
      <c r="C924" s="242">
        <f t="shared" si="14"/>
        <v>1.1157377099511943E-2</v>
      </c>
    </row>
    <row r="925" spans="1:3" x14ac:dyDescent="0.25">
      <c r="A925" s="238">
        <v>38233</v>
      </c>
      <c r="B925" s="239">
        <v>1644.25</v>
      </c>
      <c r="C925" s="242">
        <f t="shared" si="14"/>
        <v>-4.1816052362685704E-3</v>
      </c>
    </row>
    <row r="926" spans="1:3" x14ac:dyDescent="0.25">
      <c r="A926" s="238">
        <v>38237</v>
      </c>
      <c r="B926" s="239">
        <v>1655.65</v>
      </c>
      <c r="C926" s="242">
        <f t="shared" si="14"/>
        <v>6.9093277686195402E-3</v>
      </c>
    </row>
    <row r="927" spans="1:3" x14ac:dyDescent="0.25">
      <c r="A927" s="238">
        <v>38238</v>
      </c>
      <c r="B927" s="239">
        <v>1648.52</v>
      </c>
      <c r="C927" s="242">
        <f t="shared" si="14"/>
        <v>-4.3157652704575991E-3</v>
      </c>
    </row>
    <row r="928" spans="1:3" x14ac:dyDescent="0.25">
      <c r="A928" s="238">
        <v>38239</v>
      </c>
      <c r="B928" s="239">
        <v>1651.65</v>
      </c>
      <c r="C928" s="242">
        <f t="shared" si="14"/>
        <v>1.8968725480874955E-3</v>
      </c>
    </row>
    <row r="929" spans="1:3" x14ac:dyDescent="0.25">
      <c r="A929" s="238">
        <v>38240</v>
      </c>
      <c r="B929" s="239">
        <v>1659.8400000000001</v>
      </c>
      <c r="C929" s="242">
        <f t="shared" si="14"/>
        <v>4.9464239353256166E-3</v>
      </c>
    </row>
    <row r="930" spans="1:3" x14ac:dyDescent="0.25">
      <c r="A930" s="238">
        <v>38243</v>
      </c>
      <c r="B930" s="239">
        <v>1663.1000000000001</v>
      </c>
      <c r="C930" s="242">
        <f t="shared" si="14"/>
        <v>1.9621185130589171E-3</v>
      </c>
    </row>
    <row r="931" spans="1:3" x14ac:dyDescent="0.25">
      <c r="A931" s="238">
        <v>38244</v>
      </c>
      <c r="B931" s="239">
        <v>1666.82</v>
      </c>
      <c r="C931" s="242">
        <f t="shared" si="14"/>
        <v>2.2342888402929772E-3</v>
      </c>
    </row>
    <row r="932" spans="1:3" x14ac:dyDescent="0.25">
      <c r="A932" s="238">
        <v>38245</v>
      </c>
      <c r="B932" s="239">
        <v>1655.1000000000001</v>
      </c>
      <c r="C932" s="242">
        <f t="shared" si="14"/>
        <v>-7.0561895698924007E-3</v>
      </c>
    </row>
    <row r="933" spans="1:3" x14ac:dyDescent="0.25">
      <c r="A933" s="238">
        <v>38246</v>
      </c>
      <c r="B933" s="239">
        <v>1659.78</v>
      </c>
      <c r="C933" s="242">
        <f t="shared" si="14"/>
        <v>2.8236335007197013E-3</v>
      </c>
    </row>
    <row r="934" spans="1:3" x14ac:dyDescent="0.25">
      <c r="A934" s="238">
        <v>38247</v>
      </c>
      <c r="B934" s="239">
        <v>1667.25</v>
      </c>
      <c r="C934" s="242">
        <f t="shared" si="14"/>
        <v>4.4904990652010601E-3</v>
      </c>
    </row>
    <row r="935" spans="1:3" x14ac:dyDescent="0.25">
      <c r="A935" s="238">
        <v>38250</v>
      </c>
      <c r="B935" s="239">
        <v>1657.88</v>
      </c>
      <c r="C935" s="242">
        <f t="shared" si="14"/>
        <v>-5.6358847935268621E-3</v>
      </c>
    </row>
    <row r="936" spans="1:3" x14ac:dyDescent="0.25">
      <c r="A936" s="238">
        <v>38251</v>
      </c>
      <c r="B936" s="239">
        <v>1668.39</v>
      </c>
      <c r="C936" s="242">
        <f t="shared" si="14"/>
        <v>6.3194118194560053E-3</v>
      </c>
    </row>
    <row r="937" spans="1:3" x14ac:dyDescent="0.25">
      <c r="A937" s="238">
        <v>38252</v>
      </c>
      <c r="B937" s="239">
        <v>1645.17</v>
      </c>
      <c r="C937" s="242">
        <f t="shared" si="14"/>
        <v>-1.4015367213394806E-2</v>
      </c>
    </row>
    <row r="938" spans="1:3" x14ac:dyDescent="0.25">
      <c r="A938" s="238">
        <v>38253</v>
      </c>
      <c r="B938" s="239">
        <v>1637.82</v>
      </c>
      <c r="C938" s="242">
        <f t="shared" si="14"/>
        <v>-4.4776330601858164E-3</v>
      </c>
    </row>
    <row r="939" spans="1:3" x14ac:dyDescent="0.25">
      <c r="A939" s="238">
        <v>38254</v>
      </c>
      <c r="B939" s="239">
        <v>1640.4</v>
      </c>
      <c r="C939" s="242">
        <f t="shared" si="14"/>
        <v>1.574025253140051E-3</v>
      </c>
    </row>
    <row r="940" spans="1:3" x14ac:dyDescent="0.25">
      <c r="A940" s="238">
        <v>38257</v>
      </c>
      <c r="B940" s="239">
        <v>1630.67</v>
      </c>
      <c r="C940" s="242">
        <f t="shared" si="14"/>
        <v>-5.9491412273198199E-3</v>
      </c>
    </row>
    <row r="941" spans="1:3" x14ac:dyDescent="0.25">
      <c r="A941" s="238">
        <v>38258</v>
      </c>
      <c r="B941" s="239">
        <v>1640.6200000000001</v>
      </c>
      <c r="C941" s="242">
        <f t="shared" si="14"/>
        <v>6.0832458657125374E-3</v>
      </c>
    </row>
    <row r="942" spans="1:3" x14ac:dyDescent="0.25">
      <c r="A942" s="238">
        <v>38259</v>
      </c>
      <c r="B942" s="239">
        <v>1647.79</v>
      </c>
      <c r="C942" s="242">
        <f t="shared" si="14"/>
        <v>4.3607770091204203E-3</v>
      </c>
    </row>
    <row r="943" spans="1:3" x14ac:dyDescent="0.25">
      <c r="A943" s="238">
        <v>38260</v>
      </c>
      <c r="B943" s="239">
        <v>1647.48</v>
      </c>
      <c r="C943" s="242">
        <f t="shared" si="14"/>
        <v>-1.881484679036014E-4</v>
      </c>
    </row>
    <row r="944" spans="1:3" x14ac:dyDescent="0.25">
      <c r="A944" s="238">
        <v>38261</v>
      </c>
      <c r="B944" s="239">
        <v>1672.49</v>
      </c>
      <c r="C944" s="242">
        <f t="shared" si="14"/>
        <v>1.5066686213751268E-2</v>
      </c>
    </row>
    <row r="945" spans="1:3" x14ac:dyDescent="0.25">
      <c r="A945" s="238">
        <v>38264</v>
      </c>
      <c r="B945" s="239">
        <v>1678.1000000000001</v>
      </c>
      <c r="C945" s="242">
        <f t="shared" si="14"/>
        <v>3.3486670958510962E-3</v>
      </c>
    </row>
    <row r="946" spans="1:3" x14ac:dyDescent="0.25">
      <c r="A946" s="238">
        <v>38265</v>
      </c>
      <c r="B946" s="239">
        <v>1677.0900000000001</v>
      </c>
      <c r="C946" s="242">
        <f t="shared" si="14"/>
        <v>-6.0205236097373045E-4</v>
      </c>
    </row>
    <row r="947" spans="1:3" x14ac:dyDescent="0.25">
      <c r="A947" s="238">
        <v>38266</v>
      </c>
      <c r="B947" s="239">
        <v>1688.83</v>
      </c>
      <c r="C947" s="242">
        <f t="shared" si="14"/>
        <v>6.9758328230356617E-3</v>
      </c>
    </row>
    <row r="948" spans="1:3" x14ac:dyDescent="0.25">
      <c r="A948" s="238">
        <v>38267</v>
      </c>
      <c r="B948" s="239">
        <v>1672.08</v>
      </c>
      <c r="C948" s="242">
        <f t="shared" si="14"/>
        <v>-9.9676210792051141E-3</v>
      </c>
    </row>
    <row r="949" spans="1:3" x14ac:dyDescent="0.25">
      <c r="A949" s="238">
        <v>38268</v>
      </c>
      <c r="B949" s="239">
        <v>1659.51</v>
      </c>
      <c r="C949" s="242">
        <f t="shared" si="14"/>
        <v>-7.5459823366804653E-3</v>
      </c>
    </row>
    <row r="950" spans="1:3" x14ac:dyDescent="0.25">
      <c r="A950" s="238">
        <v>38271</v>
      </c>
      <c r="B950" s="239">
        <v>1662.8400000000001</v>
      </c>
      <c r="C950" s="242">
        <f t="shared" si="14"/>
        <v>2.0046058453313791E-3</v>
      </c>
    </row>
    <row r="951" spans="1:3" x14ac:dyDescent="0.25">
      <c r="A951" s="238">
        <v>38272</v>
      </c>
      <c r="B951" s="239">
        <v>1659.07</v>
      </c>
      <c r="C951" s="242">
        <f t="shared" si="14"/>
        <v>-2.2697795054983788E-3</v>
      </c>
    </row>
    <row r="952" spans="1:3" x14ac:dyDescent="0.25">
      <c r="A952" s="238">
        <v>38273</v>
      </c>
      <c r="B952" s="239">
        <v>1647.13</v>
      </c>
      <c r="C952" s="242">
        <f t="shared" si="14"/>
        <v>-7.2228249399968851E-3</v>
      </c>
    </row>
    <row r="953" spans="1:3" x14ac:dyDescent="0.25">
      <c r="A953" s="238">
        <v>38274</v>
      </c>
      <c r="B953" s="239">
        <v>1631.81</v>
      </c>
      <c r="C953" s="242">
        <f t="shared" si="14"/>
        <v>-9.3445512752209515E-3</v>
      </c>
    </row>
    <row r="954" spans="1:3" x14ac:dyDescent="0.25">
      <c r="A954" s="238">
        <v>38275</v>
      </c>
      <c r="B954" s="239">
        <v>1639.08</v>
      </c>
      <c r="C954" s="242">
        <f t="shared" si="14"/>
        <v>4.4452806248926483E-3</v>
      </c>
    </row>
    <row r="955" spans="1:3" x14ac:dyDescent="0.25">
      <c r="A955" s="238">
        <v>38278</v>
      </c>
      <c r="B955" s="239">
        <v>1647.69</v>
      </c>
      <c r="C955" s="242">
        <f t="shared" si="14"/>
        <v>5.2391981761974937E-3</v>
      </c>
    </row>
    <row r="956" spans="1:3" x14ac:dyDescent="0.25">
      <c r="A956" s="238">
        <v>38279</v>
      </c>
      <c r="B956" s="239">
        <v>1631.74</v>
      </c>
      <c r="C956" s="242">
        <f t="shared" si="14"/>
        <v>-9.7273768722156446E-3</v>
      </c>
    </row>
    <row r="957" spans="1:3" x14ac:dyDescent="0.25">
      <c r="A957" s="238">
        <v>38280</v>
      </c>
      <c r="B957" s="239">
        <v>1632.49</v>
      </c>
      <c r="C957" s="242">
        <f t="shared" si="14"/>
        <v>4.5952645076965948E-4</v>
      </c>
    </row>
    <row r="958" spans="1:3" x14ac:dyDescent="0.25">
      <c r="A958" s="238">
        <v>38281</v>
      </c>
      <c r="B958" s="239">
        <v>1636.76</v>
      </c>
      <c r="C958" s="242">
        <f t="shared" si="14"/>
        <v>2.6122214135351736E-3</v>
      </c>
    </row>
    <row r="959" spans="1:3" x14ac:dyDescent="0.25">
      <c r="A959" s="238">
        <v>38282</v>
      </c>
      <c r="B959" s="239">
        <v>1620.8500000000001</v>
      </c>
      <c r="C959" s="242">
        <f t="shared" si="14"/>
        <v>-9.7679749890129241E-3</v>
      </c>
    </row>
    <row r="960" spans="1:3" x14ac:dyDescent="0.25">
      <c r="A960" s="238">
        <v>38285</v>
      </c>
      <c r="B960" s="239">
        <v>1619.48</v>
      </c>
      <c r="C960" s="242">
        <f t="shared" si="14"/>
        <v>-8.4559293752944128E-4</v>
      </c>
    </row>
    <row r="961" spans="1:3" x14ac:dyDescent="0.25">
      <c r="A961" s="238">
        <v>38286</v>
      </c>
      <c r="B961" s="239">
        <v>1643.57</v>
      </c>
      <c r="C961" s="242">
        <f t="shared" si="14"/>
        <v>1.4765595181920313E-2</v>
      </c>
    </row>
    <row r="962" spans="1:3" x14ac:dyDescent="0.25">
      <c r="A962" s="238">
        <v>38287</v>
      </c>
      <c r="B962" s="239">
        <v>1665.01</v>
      </c>
      <c r="C962" s="242">
        <f t="shared" si="14"/>
        <v>1.2960424176048944E-2</v>
      </c>
    </row>
    <row r="963" spans="1:3" x14ac:dyDescent="0.25">
      <c r="A963" s="238">
        <v>38288</v>
      </c>
      <c r="B963" s="239">
        <v>1668.55</v>
      </c>
      <c r="C963" s="242">
        <f t="shared" si="14"/>
        <v>2.1238563761719516E-3</v>
      </c>
    </row>
    <row r="964" spans="1:3" x14ac:dyDescent="0.25">
      <c r="A964" s="238">
        <v>38289</v>
      </c>
      <c r="B964" s="239">
        <v>1672.65</v>
      </c>
      <c r="C964" s="242">
        <f t="shared" si="14"/>
        <v>2.4542093007944407E-3</v>
      </c>
    </row>
    <row r="965" spans="1:3" x14ac:dyDescent="0.25">
      <c r="A965" s="238">
        <v>38292</v>
      </c>
      <c r="B965" s="239">
        <v>1673.1000000000001</v>
      </c>
      <c r="C965" s="242">
        <f t="shared" ref="C965:C1028" si="15">LN(B965/B964)</f>
        <v>2.6899798413718986E-4</v>
      </c>
    </row>
    <row r="966" spans="1:3" x14ac:dyDescent="0.25">
      <c r="A966" s="238">
        <v>38293</v>
      </c>
      <c r="B966" s="239">
        <v>1673.16</v>
      </c>
      <c r="C966" s="242">
        <f t="shared" si="15"/>
        <v>3.5860931312120378E-5</v>
      </c>
    </row>
    <row r="967" spans="1:3" x14ac:dyDescent="0.25">
      <c r="A967" s="238">
        <v>38294</v>
      </c>
      <c r="B967" s="239">
        <v>1692.22</v>
      </c>
      <c r="C967" s="242">
        <f t="shared" si="15"/>
        <v>1.1327222359559588E-2</v>
      </c>
    </row>
    <row r="968" spans="1:3" x14ac:dyDescent="0.25">
      <c r="A968" s="238">
        <v>38295</v>
      </c>
      <c r="B968" s="239">
        <v>1719.64</v>
      </c>
      <c r="C968" s="242">
        <f t="shared" si="15"/>
        <v>1.6073690220639193E-2</v>
      </c>
    </row>
    <row r="969" spans="1:3" x14ac:dyDescent="0.25">
      <c r="A969" s="238">
        <v>38296</v>
      </c>
      <c r="B969" s="239">
        <v>1726.3400000000001</v>
      </c>
      <c r="C969" s="242">
        <f t="shared" si="15"/>
        <v>3.8885939225689337E-3</v>
      </c>
    </row>
    <row r="970" spans="1:3" x14ac:dyDescent="0.25">
      <c r="A970" s="238">
        <v>38299</v>
      </c>
      <c r="B970" s="239">
        <v>1724.5900000000001</v>
      </c>
      <c r="C970" s="242">
        <f t="shared" si="15"/>
        <v>-1.0142194423010983E-3</v>
      </c>
    </row>
    <row r="971" spans="1:3" x14ac:dyDescent="0.25">
      <c r="A971" s="238">
        <v>38300</v>
      </c>
      <c r="B971" s="239">
        <v>1724.08</v>
      </c>
      <c r="C971" s="242">
        <f t="shared" si="15"/>
        <v>-2.9576619608026014E-4</v>
      </c>
    </row>
    <row r="972" spans="1:3" x14ac:dyDescent="0.25">
      <c r="A972" s="238">
        <v>38301</v>
      </c>
      <c r="B972" s="239">
        <v>1722.67</v>
      </c>
      <c r="C972" s="242">
        <f t="shared" si="15"/>
        <v>-8.1816208234017764E-4</v>
      </c>
    </row>
    <row r="973" spans="1:3" x14ac:dyDescent="0.25">
      <c r="A973" s="238">
        <v>38302</v>
      </c>
      <c r="B973" s="239">
        <v>1738.32</v>
      </c>
      <c r="C973" s="242">
        <f t="shared" si="15"/>
        <v>9.0437167782040327E-3</v>
      </c>
    </row>
    <row r="974" spans="1:3" x14ac:dyDescent="0.25">
      <c r="A974" s="238">
        <v>38303</v>
      </c>
      <c r="B974" s="239">
        <v>1754.33</v>
      </c>
      <c r="C974" s="242">
        <f t="shared" si="15"/>
        <v>9.1678880716820847E-3</v>
      </c>
    </row>
    <row r="975" spans="1:3" x14ac:dyDescent="0.25">
      <c r="A975" s="238">
        <v>38306</v>
      </c>
      <c r="B975" s="239">
        <v>1753.99</v>
      </c>
      <c r="C975" s="242">
        <f t="shared" si="15"/>
        <v>-1.9382496526218728E-4</v>
      </c>
    </row>
    <row r="976" spans="1:3" x14ac:dyDescent="0.25">
      <c r="A976" s="238">
        <v>38307</v>
      </c>
      <c r="B976" s="239">
        <v>1741.72</v>
      </c>
      <c r="C976" s="242">
        <f t="shared" si="15"/>
        <v>-7.0200619559728714E-3</v>
      </c>
    </row>
    <row r="977" spans="1:3" x14ac:dyDescent="0.25">
      <c r="A977" s="238">
        <v>38308</v>
      </c>
      <c r="B977" s="239">
        <v>1751.57</v>
      </c>
      <c r="C977" s="242">
        <f t="shared" si="15"/>
        <v>5.6393978769534768E-3</v>
      </c>
    </row>
    <row r="978" spans="1:3" x14ac:dyDescent="0.25">
      <c r="A978" s="238">
        <v>38309</v>
      </c>
      <c r="B978" s="239">
        <v>1753.97</v>
      </c>
      <c r="C978" s="242">
        <f t="shared" si="15"/>
        <v>1.369261440448755E-3</v>
      </c>
    </row>
    <row r="979" spans="1:3" x14ac:dyDescent="0.25">
      <c r="A979" s="238">
        <v>38310</v>
      </c>
      <c r="B979" s="239">
        <v>1734.45</v>
      </c>
      <c r="C979" s="242">
        <f t="shared" si="15"/>
        <v>-1.1191429779949066E-2</v>
      </c>
    </row>
    <row r="980" spans="1:3" x14ac:dyDescent="0.25">
      <c r="A980" s="238">
        <v>38313</v>
      </c>
      <c r="B980" s="239">
        <v>1744.71</v>
      </c>
      <c r="C980" s="242">
        <f t="shared" si="15"/>
        <v>5.8979924707586347E-3</v>
      </c>
    </row>
    <row r="981" spans="1:3" x14ac:dyDescent="0.25">
      <c r="A981" s="238">
        <v>38314</v>
      </c>
      <c r="B981" s="239">
        <v>1744.31</v>
      </c>
      <c r="C981" s="242">
        <f t="shared" si="15"/>
        <v>-2.292907474032868E-4</v>
      </c>
    </row>
    <row r="982" spans="1:3" x14ac:dyDescent="0.25">
      <c r="A982" s="238">
        <v>38315</v>
      </c>
      <c r="B982" s="239">
        <v>1751.55</v>
      </c>
      <c r="C982" s="242">
        <f t="shared" si="15"/>
        <v>4.1420482233976829E-3</v>
      </c>
    </row>
    <row r="983" spans="1:3" x14ac:dyDescent="0.25">
      <c r="A983" s="238">
        <v>38317</v>
      </c>
      <c r="B983" s="239">
        <v>1753.0900000000001</v>
      </c>
      <c r="C983" s="242">
        <f t="shared" si="15"/>
        <v>8.7883497256127142E-4</v>
      </c>
    </row>
    <row r="984" spans="1:3" x14ac:dyDescent="0.25">
      <c r="A984" s="238">
        <v>38320</v>
      </c>
      <c r="B984" s="239">
        <v>1747.3400000000001</v>
      </c>
      <c r="C984" s="242">
        <f t="shared" si="15"/>
        <v>-3.2853136167738306E-3</v>
      </c>
    </row>
    <row r="985" spans="1:3" x14ac:dyDescent="0.25">
      <c r="A985" s="238">
        <v>38321</v>
      </c>
      <c r="B985" s="239">
        <v>1740.33</v>
      </c>
      <c r="C985" s="242">
        <f t="shared" si="15"/>
        <v>-4.0198811469011678E-3</v>
      </c>
    </row>
    <row r="986" spans="1:3" x14ac:dyDescent="0.25">
      <c r="A986" s="238">
        <v>38322</v>
      </c>
      <c r="B986" s="239">
        <v>1766.9</v>
      </c>
      <c r="C986" s="242">
        <f t="shared" si="15"/>
        <v>1.5151848223884535E-2</v>
      </c>
    </row>
    <row r="987" spans="1:3" x14ac:dyDescent="0.25">
      <c r="A987" s="238">
        <v>38323</v>
      </c>
      <c r="B987" s="239">
        <v>1765.3700000000001</v>
      </c>
      <c r="C987" s="242">
        <f t="shared" si="15"/>
        <v>-8.6629849682233104E-4</v>
      </c>
    </row>
    <row r="988" spans="1:3" x14ac:dyDescent="0.25">
      <c r="A988" s="238">
        <v>38324</v>
      </c>
      <c r="B988" s="239">
        <v>1766.63</v>
      </c>
      <c r="C988" s="242">
        <f t="shared" si="15"/>
        <v>7.1347681395819446E-4</v>
      </c>
    </row>
    <row r="989" spans="1:3" x14ac:dyDescent="0.25">
      <c r="A989" s="238">
        <v>38327</v>
      </c>
      <c r="B989" s="239">
        <v>1765.33</v>
      </c>
      <c r="C989" s="242">
        <f t="shared" si="15"/>
        <v>-7.3613521031125383E-4</v>
      </c>
    </row>
    <row r="990" spans="1:3" x14ac:dyDescent="0.25">
      <c r="A990" s="238">
        <v>38328</v>
      </c>
      <c r="B990" s="239">
        <v>1745.83</v>
      </c>
      <c r="C990" s="242">
        <f t="shared" si="15"/>
        <v>-1.1107554476844301E-2</v>
      </c>
    </row>
    <row r="991" spans="1:3" x14ac:dyDescent="0.25">
      <c r="A991" s="238">
        <v>38329</v>
      </c>
      <c r="B991" s="239">
        <v>1754.75</v>
      </c>
      <c r="C991" s="242">
        <f t="shared" si="15"/>
        <v>5.096309357946035E-3</v>
      </c>
    </row>
    <row r="992" spans="1:3" x14ac:dyDescent="0.25">
      <c r="A992" s="238">
        <v>38330</v>
      </c>
      <c r="B992" s="239">
        <v>1764.3500000000001</v>
      </c>
      <c r="C992" s="242">
        <f t="shared" si="15"/>
        <v>5.4559539734223995E-3</v>
      </c>
    </row>
    <row r="993" spans="1:3" x14ac:dyDescent="0.25">
      <c r="A993" s="238">
        <v>38331</v>
      </c>
      <c r="B993" s="239">
        <v>1762.51</v>
      </c>
      <c r="C993" s="242">
        <f t="shared" si="15"/>
        <v>-1.0434211547600129E-3</v>
      </c>
    </row>
    <row r="994" spans="1:3" x14ac:dyDescent="0.25">
      <c r="A994" s="238">
        <v>38334</v>
      </c>
      <c r="B994" s="239">
        <v>1778.54</v>
      </c>
      <c r="C994" s="242">
        <f t="shared" si="15"/>
        <v>9.0538735694879174E-3</v>
      </c>
    </row>
    <row r="995" spans="1:3" x14ac:dyDescent="0.25">
      <c r="A995" s="238">
        <v>38335</v>
      </c>
      <c r="B995" s="239">
        <v>1785.51</v>
      </c>
      <c r="C995" s="242">
        <f t="shared" si="15"/>
        <v>3.9112856922190759E-3</v>
      </c>
    </row>
    <row r="996" spans="1:3" x14ac:dyDescent="0.25">
      <c r="A996" s="238">
        <v>38336</v>
      </c>
      <c r="B996" s="239">
        <v>1789.14</v>
      </c>
      <c r="C996" s="242">
        <f t="shared" si="15"/>
        <v>2.0309687649209276E-3</v>
      </c>
    </row>
    <row r="997" spans="1:3" x14ac:dyDescent="0.25">
      <c r="A997" s="238">
        <v>38337</v>
      </c>
      <c r="B997" s="239">
        <v>1785.51</v>
      </c>
      <c r="C997" s="242">
        <f t="shared" si="15"/>
        <v>-2.0309687649209597E-3</v>
      </c>
    </row>
    <row r="998" spans="1:3" x14ac:dyDescent="0.25">
      <c r="A998" s="238">
        <v>38338</v>
      </c>
      <c r="B998" s="239">
        <v>1772.19</v>
      </c>
      <c r="C998" s="242">
        <f t="shared" si="15"/>
        <v>-7.4880187976018612E-3</v>
      </c>
    </row>
    <row r="999" spans="1:3" x14ac:dyDescent="0.25">
      <c r="A999" s="238">
        <v>38341</v>
      </c>
      <c r="B999" s="239">
        <v>1772.8700000000001</v>
      </c>
      <c r="C999" s="242">
        <f t="shared" si="15"/>
        <v>3.8363243969914012E-4</v>
      </c>
    </row>
    <row r="1000" spans="1:3" x14ac:dyDescent="0.25">
      <c r="A1000" s="238">
        <v>38342</v>
      </c>
      <c r="B1000" s="239">
        <v>1788.93</v>
      </c>
      <c r="C1000" s="242">
        <f t="shared" si="15"/>
        <v>9.0179734057297505E-3</v>
      </c>
    </row>
    <row r="1001" spans="1:3" x14ac:dyDescent="0.25">
      <c r="A1001" s="238">
        <v>38343</v>
      </c>
      <c r="B1001" s="239">
        <v>1795.66</v>
      </c>
      <c r="C1001" s="242">
        <f t="shared" si="15"/>
        <v>3.754966625260747E-3</v>
      </c>
    </row>
    <row r="1002" spans="1:3" x14ac:dyDescent="0.25">
      <c r="A1002" s="238">
        <v>38344</v>
      </c>
      <c r="B1002" s="239">
        <v>1796.49</v>
      </c>
      <c r="C1002" s="242">
        <f t="shared" si="15"/>
        <v>4.6211879502293683E-4</v>
      </c>
    </row>
    <row r="1003" spans="1:3" x14ac:dyDescent="0.25">
      <c r="A1003" s="238">
        <v>38348</v>
      </c>
      <c r="B1003" s="239">
        <v>1788.76</v>
      </c>
      <c r="C1003" s="242">
        <f t="shared" si="15"/>
        <v>-4.3121188078201894E-3</v>
      </c>
    </row>
    <row r="1004" spans="1:3" x14ac:dyDescent="0.25">
      <c r="A1004" s="238">
        <v>38349</v>
      </c>
      <c r="B1004" s="239">
        <v>1801.58</v>
      </c>
      <c r="C1004" s="242">
        <f t="shared" si="15"/>
        <v>7.1414152892223543E-3</v>
      </c>
    </row>
    <row r="1005" spans="1:3" x14ac:dyDescent="0.25">
      <c r="A1005" s="238">
        <v>38350</v>
      </c>
      <c r="B1005" s="239">
        <v>1801.71</v>
      </c>
      <c r="C1005" s="242">
        <f t="shared" si="15"/>
        <v>7.2156279431631498E-5</v>
      </c>
    </row>
    <row r="1006" spans="1:3" x14ac:dyDescent="0.25">
      <c r="A1006" s="238">
        <v>38351</v>
      </c>
      <c r="B1006" s="239">
        <v>1801.98</v>
      </c>
      <c r="C1006" s="242">
        <f t="shared" si="15"/>
        <v>1.4984640771280596E-4</v>
      </c>
    </row>
    <row r="1007" spans="1:3" x14ac:dyDescent="0.25">
      <c r="A1007" s="238">
        <v>38352</v>
      </c>
      <c r="B1007" s="239">
        <v>1799.55</v>
      </c>
      <c r="C1007" s="242">
        <f t="shared" si="15"/>
        <v>-1.3494266985103593E-3</v>
      </c>
    </row>
    <row r="1008" spans="1:3" x14ac:dyDescent="0.25">
      <c r="A1008" s="238">
        <v>38355</v>
      </c>
      <c r="B1008" s="239">
        <v>1784.96</v>
      </c>
      <c r="C1008" s="242">
        <f t="shared" si="15"/>
        <v>-8.1406276299772311E-3</v>
      </c>
    </row>
    <row r="1009" spans="1:3" x14ac:dyDescent="0.25">
      <c r="A1009" s="238">
        <v>38356</v>
      </c>
      <c r="B1009" s="239">
        <v>1764.3</v>
      </c>
      <c r="C1009" s="242">
        <f t="shared" si="15"/>
        <v>-1.1641994865049545E-2</v>
      </c>
    </row>
    <row r="1010" spans="1:3" x14ac:dyDescent="0.25">
      <c r="A1010" s="238">
        <v>38357</v>
      </c>
      <c r="B1010" s="239">
        <v>1758.07</v>
      </c>
      <c r="C1010" s="242">
        <f t="shared" si="15"/>
        <v>-3.5373947066406021E-3</v>
      </c>
    </row>
    <row r="1011" spans="1:3" x14ac:dyDescent="0.25">
      <c r="A1011" s="238">
        <v>38358</v>
      </c>
      <c r="B1011" s="239">
        <v>1764.63</v>
      </c>
      <c r="C1011" s="242">
        <f t="shared" si="15"/>
        <v>3.7244202361705783E-3</v>
      </c>
    </row>
    <row r="1012" spans="1:3" x14ac:dyDescent="0.25">
      <c r="A1012" s="238">
        <v>38359</v>
      </c>
      <c r="B1012" s="239">
        <v>1762.1200000000001</v>
      </c>
      <c r="C1012" s="242">
        <f t="shared" si="15"/>
        <v>-1.42340705963846E-3</v>
      </c>
    </row>
    <row r="1013" spans="1:3" x14ac:dyDescent="0.25">
      <c r="A1013" s="238">
        <v>38362</v>
      </c>
      <c r="B1013" s="239">
        <v>1768.17</v>
      </c>
      <c r="C1013" s="242">
        <f t="shared" si="15"/>
        <v>3.4274838173464577E-3</v>
      </c>
    </row>
    <row r="1014" spans="1:3" x14ac:dyDescent="0.25">
      <c r="A1014" s="238">
        <v>38363</v>
      </c>
      <c r="B1014" s="239">
        <v>1757.51</v>
      </c>
      <c r="C1014" s="242">
        <f t="shared" si="15"/>
        <v>-6.0470788521985374E-3</v>
      </c>
    </row>
    <row r="1015" spans="1:3" x14ac:dyDescent="0.25">
      <c r="A1015" s="238">
        <v>38364</v>
      </c>
      <c r="B1015" s="239">
        <v>1764.72</v>
      </c>
      <c r="C1015" s="242">
        <f t="shared" si="15"/>
        <v>4.0940029870172017E-3</v>
      </c>
    </row>
    <row r="1016" spans="1:3" x14ac:dyDescent="0.25">
      <c r="A1016" s="238">
        <v>38365</v>
      </c>
      <c r="B1016" s="239">
        <v>1749.48</v>
      </c>
      <c r="C1016" s="242">
        <f t="shared" si="15"/>
        <v>-8.6734366513456177E-3</v>
      </c>
    </row>
    <row r="1017" spans="1:3" x14ac:dyDescent="0.25">
      <c r="A1017" s="238">
        <v>38366</v>
      </c>
      <c r="B1017" s="239">
        <v>1759.98</v>
      </c>
      <c r="C1017" s="242">
        <f t="shared" si="15"/>
        <v>5.9838444265363682E-3</v>
      </c>
    </row>
    <row r="1018" spans="1:3" x14ac:dyDescent="0.25">
      <c r="A1018" s="238">
        <v>38370</v>
      </c>
      <c r="B1018" s="239">
        <v>1777.03</v>
      </c>
      <c r="C1018" s="242">
        <f t="shared" si="15"/>
        <v>9.6409860669220988E-3</v>
      </c>
    </row>
    <row r="1019" spans="1:3" x14ac:dyDescent="0.25">
      <c r="A1019" s="238">
        <v>38371</v>
      </c>
      <c r="B1019" s="239">
        <v>1760.28</v>
      </c>
      <c r="C1019" s="242">
        <f t="shared" si="15"/>
        <v>-9.4705441105176254E-3</v>
      </c>
    </row>
    <row r="1020" spans="1:3" x14ac:dyDescent="0.25">
      <c r="A1020" s="238">
        <v>38372</v>
      </c>
      <c r="B1020" s="239">
        <v>1746.6100000000001</v>
      </c>
      <c r="C1020" s="242">
        <f t="shared" si="15"/>
        <v>-7.7961209150624131E-3</v>
      </c>
    </row>
    <row r="1021" spans="1:3" x14ac:dyDescent="0.25">
      <c r="A1021" s="238">
        <v>38373</v>
      </c>
      <c r="B1021" s="239">
        <v>1735.42</v>
      </c>
      <c r="C1021" s="242">
        <f t="shared" si="15"/>
        <v>-6.4273073591034685E-3</v>
      </c>
    </row>
    <row r="1022" spans="1:3" x14ac:dyDescent="0.25">
      <c r="A1022" s="238">
        <v>38376</v>
      </c>
      <c r="B1022" s="239">
        <v>1729.33</v>
      </c>
      <c r="C1022" s="242">
        <f t="shared" si="15"/>
        <v>-3.5154087721965808E-3</v>
      </c>
    </row>
    <row r="1023" spans="1:3" x14ac:dyDescent="0.25">
      <c r="A1023" s="238">
        <v>38377</v>
      </c>
      <c r="B1023" s="239">
        <v>1736.25</v>
      </c>
      <c r="C1023" s="242">
        <f t="shared" si="15"/>
        <v>3.9935648272441775E-3</v>
      </c>
    </row>
    <row r="1024" spans="1:3" x14ac:dyDescent="0.25">
      <c r="A1024" s="238">
        <v>38378</v>
      </c>
      <c r="B1024" s="239">
        <v>1744.72</v>
      </c>
      <c r="C1024" s="242">
        <f t="shared" si="15"/>
        <v>4.8664692404170838E-3</v>
      </c>
    </row>
    <row r="1025" spans="1:3" x14ac:dyDescent="0.25">
      <c r="A1025" s="238">
        <v>38379</v>
      </c>
      <c r="B1025" s="239">
        <v>1745.58</v>
      </c>
      <c r="C1025" s="242">
        <f t="shared" si="15"/>
        <v>4.9279432564754274E-4</v>
      </c>
    </row>
    <row r="1026" spans="1:3" x14ac:dyDescent="0.25">
      <c r="A1026" s="238">
        <v>38380</v>
      </c>
      <c r="B1026" s="239">
        <v>1740.96</v>
      </c>
      <c r="C1026" s="242">
        <f t="shared" si="15"/>
        <v>-2.6501934319163208E-3</v>
      </c>
    </row>
    <row r="1027" spans="1:3" x14ac:dyDescent="0.25">
      <c r="A1027" s="238">
        <v>38383</v>
      </c>
      <c r="B1027" s="239">
        <v>1755.68</v>
      </c>
      <c r="C1027" s="242">
        <f t="shared" si="15"/>
        <v>8.4195610397870043E-3</v>
      </c>
    </row>
    <row r="1028" spans="1:3" x14ac:dyDescent="0.25">
      <c r="A1028" s="238">
        <v>38384</v>
      </c>
      <c r="B1028" s="239">
        <v>1767.79</v>
      </c>
      <c r="C1028" s="242">
        <f t="shared" si="15"/>
        <v>6.8739326198581771E-3</v>
      </c>
    </row>
    <row r="1029" spans="1:3" x14ac:dyDescent="0.25">
      <c r="A1029" s="238">
        <v>38385</v>
      </c>
      <c r="B1029" s="239">
        <v>1773.63</v>
      </c>
      <c r="C1029" s="242">
        <f t="shared" ref="C1029:C1092" si="16">LN(B1029/B1028)</f>
        <v>3.2981150463634906E-3</v>
      </c>
    </row>
    <row r="1030" spans="1:3" x14ac:dyDescent="0.25">
      <c r="A1030" s="238">
        <v>38386</v>
      </c>
      <c r="B1030" s="239">
        <v>1769.26</v>
      </c>
      <c r="C1030" s="242">
        <f t="shared" si="16"/>
        <v>-2.46691385631265E-3</v>
      </c>
    </row>
    <row r="1031" spans="1:3" x14ac:dyDescent="0.25">
      <c r="A1031" s="238">
        <v>38387</v>
      </c>
      <c r="B1031" s="239">
        <v>1788.82</v>
      </c>
      <c r="C1031" s="242">
        <f t="shared" si="16"/>
        <v>1.0994804525663896E-2</v>
      </c>
    </row>
    <row r="1032" spans="1:3" x14ac:dyDescent="0.25">
      <c r="A1032" s="238">
        <v>38390</v>
      </c>
      <c r="B1032" s="239">
        <v>1786.92</v>
      </c>
      <c r="C1032" s="242">
        <f t="shared" si="16"/>
        <v>-1.0627171879479193E-3</v>
      </c>
    </row>
    <row r="1033" spans="1:3" x14ac:dyDescent="0.25">
      <c r="A1033" s="238">
        <v>38391</v>
      </c>
      <c r="B1033" s="239">
        <v>1788.16</v>
      </c>
      <c r="C1033" s="242">
        <f t="shared" si="16"/>
        <v>6.9369079837354203E-4</v>
      </c>
    </row>
    <row r="1034" spans="1:3" x14ac:dyDescent="0.25">
      <c r="A1034" s="238">
        <v>38392</v>
      </c>
      <c r="B1034" s="239">
        <v>1773.28</v>
      </c>
      <c r="C1034" s="242">
        <f t="shared" si="16"/>
        <v>-8.3562191611447831E-3</v>
      </c>
    </row>
    <row r="1035" spans="1:3" x14ac:dyDescent="0.25">
      <c r="A1035" s="238">
        <v>38393</v>
      </c>
      <c r="B1035" s="239">
        <v>1780.8</v>
      </c>
      <c r="C1035" s="242">
        <f t="shared" si="16"/>
        <v>4.2317624939375081E-3</v>
      </c>
    </row>
    <row r="1036" spans="1:3" x14ac:dyDescent="0.25">
      <c r="A1036" s="238">
        <v>38394</v>
      </c>
      <c r="B1036" s="239">
        <v>1793.54</v>
      </c>
      <c r="C1036" s="242">
        <f t="shared" si="16"/>
        <v>7.1286189623205867E-3</v>
      </c>
    </row>
    <row r="1037" spans="1:3" x14ac:dyDescent="0.25">
      <c r="A1037" s="238">
        <v>38397</v>
      </c>
      <c r="B1037" s="239">
        <v>1794.98</v>
      </c>
      <c r="C1037" s="242">
        <f t="shared" si="16"/>
        <v>8.0255931542371026E-4</v>
      </c>
    </row>
    <row r="1038" spans="1:3" x14ac:dyDescent="0.25">
      <c r="A1038" s="238">
        <v>38398</v>
      </c>
      <c r="B1038" s="239">
        <v>1801.06</v>
      </c>
      <c r="C1038" s="242">
        <f t="shared" si="16"/>
        <v>3.3815006471021457E-3</v>
      </c>
    </row>
    <row r="1039" spans="1:3" x14ac:dyDescent="0.25">
      <c r="A1039" s="238">
        <v>38399</v>
      </c>
      <c r="B1039" s="239">
        <v>1801.5900000000001</v>
      </c>
      <c r="C1039" s="242">
        <f t="shared" si="16"/>
        <v>2.9422786217013063E-4</v>
      </c>
    </row>
    <row r="1040" spans="1:3" x14ac:dyDescent="0.25">
      <c r="A1040" s="238">
        <v>38400</v>
      </c>
      <c r="B1040" s="239">
        <v>1787.41</v>
      </c>
      <c r="C1040" s="242">
        <f t="shared" si="16"/>
        <v>-7.9019636580699871E-3</v>
      </c>
    </row>
    <row r="1041" spans="1:3" x14ac:dyDescent="0.25">
      <c r="A1041" s="238">
        <v>38401</v>
      </c>
      <c r="B1041" s="239">
        <v>1788.65</v>
      </c>
      <c r="C1041" s="242">
        <f t="shared" si="16"/>
        <v>6.9350069612784113E-4</v>
      </c>
    </row>
    <row r="1042" spans="1:3" x14ac:dyDescent="0.25">
      <c r="A1042" s="238">
        <v>38405</v>
      </c>
      <c r="B1042" s="239">
        <v>1762.76</v>
      </c>
      <c r="C1042" s="242">
        <f t="shared" si="16"/>
        <v>-1.4580382809105083E-2</v>
      </c>
    </row>
    <row r="1043" spans="1:3" x14ac:dyDescent="0.25">
      <c r="A1043" s="238">
        <v>38406</v>
      </c>
      <c r="B1043" s="239">
        <v>1772.76</v>
      </c>
      <c r="C1043" s="242">
        <f t="shared" si="16"/>
        <v>5.6568915842673219E-3</v>
      </c>
    </row>
    <row r="1044" spans="1:3" x14ac:dyDescent="0.25">
      <c r="A1044" s="238">
        <v>38407</v>
      </c>
      <c r="B1044" s="239">
        <v>1787.3400000000001</v>
      </c>
      <c r="C1044" s="242">
        <f t="shared" si="16"/>
        <v>8.1908269508322272E-3</v>
      </c>
    </row>
    <row r="1045" spans="1:3" x14ac:dyDescent="0.25">
      <c r="A1045" s="238">
        <v>38408</v>
      </c>
      <c r="B1045" s="239">
        <v>1804.17</v>
      </c>
      <c r="C1045" s="242">
        <f t="shared" si="16"/>
        <v>9.3721711436371737E-3</v>
      </c>
    </row>
    <row r="1046" spans="1:3" x14ac:dyDescent="0.25">
      <c r="A1046" s="238">
        <v>38411</v>
      </c>
      <c r="B1046" s="239">
        <v>1792.63</v>
      </c>
      <c r="C1046" s="242">
        <f t="shared" si="16"/>
        <v>-6.4168369647264077E-3</v>
      </c>
    </row>
    <row r="1047" spans="1:3" x14ac:dyDescent="0.25">
      <c r="A1047" s="238">
        <v>38412</v>
      </c>
      <c r="B1047" s="239">
        <v>1802.79</v>
      </c>
      <c r="C1047" s="242">
        <f t="shared" si="16"/>
        <v>5.6516496228462059E-3</v>
      </c>
    </row>
    <row r="1048" spans="1:3" x14ac:dyDescent="0.25">
      <c r="A1048" s="238">
        <v>38413</v>
      </c>
      <c r="B1048" s="239">
        <v>1802.92</v>
      </c>
      <c r="C1048" s="242">
        <f t="shared" si="16"/>
        <v>7.2107851189697698E-5</v>
      </c>
    </row>
    <row r="1049" spans="1:3" x14ac:dyDescent="0.25">
      <c r="A1049" s="238">
        <v>38414</v>
      </c>
      <c r="B1049" s="239">
        <v>1803.51</v>
      </c>
      <c r="C1049" s="242">
        <f t="shared" si="16"/>
        <v>3.2719337697587004E-4</v>
      </c>
    </row>
    <row r="1050" spans="1:3" x14ac:dyDescent="0.25">
      <c r="A1050" s="238">
        <v>38415</v>
      </c>
      <c r="B1050" s="239">
        <v>1820.88</v>
      </c>
      <c r="C1050" s="242">
        <f t="shared" si="16"/>
        <v>9.5851345956572478E-3</v>
      </c>
    </row>
    <row r="1051" spans="1:3" x14ac:dyDescent="0.25">
      <c r="A1051" s="238">
        <v>38418</v>
      </c>
      <c r="B1051" s="239">
        <v>1825.7</v>
      </c>
      <c r="C1051" s="242">
        <f t="shared" si="16"/>
        <v>2.6435744215354364E-3</v>
      </c>
    </row>
    <row r="1052" spans="1:3" x14ac:dyDescent="0.25">
      <c r="A1052" s="238">
        <v>38419</v>
      </c>
      <c r="B1052" s="239">
        <v>1817.1200000000001</v>
      </c>
      <c r="C1052" s="242">
        <f t="shared" si="16"/>
        <v>-4.7106449761284003E-3</v>
      </c>
    </row>
    <row r="1053" spans="1:3" x14ac:dyDescent="0.25">
      <c r="A1053" s="238">
        <v>38420</v>
      </c>
      <c r="B1053" s="239">
        <v>1798.79</v>
      </c>
      <c r="C1053" s="242">
        <f t="shared" si="16"/>
        <v>-1.0138613523966758E-2</v>
      </c>
    </row>
    <row r="1054" spans="1:3" x14ac:dyDescent="0.25">
      <c r="A1054" s="238">
        <v>38421</v>
      </c>
      <c r="B1054" s="239">
        <v>1802.2</v>
      </c>
      <c r="C1054" s="242">
        <f t="shared" si="16"/>
        <v>1.8939241815674915E-3</v>
      </c>
    </row>
    <row r="1055" spans="1:3" x14ac:dyDescent="0.25">
      <c r="A1055" s="238">
        <v>38422</v>
      </c>
      <c r="B1055" s="239">
        <v>1789.01</v>
      </c>
      <c r="C1055" s="242">
        <f t="shared" si="16"/>
        <v>-7.3457465929156855E-3</v>
      </c>
    </row>
    <row r="1056" spans="1:3" x14ac:dyDescent="0.25">
      <c r="A1056" s="238">
        <v>38425</v>
      </c>
      <c r="B1056" s="239">
        <v>1799.14</v>
      </c>
      <c r="C1056" s="242">
        <f t="shared" si="16"/>
        <v>5.6463787262871499E-3</v>
      </c>
    </row>
    <row r="1057" spans="1:3" x14ac:dyDescent="0.25">
      <c r="A1057" s="238">
        <v>38426</v>
      </c>
      <c r="B1057" s="239">
        <v>1785.6100000000001</v>
      </c>
      <c r="C1057" s="242">
        <f t="shared" si="16"/>
        <v>-7.548679404575577E-3</v>
      </c>
    </row>
    <row r="1058" spans="1:3" x14ac:dyDescent="0.25">
      <c r="A1058" s="238">
        <v>38427</v>
      </c>
      <c r="B1058" s="239">
        <v>1771.3500000000001</v>
      </c>
      <c r="C1058" s="242">
        <f t="shared" si="16"/>
        <v>-8.0181258143324982E-3</v>
      </c>
    </row>
    <row r="1059" spans="1:3" x14ac:dyDescent="0.25">
      <c r="A1059" s="238">
        <v>38428</v>
      </c>
      <c r="B1059" s="239">
        <v>1774.55</v>
      </c>
      <c r="C1059" s="242">
        <f t="shared" si="16"/>
        <v>1.8049019254418259E-3</v>
      </c>
    </row>
    <row r="1060" spans="1:3" x14ac:dyDescent="0.25">
      <c r="A1060" s="238">
        <v>38429</v>
      </c>
      <c r="B1060" s="239">
        <v>1773.72</v>
      </c>
      <c r="C1060" s="242">
        <f t="shared" si="16"/>
        <v>-4.6783362886047483E-4</v>
      </c>
    </row>
    <row r="1061" spans="1:3" x14ac:dyDescent="0.25">
      <c r="A1061" s="238">
        <v>38432</v>
      </c>
      <c r="B1061" s="239">
        <v>1764.98</v>
      </c>
      <c r="C1061" s="242">
        <f t="shared" si="16"/>
        <v>-4.9396771535450959E-3</v>
      </c>
    </row>
    <row r="1062" spans="1:3" x14ac:dyDescent="0.25">
      <c r="A1062" s="238">
        <v>38433</v>
      </c>
      <c r="B1062" s="239">
        <v>1747.03</v>
      </c>
      <c r="C1062" s="242">
        <f t="shared" si="16"/>
        <v>-1.0222155576458839E-2</v>
      </c>
    </row>
    <row r="1063" spans="1:3" x14ac:dyDescent="0.25">
      <c r="A1063" s="238">
        <v>38434</v>
      </c>
      <c r="B1063" s="239">
        <v>1748.28</v>
      </c>
      <c r="C1063" s="242">
        <f t="shared" si="16"/>
        <v>7.1524417192700787E-4</v>
      </c>
    </row>
    <row r="1064" spans="1:3" x14ac:dyDescent="0.25">
      <c r="A1064" s="238">
        <v>38435</v>
      </c>
      <c r="B1064" s="239">
        <v>1746.6200000000001</v>
      </c>
      <c r="C1064" s="242">
        <f t="shared" si="16"/>
        <v>-9.4995572109872505E-4</v>
      </c>
    </row>
    <row r="1065" spans="1:3" x14ac:dyDescent="0.25">
      <c r="A1065" s="238">
        <v>38439</v>
      </c>
      <c r="B1065" s="239">
        <v>1750.88</v>
      </c>
      <c r="C1065" s="242">
        <f t="shared" si="16"/>
        <v>2.4360269373269066E-3</v>
      </c>
    </row>
    <row r="1066" spans="1:3" x14ac:dyDescent="0.25">
      <c r="A1066" s="238">
        <v>38440</v>
      </c>
      <c r="B1066" s="239">
        <v>1737.94</v>
      </c>
      <c r="C1066" s="242">
        <f t="shared" si="16"/>
        <v>-7.4180148802943779E-3</v>
      </c>
    </row>
    <row r="1067" spans="1:3" x14ac:dyDescent="0.25">
      <c r="A1067" s="238">
        <v>38441</v>
      </c>
      <c r="B1067" s="239">
        <v>1762.0900000000001</v>
      </c>
      <c r="C1067" s="242">
        <f t="shared" si="16"/>
        <v>1.3800100721924178E-2</v>
      </c>
    </row>
    <row r="1068" spans="1:3" x14ac:dyDescent="0.25">
      <c r="A1068" s="238">
        <v>38442</v>
      </c>
      <c r="B1068" s="239">
        <v>1760.89</v>
      </c>
      <c r="C1068" s="242">
        <f t="shared" si="16"/>
        <v>-6.8124147534700163E-4</v>
      </c>
    </row>
    <row r="1069" spans="1:3" x14ac:dyDescent="0.25">
      <c r="A1069" s="238">
        <v>38443</v>
      </c>
      <c r="B1069" s="239">
        <v>1749.45</v>
      </c>
      <c r="C1069" s="242">
        <f t="shared" si="16"/>
        <v>-6.5179102312471222E-3</v>
      </c>
    </row>
    <row r="1070" spans="1:3" x14ac:dyDescent="0.25">
      <c r="A1070" s="238">
        <v>38446</v>
      </c>
      <c r="B1070" s="239">
        <v>1754.43</v>
      </c>
      <c r="C1070" s="242">
        <f t="shared" si="16"/>
        <v>2.8425650155099878E-3</v>
      </c>
    </row>
    <row r="1071" spans="1:3" x14ac:dyDescent="0.25">
      <c r="A1071" s="238">
        <v>38447</v>
      </c>
      <c r="B1071" s="239">
        <v>1762.32</v>
      </c>
      <c r="C1071" s="242">
        <f t="shared" si="16"/>
        <v>4.4871049907861272E-3</v>
      </c>
    </row>
    <row r="1072" spans="1:3" x14ac:dyDescent="0.25">
      <c r="A1072" s="238">
        <v>38448</v>
      </c>
      <c r="B1072" s="239">
        <v>1766.69</v>
      </c>
      <c r="C1072" s="242">
        <f t="shared" si="16"/>
        <v>2.4766165205897788E-3</v>
      </c>
    </row>
    <row r="1073" spans="1:3" x14ac:dyDescent="0.25">
      <c r="A1073" s="238">
        <v>38449</v>
      </c>
      <c r="B1073" s="239">
        <v>1777.3500000000001</v>
      </c>
      <c r="C1073" s="242">
        <f t="shared" si="16"/>
        <v>6.0157515988043496E-3</v>
      </c>
    </row>
    <row r="1074" spans="1:3" x14ac:dyDescent="0.25">
      <c r="A1074" s="238">
        <v>38450</v>
      </c>
      <c r="B1074" s="239">
        <v>1762.52</v>
      </c>
      <c r="C1074" s="242">
        <f t="shared" si="16"/>
        <v>-8.3788877910870863E-3</v>
      </c>
    </row>
    <row r="1075" spans="1:3" x14ac:dyDescent="0.25">
      <c r="A1075" s="238">
        <v>38453</v>
      </c>
      <c r="B1075" s="239">
        <v>1762.56</v>
      </c>
      <c r="C1075" s="242">
        <f t="shared" si="16"/>
        <v>2.2694520409021388E-5</v>
      </c>
    </row>
    <row r="1076" spans="1:3" x14ac:dyDescent="0.25">
      <c r="A1076" s="238">
        <v>38454</v>
      </c>
      <c r="B1076" s="239">
        <v>1772.43</v>
      </c>
      <c r="C1076" s="242">
        <f t="shared" si="16"/>
        <v>5.5841887236675611E-3</v>
      </c>
    </row>
    <row r="1077" spans="1:3" x14ac:dyDescent="0.25">
      <c r="A1077" s="238">
        <v>38455</v>
      </c>
      <c r="B1077" s="239">
        <v>1751.77</v>
      </c>
      <c r="C1077" s="242">
        <f t="shared" si="16"/>
        <v>-1.1724781044105936E-2</v>
      </c>
    </row>
    <row r="1078" spans="1:3" x14ac:dyDescent="0.25">
      <c r="A1078" s="238">
        <v>38456</v>
      </c>
      <c r="B1078" s="239">
        <v>1734.25</v>
      </c>
      <c r="C1078" s="242">
        <f t="shared" si="16"/>
        <v>-1.0051662074331688E-2</v>
      </c>
    </row>
    <row r="1079" spans="1:3" x14ac:dyDescent="0.25">
      <c r="A1079" s="238">
        <v>38457</v>
      </c>
      <c r="B1079" s="239">
        <v>1705.26</v>
      </c>
      <c r="C1079" s="242">
        <f t="shared" si="16"/>
        <v>-1.6857451504996887E-2</v>
      </c>
    </row>
    <row r="1080" spans="1:3" x14ac:dyDescent="0.25">
      <c r="A1080" s="238">
        <v>38460</v>
      </c>
      <c r="B1080" s="239">
        <v>1710.27</v>
      </c>
      <c r="C1080" s="242">
        <f t="shared" si="16"/>
        <v>2.9336610090719487E-3</v>
      </c>
    </row>
    <row r="1081" spans="1:3" x14ac:dyDescent="0.25">
      <c r="A1081" s="238">
        <v>38461</v>
      </c>
      <c r="B1081" s="239">
        <v>1720.43</v>
      </c>
      <c r="C1081" s="242">
        <f t="shared" si="16"/>
        <v>5.9230067932204327E-3</v>
      </c>
    </row>
    <row r="1082" spans="1:3" x14ac:dyDescent="0.25">
      <c r="A1082" s="238">
        <v>38462</v>
      </c>
      <c r="B1082" s="239">
        <v>1697.74</v>
      </c>
      <c r="C1082" s="242">
        <f t="shared" si="16"/>
        <v>-1.3276304734878539E-2</v>
      </c>
    </row>
    <row r="1083" spans="1:3" x14ac:dyDescent="0.25">
      <c r="A1083" s="238">
        <v>38463</v>
      </c>
      <c r="B1083" s="239">
        <v>1731.27</v>
      </c>
      <c r="C1083" s="242">
        <f t="shared" si="16"/>
        <v>1.9557288387663539E-2</v>
      </c>
    </row>
    <row r="1084" spans="1:3" x14ac:dyDescent="0.25">
      <c r="A1084" s="238">
        <v>38464</v>
      </c>
      <c r="B1084" s="239">
        <v>1719.66</v>
      </c>
      <c r="C1084" s="242">
        <f t="shared" si="16"/>
        <v>-6.728646366760062E-3</v>
      </c>
    </row>
    <row r="1085" spans="1:3" x14ac:dyDescent="0.25">
      <c r="A1085" s="238">
        <v>38467</v>
      </c>
      <c r="B1085" s="239">
        <v>1734.56</v>
      </c>
      <c r="C1085" s="242">
        <f t="shared" si="16"/>
        <v>8.6271820642503626E-3</v>
      </c>
    </row>
    <row r="1086" spans="1:3" x14ac:dyDescent="0.25">
      <c r="A1086" s="238">
        <v>38468</v>
      </c>
      <c r="B1086" s="239">
        <v>1719.0900000000001</v>
      </c>
      <c r="C1086" s="242">
        <f t="shared" si="16"/>
        <v>-8.9586978797184316E-3</v>
      </c>
    </row>
    <row r="1087" spans="1:3" x14ac:dyDescent="0.25">
      <c r="A1087" s="238">
        <v>38469</v>
      </c>
      <c r="B1087" s="239">
        <v>1726.21</v>
      </c>
      <c r="C1087" s="242">
        <f t="shared" si="16"/>
        <v>4.1331728070008733E-3</v>
      </c>
    </row>
    <row r="1088" spans="1:3" x14ac:dyDescent="0.25">
      <c r="A1088" s="238">
        <v>38470</v>
      </c>
      <c r="B1088" s="239">
        <v>1707.13</v>
      </c>
      <c r="C1088" s="242">
        <f t="shared" si="16"/>
        <v>-1.1114655945034638E-2</v>
      </c>
    </row>
    <row r="1089" spans="1:3" x14ac:dyDescent="0.25">
      <c r="A1089" s="238">
        <v>38471</v>
      </c>
      <c r="B1089" s="239">
        <v>1727.49</v>
      </c>
      <c r="C1089" s="242">
        <f t="shared" si="16"/>
        <v>1.1855890017829409E-2</v>
      </c>
    </row>
    <row r="1090" spans="1:3" x14ac:dyDescent="0.25">
      <c r="A1090" s="238">
        <v>38474</v>
      </c>
      <c r="B1090" s="239">
        <v>1735.43</v>
      </c>
      <c r="C1090" s="242">
        <f t="shared" si="16"/>
        <v>4.5857333776990316E-3</v>
      </c>
    </row>
    <row r="1091" spans="1:3" x14ac:dyDescent="0.25">
      <c r="A1091" s="238">
        <v>38475</v>
      </c>
      <c r="B1091" s="239">
        <v>1733.95</v>
      </c>
      <c r="C1091" s="242">
        <f t="shared" si="16"/>
        <v>-8.5317842944619216E-4</v>
      </c>
    </row>
    <row r="1092" spans="1:3" x14ac:dyDescent="0.25">
      <c r="A1092" s="238">
        <v>38476</v>
      </c>
      <c r="B1092" s="239">
        <v>1755.92</v>
      </c>
      <c r="C1092" s="242">
        <f t="shared" si="16"/>
        <v>1.2590893209388955E-2</v>
      </c>
    </row>
    <row r="1093" spans="1:3" x14ac:dyDescent="0.25">
      <c r="A1093" s="238">
        <v>38477</v>
      </c>
      <c r="B1093" s="239">
        <v>1751.47</v>
      </c>
      <c r="C1093" s="242">
        <f t="shared" ref="C1093:C1156" si="17">LN(B1093/B1092)</f>
        <v>-2.5375007556971223E-3</v>
      </c>
    </row>
    <row r="1094" spans="1:3" x14ac:dyDescent="0.25">
      <c r="A1094" s="238">
        <v>38478</v>
      </c>
      <c r="B1094" s="239">
        <v>1749.65</v>
      </c>
      <c r="C1094" s="242">
        <f t="shared" si="17"/>
        <v>-1.0396674001106616E-3</v>
      </c>
    </row>
    <row r="1095" spans="1:3" x14ac:dyDescent="0.25">
      <c r="A1095" s="238">
        <v>38481</v>
      </c>
      <c r="B1095" s="239">
        <v>1760.8700000000001</v>
      </c>
      <c r="C1095" s="242">
        <f t="shared" si="17"/>
        <v>6.3922371641379891E-3</v>
      </c>
    </row>
    <row r="1096" spans="1:3" x14ac:dyDescent="0.25">
      <c r="A1096" s="238">
        <v>38482</v>
      </c>
      <c r="B1096" s="239">
        <v>1742.06</v>
      </c>
      <c r="C1096" s="242">
        <f t="shared" si="17"/>
        <v>-1.0739684090963347E-2</v>
      </c>
    </row>
    <row r="1097" spans="1:3" x14ac:dyDescent="0.25">
      <c r="A1097" s="238">
        <v>38483</v>
      </c>
      <c r="B1097" s="239">
        <v>1750.26</v>
      </c>
      <c r="C1097" s="242">
        <f t="shared" si="17"/>
        <v>4.6960273224223043E-3</v>
      </c>
    </row>
    <row r="1098" spans="1:3" x14ac:dyDescent="0.25">
      <c r="A1098" s="238">
        <v>38484</v>
      </c>
      <c r="B1098" s="239">
        <v>1732.89</v>
      </c>
      <c r="C1098" s="242">
        <f t="shared" si="17"/>
        <v>-9.9738133543776798E-3</v>
      </c>
    </row>
    <row r="1099" spans="1:3" x14ac:dyDescent="0.25">
      <c r="A1099" s="238">
        <v>38485</v>
      </c>
      <c r="B1099" s="239">
        <v>1725.15</v>
      </c>
      <c r="C1099" s="242">
        <f t="shared" si="17"/>
        <v>-4.4765317494116557E-3</v>
      </c>
    </row>
    <row r="1100" spans="1:3" x14ac:dyDescent="0.25">
      <c r="A1100" s="238">
        <v>38488</v>
      </c>
      <c r="B1100" s="239">
        <v>1742.74</v>
      </c>
      <c r="C1100" s="242">
        <f t="shared" si="17"/>
        <v>1.0144584085677753E-2</v>
      </c>
    </row>
    <row r="1101" spans="1:3" x14ac:dyDescent="0.25">
      <c r="A1101" s="238">
        <v>38489</v>
      </c>
      <c r="B1101" s="239">
        <v>1755.1000000000001</v>
      </c>
      <c r="C1101" s="242">
        <f t="shared" si="17"/>
        <v>7.067248041266622E-3</v>
      </c>
    </row>
    <row r="1102" spans="1:3" x14ac:dyDescent="0.25">
      <c r="A1102" s="238">
        <v>38490</v>
      </c>
      <c r="B1102" s="239">
        <v>1773.01</v>
      </c>
      <c r="C1102" s="242">
        <f t="shared" si="17"/>
        <v>1.0152831882582166E-2</v>
      </c>
    </row>
    <row r="1103" spans="1:3" x14ac:dyDescent="0.25">
      <c r="A1103" s="238">
        <v>38491</v>
      </c>
      <c r="B1103" s="239">
        <v>1781.28</v>
      </c>
      <c r="C1103" s="242">
        <f t="shared" si="17"/>
        <v>4.6535397641704942E-3</v>
      </c>
    </row>
    <row r="1104" spans="1:3" x14ac:dyDescent="0.25">
      <c r="A1104" s="238">
        <v>38492</v>
      </c>
      <c r="B1104" s="239">
        <v>1778.5900000000001</v>
      </c>
      <c r="C1104" s="242">
        <f t="shared" si="17"/>
        <v>-1.5112914303032901E-3</v>
      </c>
    </row>
    <row r="1105" spans="1:3" x14ac:dyDescent="0.25">
      <c r="A1105" s="238">
        <v>38495</v>
      </c>
      <c r="B1105" s="239">
        <v>1785.46</v>
      </c>
      <c r="C1105" s="242">
        <f t="shared" si="17"/>
        <v>3.8551695451427134E-3</v>
      </c>
    </row>
    <row r="1106" spans="1:3" x14ac:dyDescent="0.25">
      <c r="A1106" s="238">
        <v>38496</v>
      </c>
      <c r="B1106" s="239">
        <v>1785.79</v>
      </c>
      <c r="C1106" s="242">
        <f t="shared" si="17"/>
        <v>1.8480924098802546E-4</v>
      </c>
    </row>
    <row r="1107" spans="1:3" x14ac:dyDescent="0.25">
      <c r="A1107" s="238">
        <v>38497</v>
      </c>
      <c r="B1107" s="239">
        <v>1779.81</v>
      </c>
      <c r="C1107" s="242">
        <f t="shared" si="17"/>
        <v>-3.354277320414619E-3</v>
      </c>
    </row>
    <row r="1108" spans="1:3" x14ac:dyDescent="0.25">
      <c r="A1108" s="238">
        <v>38498</v>
      </c>
      <c r="B1108" s="239">
        <v>1791.41</v>
      </c>
      <c r="C1108" s="242">
        <f t="shared" si="17"/>
        <v>6.4964022358963607E-3</v>
      </c>
    </row>
    <row r="1109" spans="1:3" x14ac:dyDescent="0.25">
      <c r="A1109" s="238">
        <v>38499</v>
      </c>
      <c r="B1109" s="239">
        <v>1793.3400000000001</v>
      </c>
      <c r="C1109" s="242">
        <f t="shared" si="17"/>
        <v>1.0767837012234452E-3</v>
      </c>
    </row>
    <row r="1110" spans="1:3" x14ac:dyDescent="0.25">
      <c r="A1110" s="238">
        <v>38503</v>
      </c>
      <c r="B1110" s="239">
        <v>1782.46</v>
      </c>
      <c r="C1110" s="242">
        <f t="shared" si="17"/>
        <v>-6.0853703089749425E-3</v>
      </c>
    </row>
    <row r="1111" spans="1:3" x14ac:dyDescent="0.25">
      <c r="A1111" s="238">
        <v>38504</v>
      </c>
      <c r="B1111" s="239">
        <v>1799.15</v>
      </c>
      <c r="C1111" s="242">
        <f t="shared" si="17"/>
        <v>9.3198984860522107E-3</v>
      </c>
    </row>
    <row r="1112" spans="1:3" x14ac:dyDescent="0.25">
      <c r="A1112" s="238">
        <v>38505</v>
      </c>
      <c r="B1112" s="239">
        <v>1802.19</v>
      </c>
      <c r="C1112" s="242">
        <f t="shared" si="17"/>
        <v>1.6882608818144882E-3</v>
      </c>
    </row>
    <row r="1113" spans="1:3" x14ac:dyDescent="0.25">
      <c r="A1113" s="238">
        <v>38506</v>
      </c>
      <c r="B1113" s="239">
        <v>1789.83</v>
      </c>
      <c r="C1113" s="242">
        <f t="shared" si="17"/>
        <v>-6.8819487541922639E-3</v>
      </c>
    </row>
    <row r="1114" spans="1:3" x14ac:dyDescent="0.25">
      <c r="A1114" s="238">
        <v>38509</v>
      </c>
      <c r="B1114" s="239">
        <v>1792.14</v>
      </c>
      <c r="C1114" s="242">
        <f t="shared" si="17"/>
        <v>1.2897932256478555E-3</v>
      </c>
    </row>
    <row r="1115" spans="1:3" x14ac:dyDescent="0.25">
      <c r="A1115" s="238">
        <v>38510</v>
      </c>
      <c r="B1115" s="239">
        <v>1791.89</v>
      </c>
      <c r="C1115" s="242">
        <f t="shared" si="17"/>
        <v>-1.39507761042973E-4</v>
      </c>
    </row>
    <row r="1116" spans="1:3" x14ac:dyDescent="0.25">
      <c r="A1116" s="238">
        <v>38511</v>
      </c>
      <c r="B1116" s="239">
        <v>1788.3</v>
      </c>
      <c r="C1116" s="242">
        <f t="shared" si="17"/>
        <v>-2.0054808282433906E-3</v>
      </c>
    </row>
    <row r="1117" spans="1:3" x14ac:dyDescent="0.25">
      <c r="A1117" s="238">
        <v>38512</v>
      </c>
      <c r="B1117" s="239">
        <v>1797.72</v>
      </c>
      <c r="C1117" s="242">
        <f t="shared" si="17"/>
        <v>5.2537474233003466E-3</v>
      </c>
    </row>
    <row r="1118" spans="1:3" x14ac:dyDescent="0.25">
      <c r="A1118" s="238">
        <v>38513</v>
      </c>
      <c r="B1118" s="239">
        <v>1793.51</v>
      </c>
      <c r="C1118" s="242">
        <f t="shared" si="17"/>
        <v>-2.3446016705060526E-3</v>
      </c>
    </row>
    <row r="1119" spans="1:3" x14ac:dyDescent="0.25">
      <c r="A1119" s="238">
        <v>38516</v>
      </c>
      <c r="B1119" s="239">
        <v>1798.07</v>
      </c>
      <c r="C1119" s="242">
        <f t="shared" si="17"/>
        <v>2.5392737737743097E-3</v>
      </c>
    </row>
    <row r="1120" spans="1:3" x14ac:dyDescent="0.25">
      <c r="A1120" s="238">
        <v>38517</v>
      </c>
      <c r="B1120" s="239">
        <v>1802.73</v>
      </c>
      <c r="C1120" s="242">
        <f t="shared" si="17"/>
        <v>2.5883151530719079E-3</v>
      </c>
    </row>
    <row r="1121" spans="1:3" x14ac:dyDescent="0.25">
      <c r="A1121" s="238">
        <v>38518</v>
      </c>
      <c r="B1121" s="239">
        <v>1806.78</v>
      </c>
      <c r="C1121" s="242">
        <f t="shared" si="17"/>
        <v>2.2440728517741952E-3</v>
      </c>
    </row>
    <row r="1122" spans="1:3" x14ac:dyDescent="0.25">
      <c r="A1122" s="238">
        <v>38519</v>
      </c>
      <c r="B1122" s="239">
        <v>1813.3500000000001</v>
      </c>
      <c r="C1122" s="242">
        <f t="shared" si="17"/>
        <v>3.6297078907057746E-3</v>
      </c>
    </row>
    <row r="1123" spans="1:3" x14ac:dyDescent="0.25">
      <c r="A1123" s="238">
        <v>38520</v>
      </c>
      <c r="B1123" s="239">
        <v>1822.3500000000001</v>
      </c>
      <c r="C1123" s="242">
        <f t="shared" si="17"/>
        <v>4.9509136527501416E-3</v>
      </c>
    </row>
    <row r="1124" spans="1:3" x14ac:dyDescent="0.25">
      <c r="A1124" s="238">
        <v>38523</v>
      </c>
      <c r="B1124" s="239">
        <v>1821.06</v>
      </c>
      <c r="C1124" s="242">
        <f t="shared" si="17"/>
        <v>-7.0812785489724449E-4</v>
      </c>
    </row>
    <row r="1125" spans="1:3" x14ac:dyDescent="0.25">
      <c r="A1125" s="238">
        <v>38524</v>
      </c>
      <c r="B1125" s="239">
        <v>1817.3600000000001</v>
      </c>
      <c r="C1125" s="242">
        <f t="shared" si="17"/>
        <v>-2.0338505589983778E-3</v>
      </c>
    </row>
    <row r="1126" spans="1:3" x14ac:dyDescent="0.25">
      <c r="A1126" s="238">
        <v>38525</v>
      </c>
      <c r="B1126" s="239">
        <v>1817.8</v>
      </c>
      <c r="C1126" s="242">
        <f t="shared" si="17"/>
        <v>2.4208012970475127E-4</v>
      </c>
    </row>
    <row r="1127" spans="1:3" x14ac:dyDescent="0.25">
      <c r="A1127" s="238">
        <v>38526</v>
      </c>
      <c r="B1127" s="239">
        <v>1798.49</v>
      </c>
      <c r="C1127" s="242">
        <f t="shared" si="17"/>
        <v>-1.0679554753495727E-2</v>
      </c>
    </row>
    <row r="1128" spans="1:3" x14ac:dyDescent="0.25">
      <c r="A1128" s="238">
        <v>38527</v>
      </c>
      <c r="B1128" s="239">
        <v>1784.77</v>
      </c>
      <c r="C1128" s="242">
        <f t="shared" si="17"/>
        <v>-7.6578685601240105E-3</v>
      </c>
    </row>
    <row r="1129" spans="1:3" x14ac:dyDescent="0.25">
      <c r="A1129" s="238">
        <v>38530</v>
      </c>
      <c r="B1129" s="239">
        <v>1783.45</v>
      </c>
      <c r="C1129" s="242">
        <f t="shared" si="17"/>
        <v>-7.3986472819156642E-4</v>
      </c>
    </row>
    <row r="1130" spans="1:3" x14ac:dyDescent="0.25">
      <c r="A1130" s="238">
        <v>38531</v>
      </c>
      <c r="B1130" s="239">
        <v>1800.07</v>
      </c>
      <c r="C1130" s="242">
        <f t="shared" si="17"/>
        <v>9.2758623741330901E-3</v>
      </c>
    </row>
    <row r="1131" spans="1:3" x14ac:dyDescent="0.25">
      <c r="A1131" s="238">
        <v>38532</v>
      </c>
      <c r="B1131" s="239">
        <v>1797.73</v>
      </c>
      <c r="C1131" s="242">
        <f t="shared" si="17"/>
        <v>-1.3007951136544897E-3</v>
      </c>
    </row>
    <row r="1132" spans="1:3" x14ac:dyDescent="0.25">
      <c r="A1132" s="238">
        <v>38533</v>
      </c>
      <c r="B1132" s="239">
        <v>1784.99</v>
      </c>
      <c r="C1132" s="242">
        <f t="shared" si="17"/>
        <v>-7.1119449461866015E-3</v>
      </c>
    </row>
    <row r="1133" spans="1:3" x14ac:dyDescent="0.25">
      <c r="A1133" s="238">
        <v>38534</v>
      </c>
      <c r="B1133" s="239">
        <v>1789.8500000000001</v>
      </c>
      <c r="C1133" s="242">
        <f t="shared" si="17"/>
        <v>2.7190044836460873E-3</v>
      </c>
    </row>
    <row r="1134" spans="1:3" x14ac:dyDescent="0.25">
      <c r="A1134" s="238">
        <v>38538</v>
      </c>
      <c r="B1134" s="239">
        <v>1805.68</v>
      </c>
      <c r="C1134" s="242">
        <f t="shared" si="17"/>
        <v>8.8054346827045188E-3</v>
      </c>
    </row>
    <row r="1135" spans="1:3" x14ac:dyDescent="0.25">
      <c r="A1135" s="238">
        <v>38539</v>
      </c>
      <c r="B1135" s="239">
        <v>1791.05</v>
      </c>
      <c r="C1135" s="242">
        <f t="shared" si="17"/>
        <v>-8.1352120878709997E-3</v>
      </c>
    </row>
    <row r="1136" spans="1:3" x14ac:dyDescent="0.25">
      <c r="A1136" s="238">
        <v>38540</v>
      </c>
      <c r="B1136" s="239">
        <v>1795.55</v>
      </c>
      <c r="C1136" s="242">
        <f t="shared" si="17"/>
        <v>2.5093416390443344E-3</v>
      </c>
    </row>
    <row r="1137" spans="1:3" x14ac:dyDescent="0.25">
      <c r="A1137" s="238">
        <v>38541</v>
      </c>
      <c r="B1137" s="239">
        <v>1816.52</v>
      </c>
      <c r="C1137" s="242">
        <f t="shared" si="17"/>
        <v>1.161120111039118E-2</v>
      </c>
    </row>
    <row r="1138" spans="1:3" x14ac:dyDescent="0.25">
      <c r="A1138" s="238">
        <v>38544</v>
      </c>
      <c r="B1138" s="239">
        <v>1827.91</v>
      </c>
      <c r="C1138" s="242">
        <f t="shared" si="17"/>
        <v>6.2506548813226074E-3</v>
      </c>
    </row>
    <row r="1139" spans="1:3" x14ac:dyDescent="0.25">
      <c r="A1139" s="238">
        <v>38545</v>
      </c>
      <c r="B1139" s="239">
        <v>1832.15</v>
      </c>
      <c r="C1139" s="242">
        <f t="shared" si="17"/>
        <v>2.3169029451468324E-3</v>
      </c>
    </row>
    <row r="1140" spans="1:3" x14ac:dyDescent="0.25">
      <c r="A1140" s="238">
        <v>38546</v>
      </c>
      <c r="B1140" s="239">
        <v>1833.98</v>
      </c>
      <c r="C1140" s="242">
        <f t="shared" si="17"/>
        <v>9.9832802000502405E-4</v>
      </c>
    </row>
    <row r="1141" spans="1:3" x14ac:dyDescent="0.25">
      <c r="A1141" s="238">
        <v>38547</v>
      </c>
      <c r="B1141" s="239">
        <v>1838.8</v>
      </c>
      <c r="C1141" s="242">
        <f t="shared" si="17"/>
        <v>2.6247163005329714E-3</v>
      </c>
    </row>
    <row r="1142" spans="1:3" x14ac:dyDescent="0.25">
      <c r="A1142" s="238">
        <v>38548</v>
      </c>
      <c r="B1142" s="239">
        <v>1840.93</v>
      </c>
      <c r="C1142" s="242">
        <f t="shared" si="17"/>
        <v>1.1576937644313084E-3</v>
      </c>
    </row>
    <row r="1143" spans="1:3" x14ac:dyDescent="0.25">
      <c r="A1143" s="238">
        <v>38551</v>
      </c>
      <c r="B1143" s="239">
        <v>1830.75</v>
      </c>
      <c r="C1143" s="242">
        <f t="shared" si="17"/>
        <v>-5.5451597553249849E-3</v>
      </c>
    </row>
    <row r="1144" spans="1:3" x14ac:dyDescent="0.25">
      <c r="A1144" s="238">
        <v>38552</v>
      </c>
      <c r="B1144" s="239">
        <v>1843.07</v>
      </c>
      <c r="C1144" s="242">
        <f t="shared" si="17"/>
        <v>6.7069405591809695E-3</v>
      </c>
    </row>
    <row r="1145" spans="1:3" x14ac:dyDescent="0.25">
      <c r="A1145" s="238">
        <v>38553</v>
      </c>
      <c r="B1145" s="239">
        <v>1852.02</v>
      </c>
      <c r="C1145" s="242">
        <f t="shared" si="17"/>
        <v>4.8442757835233793E-3</v>
      </c>
    </row>
    <row r="1146" spans="1:3" x14ac:dyDescent="0.25">
      <c r="A1146" s="238">
        <v>38554</v>
      </c>
      <c r="B1146" s="239">
        <v>1839.8</v>
      </c>
      <c r="C1146" s="242">
        <f t="shared" si="17"/>
        <v>-6.6200652408267106E-3</v>
      </c>
    </row>
    <row r="1147" spans="1:3" x14ac:dyDescent="0.25">
      <c r="A1147" s="238">
        <v>38555</v>
      </c>
      <c r="B1147" s="239">
        <v>1849.81</v>
      </c>
      <c r="C1147" s="242">
        <f t="shared" si="17"/>
        <v>5.4260610523271342E-3</v>
      </c>
    </row>
    <row r="1148" spans="1:3" x14ac:dyDescent="0.25">
      <c r="A1148" s="238">
        <v>38558</v>
      </c>
      <c r="B1148" s="239">
        <v>1842.8400000000001</v>
      </c>
      <c r="C1148" s="242">
        <f t="shared" si="17"/>
        <v>-3.7750711697821528E-3</v>
      </c>
    </row>
    <row r="1149" spans="1:3" x14ac:dyDescent="0.25">
      <c r="A1149" s="238">
        <v>38559</v>
      </c>
      <c r="B1149" s="239">
        <v>1846.04</v>
      </c>
      <c r="C1149" s="242">
        <f t="shared" si="17"/>
        <v>1.7349443748101733E-3</v>
      </c>
    </row>
    <row r="1150" spans="1:3" x14ac:dyDescent="0.25">
      <c r="A1150" s="238">
        <v>38560</v>
      </c>
      <c r="B1150" s="239">
        <v>1854.72</v>
      </c>
      <c r="C1150" s="242">
        <f t="shared" si="17"/>
        <v>4.6909369517960037E-3</v>
      </c>
    </row>
    <row r="1151" spans="1:3" x14ac:dyDescent="0.25">
      <c r="A1151" s="238">
        <v>38561</v>
      </c>
      <c r="B1151" s="239">
        <v>1865.64</v>
      </c>
      <c r="C1151" s="242">
        <f t="shared" si="17"/>
        <v>5.8704164974416224E-3</v>
      </c>
    </row>
    <row r="1152" spans="1:3" x14ac:dyDescent="0.25">
      <c r="A1152" s="238">
        <v>38562</v>
      </c>
      <c r="B1152" s="239">
        <v>1851.3700000000001</v>
      </c>
      <c r="C1152" s="242">
        <f t="shared" si="17"/>
        <v>-7.6782522015889825E-3</v>
      </c>
    </row>
    <row r="1153" spans="1:3" x14ac:dyDescent="0.25">
      <c r="A1153" s="238">
        <v>38565</v>
      </c>
      <c r="B1153" s="239">
        <v>1853.13</v>
      </c>
      <c r="C1153" s="242">
        <f t="shared" si="17"/>
        <v>9.5019577941485745E-4</v>
      </c>
    </row>
    <row r="1154" spans="1:3" x14ac:dyDescent="0.25">
      <c r="A1154" s="238">
        <v>38566</v>
      </c>
      <c r="B1154" s="239">
        <v>1866.28</v>
      </c>
      <c r="C1154" s="242">
        <f t="shared" si="17"/>
        <v>7.0710434134675301E-3</v>
      </c>
    </row>
    <row r="1155" spans="1:3" x14ac:dyDescent="0.25">
      <c r="A1155" s="238">
        <v>38567</v>
      </c>
      <c r="B1155" s="239">
        <v>1868.06</v>
      </c>
      <c r="C1155" s="242">
        <f t="shared" si="17"/>
        <v>9.5331444635815955E-4</v>
      </c>
    </row>
    <row r="1156" spans="1:3" x14ac:dyDescent="0.25">
      <c r="A1156" s="238">
        <v>38568</v>
      </c>
      <c r="B1156" s="239">
        <v>1854.3</v>
      </c>
      <c r="C1156" s="242">
        <f t="shared" si="17"/>
        <v>-7.3931928539640503E-3</v>
      </c>
    </row>
    <row r="1157" spans="1:3" x14ac:dyDescent="0.25">
      <c r="A1157" s="238">
        <v>38569</v>
      </c>
      <c r="B1157" s="239">
        <v>1840.19</v>
      </c>
      <c r="C1157" s="242">
        <f t="shared" ref="C1157:C1220" si="18">LN(B1157/B1156)</f>
        <v>-7.6384391917773695E-3</v>
      </c>
    </row>
    <row r="1158" spans="1:3" x14ac:dyDescent="0.25">
      <c r="A1158" s="238">
        <v>38572</v>
      </c>
      <c r="B1158" s="239">
        <v>1835.3700000000001</v>
      </c>
      <c r="C1158" s="242">
        <f t="shared" si="18"/>
        <v>-2.6227311010847249E-3</v>
      </c>
    </row>
    <row r="1159" spans="1:3" x14ac:dyDescent="0.25">
      <c r="A1159" s="238">
        <v>38573</v>
      </c>
      <c r="B1159" s="239">
        <v>1847.76</v>
      </c>
      <c r="C1159" s="242">
        <f t="shared" si="18"/>
        <v>6.7279985974285474E-3</v>
      </c>
    </row>
    <row r="1160" spans="1:3" x14ac:dyDescent="0.25">
      <c r="A1160" s="238">
        <v>38574</v>
      </c>
      <c r="B1160" s="239">
        <v>1845.16</v>
      </c>
      <c r="C1160" s="242">
        <f t="shared" si="18"/>
        <v>-1.4081000561045173E-3</v>
      </c>
    </row>
    <row r="1161" spans="1:3" x14ac:dyDescent="0.25">
      <c r="A1161" s="238">
        <v>38575</v>
      </c>
      <c r="B1161" s="239">
        <v>1858.43</v>
      </c>
      <c r="C1161" s="242">
        <f t="shared" si="18"/>
        <v>7.1660506627443396E-3</v>
      </c>
    </row>
    <row r="1162" spans="1:3" x14ac:dyDescent="0.25">
      <c r="A1162" s="238">
        <v>38576</v>
      </c>
      <c r="B1162" s="239">
        <v>1847.31</v>
      </c>
      <c r="C1162" s="242">
        <f t="shared" si="18"/>
        <v>-6.0015183886978863E-3</v>
      </c>
    </row>
    <row r="1163" spans="1:3" x14ac:dyDescent="0.25">
      <c r="A1163" s="238">
        <v>38579</v>
      </c>
      <c r="B1163" s="239">
        <v>1852.78</v>
      </c>
      <c r="C1163" s="242">
        <f t="shared" si="18"/>
        <v>2.9566869913399954E-3</v>
      </c>
    </row>
    <row r="1164" spans="1:3" x14ac:dyDescent="0.25">
      <c r="A1164" s="238">
        <v>38580</v>
      </c>
      <c r="B1164" s="239">
        <v>1830.98</v>
      </c>
      <c r="C1164" s="242">
        <f t="shared" si="18"/>
        <v>-1.1835871225231283E-2</v>
      </c>
    </row>
    <row r="1165" spans="1:3" x14ac:dyDescent="0.25">
      <c r="A1165" s="238">
        <v>38581</v>
      </c>
      <c r="B1165" s="239">
        <v>1832.82</v>
      </c>
      <c r="C1165" s="242">
        <f t="shared" si="18"/>
        <v>1.0044217231793137E-3</v>
      </c>
    </row>
    <row r="1166" spans="1:3" x14ac:dyDescent="0.25">
      <c r="A1166" s="238">
        <v>38582</v>
      </c>
      <c r="B1166" s="239">
        <v>1831.0900000000001</v>
      </c>
      <c r="C1166" s="242">
        <f t="shared" si="18"/>
        <v>-9.4434641056474105E-4</v>
      </c>
    </row>
    <row r="1167" spans="1:3" x14ac:dyDescent="0.25">
      <c r="A1167" s="238">
        <v>38583</v>
      </c>
      <c r="B1167" s="239">
        <v>1832.29</v>
      </c>
      <c r="C1167" s="242">
        <f t="shared" si="18"/>
        <v>6.5513271509891097E-4</v>
      </c>
    </row>
    <row r="1168" spans="1:3" x14ac:dyDescent="0.25">
      <c r="A1168" s="238">
        <v>38586</v>
      </c>
      <c r="B1168" s="239">
        <v>1835.32</v>
      </c>
      <c r="C1168" s="242">
        <f t="shared" si="18"/>
        <v>1.6523025563520933E-3</v>
      </c>
    </row>
    <row r="1169" spans="1:3" x14ac:dyDescent="0.25">
      <c r="A1169" s="238">
        <v>38587</v>
      </c>
      <c r="B1169" s="239">
        <v>1829.1100000000001</v>
      </c>
      <c r="C1169" s="242">
        <f t="shared" si="18"/>
        <v>-3.389343469438423E-3</v>
      </c>
    </row>
    <row r="1170" spans="1:3" x14ac:dyDescent="0.25">
      <c r="A1170" s="238">
        <v>38588</v>
      </c>
      <c r="B1170" s="239">
        <v>1817.22</v>
      </c>
      <c r="C1170" s="242">
        <f t="shared" si="18"/>
        <v>-6.5216489686888502E-3</v>
      </c>
    </row>
    <row r="1171" spans="1:3" x14ac:dyDescent="0.25">
      <c r="A1171" s="238">
        <v>38589</v>
      </c>
      <c r="B1171" s="239">
        <v>1821.45</v>
      </c>
      <c r="C1171" s="242">
        <f t="shared" si="18"/>
        <v>2.3250264000449646E-3</v>
      </c>
    </row>
    <row r="1172" spans="1:3" x14ac:dyDescent="0.25">
      <c r="A1172" s="238">
        <v>38590</v>
      </c>
      <c r="B1172" s="239">
        <v>1810.52</v>
      </c>
      <c r="C1172" s="242">
        <f t="shared" si="18"/>
        <v>-6.0187903510658088E-3</v>
      </c>
    </row>
    <row r="1173" spans="1:3" x14ac:dyDescent="0.25">
      <c r="A1173" s="238">
        <v>38593</v>
      </c>
      <c r="B1173" s="239">
        <v>1821.56</v>
      </c>
      <c r="C1173" s="242">
        <f t="shared" si="18"/>
        <v>6.0791799739509621E-3</v>
      </c>
    </row>
    <row r="1174" spans="1:3" x14ac:dyDescent="0.25">
      <c r="A1174" s="238">
        <v>38594</v>
      </c>
      <c r="B1174" s="239">
        <v>1815.97</v>
      </c>
      <c r="C1174" s="242">
        <f t="shared" si="18"/>
        <v>-3.0735165898265067E-3</v>
      </c>
    </row>
    <row r="1175" spans="1:3" x14ac:dyDescent="0.25">
      <c r="A1175" s="238">
        <v>38595</v>
      </c>
      <c r="B1175" s="239">
        <v>1834.48</v>
      </c>
      <c r="C1175" s="242">
        <f t="shared" si="18"/>
        <v>1.0141302381736371E-2</v>
      </c>
    </row>
    <row r="1176" spans="1:3" x14ac:dyDescent="0.25">
      <c r="A1176" s="238">
        <v>38596</v>
      </c>
      <c r="B1176" s="239">
        <v>1836.3700000000001</v>
      </c>
      <c r="C1176" s="242">
        <f t="shared" si="18"/>
        <v>1.0297343487233246E-3</v>
      </c>
    </row>
    <row r="1177" spans="1:3" x14ac:dyDescent="0.25">
      <c r="A1177" s="238">
        <v>38597</v>
      </c>
      <c r="B1177" s="239">
        <v>1831.06</v>
      </c>
      <c r="C1177" s="242">
        <f t="shared" si="18"/>
        <v>-2.8957628151363708E-3</v>
      </c>
    </row>
    <row r="1178" spans="1:3" x14ac:dyDescent="0.25">
      <c r="A1178" s="238">
        <v>38601</v>
      </c>
      <c r="B1178" s="239">
        <v>1854.23</v>
      </c>
      <c r="C1178" s="242">
        <f t="shared" si="18"/>
        <v>1.2574481410089806E-2</v>
      </c>
    </row>
    <row r="1179" spans="1:3" x14ac:dyDescent="0.25">
      <c r="A1179" s="238">
        <v>38602</v>
      </c>
      <c r="B1179" s="239">
        <v>1859</v>
      </c>
      <c r="C1179" s="242">
        <f t="shared" si="18"/>
        <v>2.5691931950347349E-3</v>
      </c>
    </row>
    <row r="1180" spans="1:3" x14ac:dyDescent="0.25">
      <c r="A1180" s="238">
        <v>38603</v>
      </c>
      <c r="B1180" s="239">
        <v>1852</v>
      </c>
      <c r="C1180" s="242">
        <f t="shared" si="18"/>
        <v>-3.7725725153193324E-3</v>
      </c>
    </row>
    <row r="1181" spans="1:3" x14ac:dyDescent="0.25">
      <c r="A1181" s="238">
        <v>38604</v>
      </c>
      <c r="B1181" s="239">
        <v>1866.74</v>
      </c>
      <c r="C1181" s="242">
        <f t="shared" si="18"/>
        <v>7.9274577916284283E-3</v>
      </c>
    </row>
    <row r="1182" spans="1:3" x14ac:dyDescent="0.25">
      <c r="A1182" s="238">
        <v>38607</v>
      </c>
      <c r="B1182" s="239">
        <v>1865.45</v>
      </c>
      <c r="C1182" s="242">
        <f t="shared" si="18"/>
        <v>-6.9128316155994706E-4</v>
      </c>
    </row>
    <row r="1183" spans="1:3" x14ac:dyDescent="0.25">
      <c r="A1183" s="238">
        <v>38608</v>
      </c>
      <c r="B1183" s="239">
        <v>1851.8700000000001</v>
      </c>
      <c r="C1183" s="242">
        <f t="shared" si="18"/>
        <v>-7.3063714782587901E-3</v>
      </c>
    </row>
    <row r="1184" spans="1:3" x14ac:dyDescent="0.25">
      <c r="A1184" s="238">
        <v>38609</v>
      </c>
      <c r="B1184" s="239">
        <v>1845.8400000000001</v>
      </c>
      <c r="C1184" s="242">
        <f t="shared" si="18"/>
        <v>-3.2614809410263256E-3</v>
      </c>
    </row>
    <row r="1185" spans="1:3" x14ac:dyDescent="0.25">
      <c r="A1185" s="238">
        <v>38610</v>
      </c>
      <c r="B1185" s="239">
        <v>1846.76</v>
      </c>
      <c r="C1185" s="242">
        <f t="shared" si="18"/>
        <v>4.9829389537764217E-4</v>
      </c>
    </row>
    <row r="1186" spans="1:3" x14ac:dyDescent="0.25">
      <c r="A1186" s="238">
        <v>38611</v>
      </c>
      <c r="B1186" s="239">
        <v>1862.1100000000001</v>
      </c>
      <c r="C1186" s="242">
        <f t="shared" si="18"/>
        <v>8.2775010418767274E-3</v>
      </c>
    </row>
    <row r="1187" spans="1:3" x14ac:dyDescent="0.25">
      <c r="A1187" s="238">
        <v>38614</v>
      </c>
      <c r="B1187" s="239">
        <v>1851.74</v>
      </c>
      <c r="C1187" s="242">
        <f t="shared" si="18"/>
        <v>-5.5845157723620068E-3</v>
      </c>
    </row>
    <row r="1188" spans="1:3" x14ac:dyDescent="0.25">
      <c r="A1188" s="238">
        <v>38615</v>
      </c>
      <c r="B1188" s="239">
        <v>1837.2</v>
      </c>
      <c r="C1188" s="242">
        <f t="shared" si="18"/>
        <v>-7.8830641301621367E-3</v>
      </c>
    </row>
    <row r="1189" spans="1:3" x14ac:dyDescent="0.25">
      <c r="A1189" s="238">
        <v>38616</v>
      </c>
      <c r="B1189" s="239">
        <v>1820.49</v>
      </c>
      <c r="C1189" s="242">
        <f t="shared" si="18"/>
        <v>-9.1369778476664328E-3</v>
      </c>
    </row>
    <row r="1190" spans="1:3" x14ac:dyDescent="0.25">
      <c r="A1190" s="238">
        <v>38617</v>
      </c>
      <c r="B1190" s="239">
        <v>1827.54</v>
      </c>
      <c r="C1190" s="242">
        <f t="shared" si="18"/>
        <v>3.865104605324042E-3</v>
      </c>
    </row>
    <row r="1191" spans="1:3" x14ac:dyDescent="0.25">
      <c r="A1191" s="238">
        <v>38618</v>
      </c>
      <c r="B1191" s="239">
        <v>1828.54</v>
      </c>
      <c r="C1191" s="242">
        <f t="shared" si="18"/>
        <v>5.4703399539234433E-4</v>
      </c>
    </row>
    <row r="1192" spans="1:3" x14ac:dyDescent="0.25">
      <c r="A1192" s="238">
        <v>38621</v>
      </c>
      <c r="B1192" s="239">
        <v>1829.05</v>
      </c>
      <c r="C1192" s="242">
        <f t="shared" si="18"/>
        <v>2.7887215532913117E-4</v>
      </c>
    </row>
    <row r="1193" spans="1:3" x14ac:dyDescent="0.25">
      <c r="A1193" s="238">
        <v>38622</v>
      </c>
      <c r="B1193" s="239">
        <v>1829.13</v>
      </c>
      <c r="C1193" s="242">
        <f t="shared" si="18"/>
        <v>4.3737596298099526E-5</v>
      </c>
    </row>
    <row r="1194" spans="1:3" x14ac:dyDescent="0.25">
      <c r="A1194" s="238">
        <v>38623</v>
      </c>
      <c r="B1194" s="239">
        <v>1831.32</v>
      </c>
      <c r="C1194" s="242">
        <f t="shared" si="18"/>
        <v>1.1965743344679828E-3</v>
      </c>
    </row>
    <row r="1195" spans="1:3" x14ac:dyDescent="0.25">
      <c r="A1195" s="238">
        <v>38624</v>
      </c>
      <c r="B1195" s="239">
        <v>1847.6200000000001</v>
      </c>
      <c r="C1195" s="242">
        <f t="shared" si="18"/>
        <v>8.861306060943033E-3</v>
      </c>
    </row>
    <row r="1196" spans="1:3" x14ac:dyDescent="0.25">
      <c r="A1196" s="238">
        <v>38625</v>
      </c>
      <c r="B1196" s="239">
        <v>1849.33</v>
      </c>
      <c r="C1196" s="242">
        <f t="shared" si="18"/>
        <v>9.2508696192775087E-4</v>
      </c>
    </row>
    <row r="1197" spans="1:3" x14ac:dyDescent="0.25">
      <c r="A1197" s="238">
        <v>38628</v>
      </c>
      <c r="B1197" s="239">
        <v>1846.17</v>
      </c>
      <c r="C1197" s="242">
        <f t="shared" si="18"/>
        <v>-1.7101884833893128E-3</v>
      </c>
    </row>
    <row r="1198" spans="1:3" x14ac:dyDescent="0.25">
      <c r="A1198" s="238">
        <v>38629</v>
      </c>
      <c r="B1198" s="239">
        <v>1827.96</v>
      </c>
      <c r="C1198" s="242">
        <f t="shared" si="18"/>
        <v>-9.9126318936548843E-3</v>
      </c>
    </row>
    <row r="1199" spans="1:3" x14ac:dyDescent="0.25">
      <c r="A1199" s="238">
        <v>38630</v>
      </c>
      <c r="B1199" s="239">
        <v>1801.4</v>
      </c>
      <c r="C1199" s="242">
        <f t="shared" si="18"/>
        <v>-1.4636450586967532E-2</v>
      </c>
    </row>
    <row r="1200" spans="1:3" x14ac:dyDescent="0.25">
      <c r="A1200" s="238">
        <v>38631</v>
      </c>
      <c r="B1200" s="239">
        <v>1794.04</v>
      </c>
      <c r="C1200" s="242">
        <f t="shared" si="18"/>
        <v>-4.0940804354296272E-3</v>
      </c>
    </row>
    <row r="1201" spans="1:3" x14ac:dyDescent="0.25">
      <c r="A1201" s="238">
        <v>38632</v>
      </c>
      <c r="B1201" s="239">
        <v>1800.71</v>
      </c>
      <c r="C1201" s="242">
        <f t="shared" si="18"/>
        <v>3.7109716417285162E-3</v>
      </c>
    </row>
    <row r="1202" spans="1:3" x14ac:dyDescent="0.25">
      <c r="A1202" s="238">
        <v>38635</v>
      </c>
      <c r="B1202" s="239">
        <v>1787.8</v>
      </c>
      <c r="C1202" s="242">
        <f t="shared" si="18"/>
        <v>-7.1952179021891847E-3</v>
      </c>
    </row>
    <row r="1203" spans="1:3" x14ac:dyDescent="0.25">
      <c r="A1203" s="238">
        <v>38636</v>
      </c>
      <c r="B1203" s="239">
        <v>1784.22</v>
      </c>
      <c r="C1203" s="242">
        <f t="shared" si="18"/>
        <v>-2.004468731234318E-3</v>
      </c>
    </row>
    <row r="1204" spans="1:3" x14ac:dyDescent="0.25">
      <c r="A1204" s="238">
        <v>38637</v>
      </c>
      <c r="B1204" s="239">
        <v>1773.6000000000001</v>
      </c>
      <c r="C1204" s="242">
        <f t="shared" si="18"/>
        <v>-5.969965620416043E-3</v>
      </c>
    </row>
    <row r="1205" spans="1:3" x14ac:dyDescent="0.25">
      <c r="A1205" s="238">
        <v>38638</v>
      </c>
      <c r="B1205" s="239">
        <v>1772.3600000000001</v>
      </c>
      <c r="C1205" s="242">
        <f t="shared" si="18"/>
        <v>-6.9938750044826669E-4</v>
      </c>
    </row>
    <row r="1206" spans="1:3" x14ac:dyDescent="0.25">
      <c r="A1206" s="238">
        <v>38639</v>
      </c>
      <c r="B1206" s="239">
        <v>1787.01</v>
      </c>
      <c r="C1206" s="242">
        <f t="shared" si="18"/>
        <v>8.2318403130180705E-3</v>
      </c>
    </row>
    <row r="1207" spans="1:3" x14ac:dyDescent="0.25">
      <c r="A1207" s="238">
        <v>38642</v>
      </c>
      <c r="B1207" s="239">
        <v>1792.33</v>
      </c>
      <c r="C1207" s="242">
        <f t="shared" si="18"/>
        <v>2.9726172520596825E-3</v>
      </c>
    </row>
    <row r="1208" spans="1:3" x14ac:dyDescent="0.25">
      <c r="A1208" s="238">
        <v>38643</v>
      </c>
      <c r="B1208" s="239">
        <v>1774.32</v>
      </c>
      <c r="C1208" s="242">
        <f t="shared" si="18"/>
        <v>-1.0099198449776969E-2</v>
      </c>
    </row>
    <row r="1209" spans="1:3" x14ac:dyDescent="0.25">
      <c r="A1209" s="238">
        <v>38644</v>
      </c>
      <c r="B1209" s="239">
        <v>1801.01</v>
      </c>
      <c r="C1209" s="242">
        <f t="shared" si="18"/>
        <v>1.493036771443652E-2</v>
      </c>
    </row>
    <row r="1210" spans="1:3" x14ac:dyDescent="0.25">
      <c r="A1210" s="238">
        <v>38645</v>
      </c>
      <c r="B1210" s="239">
        <v>1774.02</v>
      </c>
      <c r="C1210" s="242">
        <f t="shared" si="18"/>
        <v>-1.509946086825755E-2</v>
      </c>
    </row>
    <row r="1211" spans="1:3" x14ac:dyDescent="0.25">
      <c r="A1211" s="238">
        <v>38646</v>
      </c>
      <c r="B1211" s="239">
        <v>1776.73</v>
      </c>
      <c r="C1211" s="242">
        <f t="shared" si="18"/>
        <v>1.5264383728479335E-3</v>
      </c>
    </row>
    <row r="1212" spans="1:3" x14ac:dyDescent="0.25">
      <c r="A1212" s="238">
        <v>38649</v>
      </c>
      <c r="B1212" s="239">
        <v>1806.5900000000001</v>
      </c>
      <c r="C1212" s="242">
        <f t="shared" si="18"/>
        <v>1.6666494304838766E-2</v>
      </c>
    </row>
    <row r="1213" spans="1:3" x14ac:dyDescent="0.25">
      <c r="A1213" s="238">
        <v>38650</v>
      </c>
      <c r="B1213" s="239">
        <v>1802.3</v>
      </c>
      <c r="C1213" s="242">
        <f t="shared" si="18"/>
        <v>-2.3774634420604649E-3</v>
      </c>
    </row>
    <row r="1214" spans="1:3" x14ac:dyDescent="0.25">
      <c r="A1214" s="238">
        <v>38651</v>
      </c>
      <c r="B1214" s="239">
        <v>1794.56</v>
      </c>
      <c r="C1214" s="242">
        <f t="shared" si="18"/>
        <v>-4.3037604726983356E-3</v>
      </c>
    </row>
    <row r="1215" spans="1:3" x14ac:dyDescent="0.25">
      <c r="A1215" s="238">
        <v>38652</v>
      </c>
      <c r="B1215" s="239">
        <v>1776</v>
      </c>
      <c r="C1215" s="242">
        <f t="shared" si="18"/>
        <v>-1.0396221973945782E-2</v>
      </c>
    </row>
    <row r="1216" spans="1:3" x14ac:dyDescent="0.25">
      <c r="A1216" s="238">
        <v>38653</v>
      </c>
      <c r="B1216" s="239">
        <v>1805.56</v>
      </c>
      <c r="C1216" s="242">
        <f t="shared" si="18"/>
        <v>1.6507148404980659E-2</v>
      </c>
    </row>
    <row r="1217" spans="1:3" x14ac:dyDescent="0.25">
      <c r="A1217" s="238">
        <v>38656</v>
      </c>
      <c r="B1217" s="239">
        <v>1818.5</v>
      </c>
      <c r="C1217" s="242">
        <f t="shared" si="18"/>
        <v>7.1411924699476721E-3</v>
      </c>
    </row>
    <row r="1218" spans="1:3" x14ac:dyDescent="0.25">
      <c r="A1218" s="238">
        <v>38657</v>
      </c>
      <c r="B1218" s="239">
        <v>1812.1100000000001</v>
      </c>
      <c r="C1218" s="242">
        <f t="shared" si="18"/>
        <v>-3.5200732649120214E-3</v>
      </c>
    </row>
    <row r="1219" spans="1:3" x14ac:dyDescent="0.25">
      <c r="A1219" s="238">
        <v>38658</v>
      </c>
      <c r="B1219" s="239">
        <v>1830.43</v>
      </c>
      <c r="C1219" s="242">
        <f t="shared" si="18"/>
        <v>1.005899974917468E-2</v>
      </c>
    </row>
    <row r="1220" spans="1:3" x14ac:dyDescent="0.25">
      <c r="A1220" s="238">
        <v>38659</v>
      </c>
      <c r="B1220" s="239">
        <v>1838.8600000000001</v>
      </c>
      <c r="C1220" s="242">
        <f t="shared" si="18"/>
        <v>4.5949024644919628E-3</v>
      </c>
    </row>
    <row r="1221" spans="1:3" x14ac:dyDescent="0.25">
      <c r="A1221" s="238">
        <v>38660</v>
      </c>
      <c r="B1221" s="239">
        <v>1839.16</v>
      </c>
      <c r="C1221" s="242">
        <f t="shared" ref="C1221:C1284" si="19">LN(B1221/B1220)</f>
        <v>1.6313125032767141E-4</v>
      </c>
    </row>
    <row r="1222" spans="1:3" x14ac:dyDescent="0.25">
      <c r="A1222" s="238">
        <v>38663</v>
      </c>
      <c r="B1222" s="239">
        <v>1843.27</v>
      </c>
      <c r="C1222" s="242">
        <f t="shared" si="19"/>
        <v>2.2322225848771813E-3</v>
      </c>
    </row>
    <row r="1223" spans="1:3" x14ac:dyDescent="0.25">
      <c r="A1223" s="238">
        <v>38664</v>
      </c>
      <c r="B1223" s="239">
        <v>1837.8</v>
      </c>
      <c r="C1223" s="242">
        <f t="shared" si="19"/>
        <v>-2.9719641442187243E-3</v>
      </c>
    </row>
    <row r="1224" spans="1:3" x14ac:dyDescent="0.25">
      <c r="A1224" s="238">
        <v>38665</v>
      </c>
      <c r="B1224" s="239">
        <v>1841</v>
      </c>
      <c r="C1224" s="242">
        <f t="shared" si="19"/>
        <v>1.7396981662933359E-3</v>
      </c>
    </row>
    <row r="1225" spans="1:3" x14ac:dyDescent="0.25">
      <c r="A1225" s="238">
        <v>38666</v>
      </c>
      <c r="B1225" s="239">
        <v>1856.9</v>
      </c>
      <c r="C1225" s="242">
        <f t="shared" si="19"/>
        <v>8.5995283734721633E-3</v>
      </c>
    </row>
    <row r="1226" spans="1:3" x14ac:dyDescent="0.25">
      <c r="A1226" s="238">
        <v>38667</v>
      </c>
      <c r="B1226" s="239">
        <v>1862.56</v>
      </c>
      <c r="C1226" s="242">
        <f t="shared" si="19"/>
        <v>3.0434548933807762E-3</v>
      </c>
    </row>
    <row r="1227" spans="1:3" x14ac:dyDescent="0.25">
      <c r="A1227" s="238">
        <v>38670</v>
      </c>
      <c r="B1227" s="239">
        <v>1861.25</v>
      </c>
      <c r="C1227" s="242">
        <f t="shared" si="19"/>
        <v>-7.0358050171212701E-4</v>
      </c>
    </row>
    <row r="1228" spans="1:3" x14ac:dyDescent="0.25">
      <c r="A1228" s="238">
        <v>38671</v>
      </c>
      <c r="B1228" s="239">
        <v>1854.28</v>
      </c>
      <c r="C1228" s="242">
        <f t="shared" si="19"/>
        <v>-3.751824464298008E-3</v>
      </c>
    </row>
    <row r="1229" spans="1:3" x14ac:dyDescent="0.25">
      <c r="A1229" s="238">
        <v>38672</v>
      </c>
      <c r="B1229" s="239">
        <v>1857.97</v>
      </c>
      <c r="C1229" s="242">
        <f t="shared" si="19"/>
        <v>1.9880133155366847E-3</v>
      </c>
    </row>
    <row r="1230" spans="1:3" x14ac:dyDescent="0.25">
      <c r="A1230" s="238">
        <v>38673</v>
      </c>
      <c r="B1230" s="239">
        <v>1875.49</v>
      </c>
      <c r="C1230" s="242">
        <f t="shared" si="19"/>
        <v>9.3854647467797193E-3</v>
      </c>
    </row>
    <row r="1231" spans="1:3" x14ac:dyDescent="0.25">
      <c r="A1231" s="238">
        <v>38674</v>
      </c>
      <c r="B1231" s="239">
        <v>1883.99</v>
      </c>
      <c r="C1231" s="242">
        <f t="shared" si="19"/>
        <v>4.5219096703582283E-3</v>
      </c>
    </row>
    <row r="1232" spans="1:3" x14ac:dyDescent="0.25">
      <c r="A1232" s="238">
        <v>38677</v>
      </c>
      <c r="B1232" s="239">
        <v>1893.93</v>
      </c>
      <c r="C1232" s="242">
        <f t="shared" si="19"/>
        <v>5.2621669791164862E-3</v>
      </c>
    </row>
    <row r="1233" spans="1:3" x14ac:dyDescent="0.25">
      <c r="A1233" s="238">
        <v>38678</v>
      </c>
      <c r="B1233" s="239">
        <v>1903.66</v>
      </c>
      <c r="C1233" s="242">
        <f t="shared" si="19"/>
        <v>5.1243137312515352E-3</v>
      </c>
    </row>
    <row r="1234" spans="1:3" x14ac:dyDescent="0.25">
      <c r="A1234" s="238">
        <v>38679</v>
      </c>
      <c r="B1234" s="239">
        <v>1910.39</v>
      </c>
      <c r="C1234" s="242">
        <f t="shared" si="19"/>
        <v>3.5290607017568788E-3</v>
      </c>
    </row>
    <row r="1235" spans="1:3" x14ac:dyDescent="0.25">
      <c r="A1235" s="238">
        <v>38681</v>
      </c>
      <c r="B1235" s="239">
        <v>1914.4</v>
      </c>
      <c r="C1235" s="242">
        <f t="shared" si="19"/>
        <v>2.0968479154433854E-3</v>
      </c>
    </row>
    <row r="1236" spans="1:3" x14ac:dyDescent="0.25">
      <c r="A1236" s="238">
        <v>38684</v>
      </c>
      <c r="B1236" s="239">
        <v>1898.3700000000001</v>
      </c>
      <c r="C1236" s="242">
        <f t="shared" si="19"/>
        <v>-8.4086343787644676E-3</v>
      </c>
    </row>
    <row r="1237" spans="1:3" x14ac:dyDescent="0.25">
      <c r="A1237" s="238">
        <v>38685</v>
      </c>
      <c r="B1237" s="239">
        <v>1898.74</v>
      </c>
      <c r="C1237" s="242">
        <f t="shared" si="19"/>
        <v>1.9488505793666385E-4</v>
      </c>
    </row>
    <row r="1238" spans="1:3" x14ac:dyDescent="0.25">
      <c r="A1238" s="238">
        <v>38686</v>
      </c>
      <c r="B1238" s="239">
        <v>1887.28</v>
      </c>
      <c r="C1238" s="242">
        <f t="shared" si="19"/>
        <v>-6.0538692347591487E-3</v>
      </c>
    </row>
    <row r="1239" spans="1:3" x14ac:dyDescent="0.25">
      <c r="A1239" s="238">
        <v>38687</v>
      </c>
      <c r="B1239" s="239">
        <v>1910.23</v>
      </c>
      <c r="C1239" s="242">
        <f t="shared" si="19"/>
        <v>1.2087014600498901E-2</v>
      </c>
    </row>
    <row r="1240" spans="1:3" x14ac:dyDescent="0.25">
      <c r="A1240" s="238">
        <v>38688</v>
      </c>
      <c r="B1240" s="239">
        <v>1910.8600000000001</v>
      </c>
      <c r="C1240" s="242">
        <f t="shared" si="19"/>
        <v>3.2974884428723354E-4</v>
      </c>
    </row>
    <row r="1241" spans="1:3" x14ac:dyDescent="0.25">
      <c r="A1241" s="238">
        <v>38691</v>
      </c>
      <c r="B1241" s="239">
        <v>1906.42</v>
      </c>
      <c r="C1241" s="242">
        <f t="shared" si="19"/>
        <v>-2.3262647761011584E-3</v>
      </c>
    </row>
    <row r="1242" spans="1:3" x14ac:dyDescent="0.25">
      <c r="A1242" s="238">
        <v>38692</v>
      </c>
      <c r="B1242" s="239">
        <v>1908.89</v>
      </c>
      <c r="C1242" s="242">
        <f t="shared" si="19"/>
        <v>1.2947835667728655E-3</v>
      </c>
    </row>
    <row r="1243" spans="1:3" x14ac:dyDescent="0.25">
      <c r="A1243" s="238">
        <v>38693</v>
      </c>
      <c r="B1243" s="239">
        <v>1899.69</v>
      </c>
      <c r="C1243" s="242">
        <f t="shared" si="19"/>
        <v>-4.8312063259368298E-3</v>
      </c>
    </row>
    <row r="1244" spans="1:3" x14ac:dyDescent="0.25">
      <c r="A1244" s="238">
        <v>38694</v>
      </c>
      <c r="B1244" s="239">
        <v>1897.57</v>
      </c>
      <c r="C1244" s="242">
        <f t="shared" si="19"/>
        <v>-1.1165947131696282E-3</v>
      </c>
    </row>
    <row r="1245" spans="1:3" x14ac:dyDescent="0.25">
      <c r="A1245" s="238">
        <v>38695</v>
      </c>
      <c r="B1245" s="239">
        <v>1902.92</v>
      </c>
      <c r="C1245" s="242">
        <f t="shared" si="19"/>
        <v>2.8154282915932214E-3</v>
      </c>
    </row>
    <row r="1246" spans="1:3" x14ac:dyDescent="0.25">
      <c r="A1246" s="238">
        <v>38698</v>
      </c>
      <c r="B1246" s="239">
        <v>1904.5900000000001</v>
      </c>
      <c r="C1246" s="242">
        <f t="shared" si="19"/>
        <v>8.7721377335282856E-4</v>
      </c>
    </row>
    <row r="1247" spans="1:3" x14ac:dyDescent="0.25">
      <c r="A1247" s="238">
        <v>38699</v>
      </c>
      <c r="B1247" s="239">
        <v>1915.3</v>
      </c>
      <c r="C1247" s="242">
        <f t="shared" si="19"/>
        <v>5.6075060087413166E-3</v>
      </c>
    </row>
    <row r="1248" spans="1:3" x14ac:dyDescent="0.25">
      <c r="A1248" s="238">
        <v>38700</v>
      </c>
      <c r="B1248" s="239">
        <v>1923.43</v>
      </c>
      <c r="C1248" s="242">
        <f t="shared" si="19"/>
        <v>4.2357822277684226E-3</v>
      </c>
    </row>
    <row r="1249" spans="1:3" x14ac:dyDescent="0.25">
      <c r="A1249" s="238">
        <v>38701</v>
      </c>
      <c r="B1249" s="239">
        <v>1920.8500000000001</v>
      </c>
      <c r="C1249" s="242">
        <f t="shared" si="19"/>
        <v>-1.3422541476447174E-3</v>
      </c>
    </row>
    <row r="1250" spans="1:3" x14ac:dyDescent="0.25">
      <c r="A1250" s="238">
        <v>38702</v>
      </c>
      <c r="B1250" s="239">
        <v>1915.4</v>
      </c>
      <c r="C1250" s="242">
        <f t="shared" si="19"/>
        <v>-2.8413183012200739E-3</v>
      </c>
    </row>
    <row r="1251" spans="1:3" x14ac:dyDescent="0.25">
      <c r="A1251" s="238">
        <v>38705</v>
      </c>
      <c r="B1251" s="239">
        <v>1904.21</v>
      </c>
      <c r="C1251" s="242">
        <f t="shared" si="19"/>
        <v>-5.8592537005103277E-3</v>
      </c>
    </row>
    <row r="1252" spans="1:3" x14ac:dyDescent="0.25">
      <c r="A1252" s="238">
        <v>38706</v>
      </c>
      <c r="B1252" s="239">
        <v>1903.81</v>
      </c>
      <c r="C1252" s="242">
        <f t="shared" si="19"/>
        <v>-2.1008293100945529E-4</v>
      </c>
    </row>
    <row r="1253" spans="1:3" x14ac:dyDescent="0.25">
      <c r="A1253" s="238">
        <v>38707</v>
      </c>
      <c r="B1253" s="239">
        <v>1908.65</v>
      </c>
      <c r="C1253" s="242">
        <f t="shared" si="19"/>
        <v>2.5390443966297484E-3</v>
      </c>
    </row>
    <row r="1254" spans="1:3" x14ac:dyDescent="0.25">
      <c r="A1254" s="238">
        <v>38708</v>
      </c>
      <c r="B1254" s="239">
        <v>1917.16</v>
      </c>
      <c r="C1254" s="242">
        <f t="shared" si="19"/>
        <v>4.4487384555463539E-3</v>
      </c>
    </row>
    <row r="1255" spans="1:3" x14ac:dyDescent="0.25">
      <c r="A1255" s="238">
        <v>38709</v>
      </c>
      <c r="B1255" s="239">
        <v>1918.25</v>
      </c>
      <c r="C1255" s="242">
        <f t="shared" si="19"/>
        <v>5.6838774959907558E-4</v>
      </c>
    </row>
    <row r="1256" spans="1:3" x14ac:dyDescent="0.25">
      <c r="A1256" s="238">
        <v>38713</v>
      </c>
      <c r="B1256" s="239">
        <v>1899.93</v>
      </c>
      <c r="C1256" s="242">
        <f t="shared" si="19"/>
        <v>-9.5962686871928944E-3</v>
      </c>
    </row>
    <row r="1257" spans="1:3" x14ac:dyDescent="0.25">
      <c r="A1257" s="238">
        <v>38714</v>
      </c>
      <c r="B1257" s="239">
        <v>1902.73</v>
      </c>
      <c r="C1257" s="242">
        <f t="shared" si="19"/>
        <v>1.4726536193253315E-3</v>
      </c>
    </row>
    <row r="1258" spans="1:3" x14ac:dyDescent="0.25">
      <c r="A1258" s="238">
        <v>38715</v>
      </c>
      <c r="B1258" s="239">
        <v>1897.19</v>
      </c>
      <c r="C1258" s="242">
        <f t="shared" si="19"/>
        <v>-2.9158529259463422E-3</v>
      </c>
    </row>
    <row r="1259" spans="1:3" x14ac:dyDescent="0.25">
      <c r="A1259" s="238">
        <v>38716</v>
      </c>
      <c r="B1259" s="239">
        <v>1887.93</v>
      </c>
      <c r="C1259" s="242">
        <f t="shared" si="19"/>
        <v>-4.8928533170431521E-3</v>
      </c>
    </row>
    <row r="1260" spans="1:3" x14ac:dyDescent="0.25">
      <c r="A1260" s="238">
        <v>38720</v>
      </c>
      <c r="B1260" s="239">
        <v>1918.95</v>
      </c>
      <c r="C1260" s="242">
        <f t="shared" si="19"/>
        <v>1.6297170684236046E-2</v>
      </c>
    </row>
    <row r="1261" spans="1:3" x14ac:dyDescent="0.25">
      <c r="A1261" s="238">
        <v>38721</v>
      </c>
      <c r="B1261" s="239">
        <v>1926.38</v>
      </c>
      <c r="C1261" s="242">
        <f t="shared" si="19"/>
        <v>3.8644325696536069E-3</v>
      </c>
    </row>
    <row r="1262" spans="1:3" x14ac:dyDescent="0.25">
      <c r="A1262" s="238">
        <v>38722</v>
      </c>
      <c r="B1262" s="239">
        <v>1926.43</v>
      </c>
      <c r="C1262" s="242">
        <f t="shared" si="19"/>
        <v>2.5955082136264683E-5</v>
      </c>
    </row>
    <row r="1263" spans="1:3" x14ac:dyDescent="0.25">
      <c r="A1263" s="238">
        <v>38723</v>
      </c>
      <c r="B1263" s="239">
        <v>1945</v>
      </c>
      <c r="C1263" s="242">
        <f t="shared" si="19"/>
        <v>9.5934279696030245E-3</v>
      </c>
    </row>
    <row r="1264" spans="1:3" x14ac:dyDescent="0.25">
      <c r="A1264" s="238">
        <v>38726</v>
      </c>
      <c r="B1264" s="239">
        <v>1952.13</v>
      </c>
      <c r="C1264" s="242">
        <f t="shared" si="19"/>
        <v>3.6591070635744773E-3</v>
      </c>
    </row>
    <row r="1265" spans="1:3" x14ac:dyDescent="0.25">
      <c r="A1265" s="238">
        <v>38727</v>
      </c>
      <c r="B1265" s="239">
        <v>1951.53</v>
      </c>
      <c r="C1265" s="242">
        <f t="shared" si="19"/>
        <v>-3.0740382345026358E-4</v>
      </c>
    </row>
    <row r="1266" spans="1:3" x14ac:dyDescent="0.25">
      <c r="A1266" s="238">
        <v>38728</v>
      </c>
      <c r="B1266" s="239">
        <v>1958.56</v>
      </c>
      <c r="C1266" s="242">
        <f t="shared" si="19"/>
        <v>3.5958290345312854E-3</v>
      </c>
    </row>
    <row r="1267" spans="1:3" x14ac:dyDescent="0.25">
      <c r="A1267" s="238">
        <v>38729</v>
      </c>
      <c r="B1267" s="239">
        <v>1946.28</v>
      </c>
      <c r="C1267" s="242">
        <f t="shared" si="19"/>
        <v>-6.2896510396039003E-3</v>
      </c>
    </row>
    <row r="1268" spans="1:3" x14ac:dyDescent="0.25">
      <c r="A1268" s="238">
        <v>38730</v>
      </c>
      <c r="B1268" s="239">
        <v>1948.64</v>
      </c>
      <c r="C1268" s="242">
        <f t="shared" si="19"/>
        <v>1.2118350512020685E-3</v>
      </c>
    </row>
    <row r="1269" spans="1:3" x14ac:dyDescent="0.25">
      <c r="A1269" s="238">
        <v>38734</v>
      </c>
      <c r="B1269" s="239">
        <v>1941.57</v>
      </c>
      <c r="C1269" s="242">
        <f t="shared" si="19"/>
        <v>-3.6347692200686997E-3</v>
      </c>
    </row>
    <row r="1270" spans="1:3" x14ac:dyDescent="0.25">
      <c r="A1270" s="238">
        <v>38735</v>
      </c>
      <c r="B1270" s="239">
        <v>1934.21</v>
      </c>
      <c r="C1270" s="242">
        <f t="shared" si="19"/>
        <v>-3.7979497530699555E-3</v>
      </c>
    </row>
    <row r="1271" spans="1:3" x14ac:dyDescent="0.25">
      <c r="A1271" s="238">
        <v>38736</v>
      </c>
      <c r="B1271" s="239">
        <v>1944.98</v>
      </c>
      <c r="C1271" s="242">
        <f t="shared" si="19"/>
        <v>5.5527198576673055E-3</v>
      </c>
    </row>
    <row r="1272" spans="1:3" x14ac:dyDescent="0.25">
      <c r="A1272" s="238">
        <v>38737</v>
      </c>
      <c r="B1272" s="239">
        <v>1909.3500000000001</v>
      </c>
      <c r="C1272" s="242">
        <f t="shared" si="19"/>
        <v>-1.8488824238775632E-2</v>
      </c>
    </row>
    <row r="1273" spans="1:3" x14ac:dyDescent="0.25">
      <c r="A1273" s="238">
        <v>38740</v>
      </c>
      <c r="B1273" s="239">
        <v>1912.91</v>
      </c>
      <c r="C1273" s="242">
        <f t="shared" si="19"/>
        <v>1.8627728251926572E-3</v>
      </c>
    </row>
    <row r="1274" spans="1:3" x14ac:dyDescent="0.25">
      <c r="A1274" s="238">
        <v>38741</v>
      </c>
      <c r="B1274" s="239">
        <v>1917.54</v>
      </c>
      <c r="C1274" s="242">
        <f t="shared" si="19"/>
        <v>2.4174717095250225E-3</v>
      </c>
    </row>
    <row r="1275" spans="1:3" x14ac:dyDescent="0.25">
      <c r="A1275" s="238">
        <v>38742</v>
      </c>
      <c r="B1275" s="239">
        <v>1914.28</v>
      </c>
      <c r="C1275" s="242">
        <f t="shared" si="19"/>
        <v>-1.7015417146636627E-3</v>
      </c>
    </row>
    <row r="1276" spans="1:3" x14ac:dyDescent="0.25">
      <c r="A1276" s="238">
        <v>38743</v>
      </c>
      <c r="B1276" s="239">
        <v>1928.17</v>
      </c>
      <c r="C1276" s="242">
        <f t="shared" si="19"/>
        <v>7.2297937526198319E-3</v>
      </c>
    </row>
    <row r="1277" spans="1:3" x14ac:dyDescent="0.25">
      <c r="A1277" s="238">
        <v>38744</v>
      </c>
      <c r="B1277" s="239">
        <v>1943.3400000000001</v>
      </c>
      <c r="C1277" s="242">
        <f t="shared" si="19"/>
        <v>7.8367756450495787E-3</v>
      </c>
    </row>
    <row r="1278" spans="1:3" x14ac:dyDescent="0.25">
      <c r="A1278" s="238">
        <v>38747</v>
      </c>
      <c r="B1278" s="239">
        <v>1945.66</v>
      </c>
      <c r="C1278" s="242">
        <f t="shared" si="19"/>
        <v>1.1931089098542234E-3</v>
      </c>
    </row>
    <row r="1279" spans="1:3" x14ac:dyDescent="0.25">
      <c r="A1279" s="238">
        <v>38748</v>
      </c>
      <c r="B1279" s="239">
        <v>1937.93</v>
      </c>
      <c r="C1279" s="242">
        <f t="shared" si="19"/>
        <v>-3.9808580247941306E-3</v>
      </c>
    </row>
    <row r="1280" spans="1:3" x14ac:dyDescent="0.25">
      <c r="A1280" s="238">
        <v>38749</v>
      </c>
      <c r="B1280" s="239">
        <v>1941.75</v>
      </c>
      <c r="C1280" s="242">
        <f t="shared" si="19"/>
        <v>1.9692352124200062E-3</v>
      </c>
    </row>
    <row r="1281" spans="1:3" x14ac:dyDescent="0.25">
      <c r="A1281" s="238">
        <v>38750</v>
      </c>
      <c r="B1281" s="239">
        <v>1924.67</v>
      </c>
      <c r="C1281" s="242">
        <f t="shared" si="19"/>
        <v>-8.8351038448577605E-3</v>
      </c>
    </row>
    <row r="1282" spans="1:3" x14ac:dyDescent="0.25">
      <c r="A1282" s="238">
        <v>38751</v>
      </c>
      <c r="B1282" s="239">
        <v>1914.5</v>
      </c>
      <c r="C1282" s="242">
        <f t="shared" si="19"/>
        <v>-5.2980325375498287E-3</v>
      </c>
    </row>
    <row r="1283" spans="1:3" x14ac:dyDescent="0.25">
      <c r="A1283" s="238">
        <v>38754</v>
      </c>
      <c r="B1283" s="239">
        <v>1916.04</v>
      </c>
      <c r="C1283" s="242">
        <f t="shared" si="19"/>
        <v>8.0406422226103819E-4</v>
      </c>
    </row>
    <row r="1284" spans="1:3" x14ac:dyDescent="0.25">
      <c r="A1284" s="238">
        <v>38755</v>
      </c>
      <c r="B1284" s="239">
        <v>1900.58</v>
      </c>
      <c r="C1284" s="242">
        <f t="shared" si="19"/>
        <v>-8.1014534105016515E-3</v>
      </c>
    </row>
    <row r="1285" spans="1:3" x14ac:dyDescent="0.25">
      <c r="A1285" s="238">
        <v>38756</v>
      </c>
      <c r="B1285" s="239">
        <v>1917.8400000000001</v>
      </c>
      <c r="C1285" s="242">
        <f t="shared" ref="C1285:C1348" si="20">LN(B1285/B1284)</f>
        <v>9.0404500052084589E-3</v>
      </c>
    </row>
    <row r="1286" spans="1:3" x14ac:dyDescent="0.25">
      <c r="A1286" s="238">
        <v>38757</v>
      </c>
      <c r="B1286" s="239">
        <v>1915.1000000000001</v>
      </c>
      <c r="C1286" s="242">
        <f t="shared" si="20"/>
        <v>-1.4297121618031003E-3</v>
      </c>
    </row>
    <row r="1287" spans="1:3" x14ac:dyDescent="0.25">
      <c r="A1287" s="238">
        <v>38758</v>
      </c>
      <c r="B1287" s="239">
        <v>1920</v>
      </c>
      <c r="C1287" s="242">
        <f t="shared" si="20"/>
        <v>2.5553454493131861E-3</v>
      </c>
    </row>
    <row r="1288" spans="1:3" x14ac:dyDescent="0.25">
      <c r="A1288" s="238">
        <v>38761</v>
      </c>
      <c r="B1288" s="239">
        <v>1914.02</v>
      </c>
      <c r="C1288" s="242">
        <f t="shared" si="20"/>
        <v>-3.1194437427273154E-3</v>
      </c>
    </row>
    <row r="1289" spans="1:3" x14ac:dyDescent="0.25">
      <c r="A1289" s="238">
        <v>38762</v>
      </c>
      <c r="B1289" s="239">
        <v>1933.46</v>
      </c>
      <c r="C1289" s="242">
        <f t="shared" si="20"/>
        <v>1.0105401682519676E-2</v>
      </c>
    </row>
    <row r="1290" spans="1:3" x14ac:dyDescent="0.25">
      <c r="A1290" s="238">
        <v>38763</v>
      </c>
      <c r="B1290" s="239">
        <v>1940.68</v>
      </c>
      <c r="C1290" s="242">
        <f t="shared" si="20"/>
        <v>3.7272831434776695E-3</v>
      </c>
    </row>
    <row r="1291" spans="1:3" x14ac:dyDescent="0.25">
      <c r="A1291" s="238">
        <v>38764</v>
      </c>
      <c r="B1291" s="239">
        <v>1955.06</v>
      </c>
      <c r="C1291" s="242">
        <f t="shared" si="20"/>
        <v>7.3824563805083374E-3</v>
      </c>
    </row>
    <row r="1292" spans="1:3" x14ac:dyDescent="0.25">
      <c r="A1292" s="238">
        <v>38765</v>
      </c>
      <c r="B1292" s="239">
        <v>1951.83</v>
      </c>
      <c r="C1292" s="242">
        <f t="shared" si="20"/>
        <v>-1.6534894690707609E-3</v>
      </c>
    </row>
    <row r="1293" spans="1:3" x14ac:dyDescent="0.25">
      <c r="A1293" s="238">
        <v>38769</v>
      </c>
      <c r="B1293" s="239">
        <v>1945.45</v>
      </c>
      <c r="C1293" s="242">
        <f t="shared" si="20"/>
        <v>-3.2740812562901387E-3</v>
      </c>
    </row>
    <row r="1294" spans="1:3" x14ac:dyDescent="0.25">
      <c r="A1294" s="238">
        <v>38770</v>
      </c>
      <c r="B1294" s="239">
        <v>1960.26</v>
      </c>
      <c r="C1294" s="242">
        <f t="shared" si="20"/>
        <v>7.5838047279033829E-3</v>
      </c>
    </row>
    <row r="1295" spans="1:3" x14ac:dyDescent="0.25">
      <c r="A1295" s="238">
        <v>38771</v>
      </c>
      <c r="B1295" s="239">
        <v>1953.3700000000001</v>
      </c>
      <c r="C1295" s="242">
        <f t="shared" si="20"/>
        <v>-3.5210314303206263E-3</v>
      </c>
    </row>
    <row r="1296" spans="1:3" x14ac:dyDescent="0.25">
      <c r="A1296" s="238">
        <v>38772</v>
      </c>
      <c r="B1296" s="239">
        <v>1956.14</v>
      </c>
      <c r="C1296" s="242">
        <f t="shared" si="20"/>
        <v>1.4170576177194392E-3</v>
      </c>
    </row>
    <row r="1297" spans="1:3" x14ac:dyDescent="0.25">
      <c r="A1297" s="238">
        <v>38775</v>
      </c>
      <c r="B1297" s="239">
        <v>1963.58</v>
      </c>
      <c r="C1297" s="242">
        <f t="shared" si="20"/>
        <v>3.7961940826759873E-3</v>
      </c>
    </row>
    <row r="1298" spans="1:3" x14ac:dyDescent="0.25">
      <c r="A1298" s="238">
        <v>38776</v>
      </c>
      <c r="B1298" s="239">
        <v>1943.19</v>
      </c>
      <c r="C1298" s="242">
        <f t="shared" si="20"/>
        <v>-1.0438385234180907E-2</v>
      </c>
    </row>
    <row r="1299" spans="1:3" x14ac:dyDescent="0.25">
      <c r="A1299" s="238">
        <v>38777</v>
      </c>
      <c r="B1299" s="239">
        <v>1959.76</v>
      </c>
      <c r="C1299" s="242">
        <f t="shared" si="20"/>
        <v>8.4910642234407568E-3</v>
      </c>
    </row>
    <row r="1300" spans="1:3" x14ac:dyDescent="0.25">
      <c r="A1300" s="238">
        <v>38778</v>
      </c>
      <c r="B1300" s="239">
        <v>1956.6000000000001</v>
      </c>
      <c r="C1300" s="242">
        <f t="shared" si="20"/>
        <v>-1.613743724154153E-3</v>
      </c>
    </row>
    <row r="1301" spans="1:3" x14ac:dyDescent="0.25">
      <c r="A1301" s="238">
        <v>38779</v>
      </c>
      <c r="B1301" s="239">
        <v>1953.74</v>
      </c>
      <c r="C1301" s="242">
        <f t="shared" si="20"/>
        <v>-1.4627886628651649E-3</v>
      </c>
    </row>
    <row r="1302" spans="1:3" x14ac:dyDescent="0.25">
      <c r="A1302" s="238">
        <v>38782</v>
      </c>
      <c r="B1302" s="239">
        <v>1940.2</v>
      </c>
      <c r="C1302" s="242">
        <f t="shared" si="20"/>
        <v>-6.9544238332801484E-3</v>
      </c>
    </row>
    <row r="1303" spans="1:3" x14ac:dyDescent="0.25">
      <c r="A1303" s="238">
        <v>38783</v>
      </c>
      <c r="B1303" s="239">
        <v>1936.68</v>
      </c>
      <c r="C1303" s="242">
        <f t="shared" si="20"/>
        <v>-1.8158936914517703E-3</v>
      </c>
    </row>
    <row r="1304" spans="1:3" x14ac:dyDescent="0.25">
      <c r="A1304" s="238">
        <v>38784</v>
      </c>
      <c r="B1304" s="239">
        <v>1941.17</v>
      </c>
      <c r="C1304" s="242">
        <f t="shared" si="20"/>
        <v>2.3157172177809969E-3</v>
      </c>
    </row>
    <row r="1305" spans="1:3" x14ac:dyDescent="0.25">
      <c r="A1305" s="238">
        <v>38785</v>
      </c>
      <c r="B1305" s="239">
        <v>1931.73</v>
      </c>
      <c r="C1305" s="242">
        <f t="shared" si="20"/>
        <v>-4.8749096000022044E-3</v>
      </c>
    </row>
    <row r="1306" spans="1:3" x14ac:dyDescent="0.25">
      <c r="A1306" s="238">
        <v>38786</v>
      </c>
      <c r="B1306" s="239">
        <v>1945.92</v>
      </c>
      <c r="C1306" s="242">
        <f t="shared" si="20"/>
        <v>7.3188984782348579E-3</v>
      </c>
    </row>
    <row r="1307" spans="1:3" x14ac:dyDescent="0.25">
      <c r="A1307" s="238">
        <v>38789</v>
      </c>
      <c r="B1307" s="239">
        <v>1950.39</v>
      </c>
      <c r="C1307" s="242">
        <f t="shared" si="20"/>
        <v>2.2944796287139072E-3</v>
      </c>
    </row>
    <row r="1308" spans="1:3" x14ac:dyDescent="0.25">
      <c r="A1308" s="238">
        <v>38790</v>
      </c>
      <c r="B1308" s="239">
        <v>1970.65</v>
      </c>
      <c r="C1308" s="242">
        <f t="shared" si="20"/>
        <v>1.0334084988874623E-2</v>
      </c>
    </row>
    <row r="1309" spans="1:3" x14ac:dyDescent="0.25">
      <c r="A1309" s="238">
        <v>38791</v>
      </c>
      <c r="B1309" s="239">
        <v>1979.21</v>
      </c>
      <c r="C1309" s="242">
        <f t="shared" si="20"/>
        <v>4.3343376226095227E-3</v>
      </c>
    </row>
    <row r="1310" spans="1:3" x14ac:dyDescent="0.25">
      <c r="A1310" s="238">
        <v>38792</v>
      </c>
      <c r="B1310" s="239">
        <v>1982.76</v>
      </c>
      <c r="C1310" s="242">
        <f t="shared" si="20"/>
        <v>1.7920382789570013E-3</v>
      </c>
    </row>
    <row r="1311" spans="1:3" x14ac:dyDescent="0.25">
      <c r="A1311" s="238">
        <v>38793</v>
      </c>
      <c r="B1311" s="239">
        <v>1985.69</v>
      </c>
      <c r="C1311" s="242">
        <f t="shared" si="20"/>
        <v>1.4766473219531111E-3</v>
      </c>
    </row>
    <row r="1312" spans="1:3" x14ac:dyDescent="0.25">
      <c r="A1312" s="238">
        <v>38796</v>
      </c>
      <c r="B1312" s="239">
        <v>1982.4</v>
      </c>
      <c r="C1312" s="242">
        <f t="shared" si="20"/>
        <v>-1.6582288979747404E-3</v>
      </c>
    </row>
    <row r="1313" spans="1:3" x14ac:dyDescent="0.25">
      <c r="A1313" s="238">
        <v>38797</v>
      </c>
      <c r="B1313" s="239">
        <v>1970.5</v>
      </c>
      <c r="C1313" s="242">
        <f t="shared" si="20"/>
        <v>-6.0209142398197002E-3</v>
      </c>
    </row>
    <row r="1314" spans="1:3" x14ac:dyDescent="0.25">
      <c r="A1314" s="238">
        <v>38798</v>
      </c>
      <c r="B1314" s="239">
        <v>1982.4</v>
      </c>
      <c r="C1314" s="242">
        <f t="shared" si="20"/>
        <v>6.0209142398197678E-3</v>
      </c>
    </row>
    <row r="1315" spans="1:3" x14ac:dyDescent="0.25">
      <c r="A1315" s="238">
        <v>38799</v>
      </c>
      <c r="B1315" s="239">
        <v>1977.29</v>
      </c>
      <c r="C1315" s="242">
        <f t="shared" si="20"/>
        <v>-2.5810115623899148E-3</v>
      </c>
    </row>
    <row r="1316" spans="1:3" x14ac:dyDescent="0.25">
      <c r="A1316" s="238">
        <v>38800</v>
      </c>
      <c r="B1316" s="239">
        <v>1979.24</v>
      </c>
      <c r="C1316" s="242">
        <f t="shared" si="20"/>
        <v>9.8571230744600022E-4</v>
      </c>
    </row>
    <row r="1317" spans="1:3" x14ac:dyDescent="0.25">
      <c r="A1317" s="238">
        <v>38803</v>
      </c>
      <c r="B1317" s="239">
        <v>1977.19</v>
      </c>
      <c r="C1317" s="242">
        <f t="shared" si="20"/>
        <v>-1.0362878572130146E-3</v>
      </c>
    </row>
    <row r="1318" spans="1:3" x14ac:dyDescent="0.25">
      <c r="A1318" s="238">
        <v>38804</v>
      </c>
      <c r="B1318" s="239">
        <v>1964.47</v>
      </c>
      <c r="C1318" s="242">
        <f t="shared" si="20"/>
        <v>-6.4541559421492974E-3</v>
      </c>
    </row>
    <row r="1319" spans="1:3" x14ac:dyDescent="0.25">
      <c r="A1319" s="238">
        <v>38805</v>
      </c>
      <c r="B1319" s="239">
        <v>1979.51</v>
      </c>
      <c r="C1319" s="242">
        <f t="shared" si="20"/>
        <v>7.6268504936060008E-3</v>
      </c>
    </row>
    <row r="1320" spans="1:3" x14ac:dyDescent="0.25">
      <c r="A1320" s="238">
        <v>38806</v>
      </c>
      <c r="B1320" s="239">
        <v>1975.6000000000001</v>
      </c>
      <c r="C1320" s="242">
        <f t="shared" si="20"/>
        <v>-1.9771896477080025E-3</v>
      </c>
    </row>
    <row r="1321" spans="1:3" x14ac:dyDescent="0.25">
      <c r="A1321" s="238">
        <v>38807</v>
      </c>
      <c r="B1321" s="239">
        <v>1967.38</v>
      </c>
      <c r="C1321" s="242">
        <f t="shared" si="20"/>
        <v>-4.1694413404083424E-3</v>
      </c>
    </row>
    <row r="1322" spans="1:3" x14ac:dyDescent="0.25">
      <c r="A1322" s="238">
        <v>38810</v>
      </c>
      <c r="B1322" s="239">
        <v>1971.92</v>
      </c>
      <c r="C1322" s="242">
        <f t="shared" si="20"/>
        <v>2.3049790622993228E-3</v>
      </c>
    </row>
    <row r="1323" spans="1:3" x14ac:dyDescent="0.25">
      <c r="A1323" s="238">
        <v>38811</v>
      </c>
      <c r="B1323" s="239">
        <v>1984.47</v>
      </c>
      <c r="C1323" s="242">
        <f t="shared" si="20"/>
        <v>6.3441885625195905E-3</v>
      </c>
    </row>
    <row r="1324" spans="1:3" x14ac:dyDescent="0.25">
      <c r="A1324" s="238">
        <v>38812</v>
      </c>
      <c r="B1324" s="239">
        <v>1993.21</v>
      </c>
      <c r="C1324" s="242">
        <f t="shared" si="20"/>
        <v>4.3945285017809458E-3</v>
      </c>
    </row>
    <row r="1325" spans="1:3" x14ac:dyDescent="0.25">
      <c r="A1325" s="238">
        <v>38813</v>
      </c>
      <c r="B1325" s="239">
        <v>1989.8700000000001</v>
      </c>
      <c r="C1325" s="242">
        <f t="shared" si="20"/>
        <v>-1.6770945011663943E-3</v>
      </c>
    </row>
    <row r="1326" spans="1:3" x14ac:dyDescent="0.25">
      <c r="A1326" s="238">
        <v>38814</v>
      </c>
      <c r="B1326" s="239">
        <v>1969.3</v>
      </c>
      <c r="C1326" s="242">
        <f t="shared" si="20"/>
        <v>-1.0391160313344274E-2</v>
      </c>
    </row>
    <row r="1327" spans="1:3" x14ac:dyDescent="0.25">
      <c r="A1327" s="238">
        <v>38817</v>
      </c>
      <c r="B1327" s="239">
        <v>1971.02</v>
      </c>
      <c r="C1327" s="242">
        <f t="shared" si="20"/>
        <v>8.730255965225509E-4</v>
      </c>
    </row>
    <row r="1328" spans="1:3" x14ac:dyDescent="0.25">
      <c r="A1328" s="238">
        <v>38818</v>
      </c>
      <c r="B1328" s="239">
        <v>1956.1100000000001</v>
      </c>
      <c r="C1328" s="242">
        <f t="shared" si="20"/>
        <v>-7.5933680023496765E-3</v>
      </c>
    </row>
    <row r="1329" spans="1:3" x14ac:dyDescent="0.25">
      <c r="A1329" s="238">
        <v>38819</v>
      </c>
      <c r="B1329" s="239">
        <v>1958.49</v>
      </c>
      <c r="C1329" s="242">
        <f t="shared" si="20"/>
        <v>1.2159609120972314E-3</v>
      </c>
    </row>
    <row r="1330" spans="1:3" x14ac:dyDescent="0.25">
      <c r="A1330" s="238">
        <v>38820</v>
      </c>
      <c r="B1330" s="239">
        <v>1960.01</v>
      </c>
      <c r="C1330" s="242">
        <f t="shared" si="20"/>
        <v>7.7580710794316265E-4</v>
      </c>
    </row>
    <row r="1331" spans="1:3" x14ac:dyDescent="0.25">
      <c r="A1331" s="238">
        <v>38824</v>
      </c>
      <c r="B1331" s="239">
        <v>1954.25</v>
      </c>
      <c r="C1331" s="242">
        <f t="shared" si="20"/>
        <v>-2.9430871519240632E-3</v>
      </c>
    </row>
    <row r="1332" spans="1:3" x14ac:dyDescent="0.25">
      <c r="A1332" s="238">
        <v>38825</v>
      </c>
      <c r="B1332" s="239">
        <v>1988.18</v>
      </c>
      <c r="C1332" s="242">
        <f t="shared" si="20"/>
        <v>1.7213159276843474E-2</v>
      </c>
    </row>
    <row r="1333" spans="1:3" x14ac:dyDescent="0.25">
      <c r="A1333" s="238">
        <v>38826</v>
      </c>
      <c r="B1333" s="239">
        <v>1991.8400000000001</v>
      </c>
      <c r="C1333" s="242">
        <f t="shared" si="20"/>
        <v>1.8391872561927657E-3</v>
      </c>
    </row>
    <row r="1334" spans="1:3" x14ac:dyDescent="0.25">
      <c r="A1334" s="238">
        <v>38827</v>
      </c>
      <c r="B1334" s="239">
        <v>1994.23</v>
      </c>
      <c r="C1334" s="242">
        <f t="shared" si="20"/>
        <v>1.1991762745793574E-3</v>
      </c>
    </row>
    <row r="1335" spans="1:3" x14ac:dyDescent="0.25">
      <c r="A1335" s="238">
        <v>38828</v>
      </c>
      <c r="B1335" s="239">
        <v>1993.99</v>
      </c>
      <c r="C1335" s="242">
        <f t="shared" si="20"/>
        <v>-1.2035444398240488E-4</v>
      </c>
    </row>
    <row r="1336" spans="1:3" x14ac:dyDescent="0.25">
      <c r="A1336" s="238">
        <v>38831</v>
      </c>
      <c r="B1336" s="239">
        <v>1989.2</v>
      </c>
      <c r="C1336" s="242">
        <f t="shared" si="20"/>
        <v>-2.4051086234893109E-3</v>
      </c>
    </row>
    <row r="1337" spans="1:3" x14ac:dyDescent="0.25">
      <c r="A1337" s="238">
        <v>38832</v>
      </c>
      <c r="B1337" s="239">
        <v>1979.51</v>
      </c>
      <c r="C1337" s="242">
        <f t="shared" si="20"/>
        <v>-4.8832085264056716E-3</v>
      </c>
    </row>
    <row r="1338" spans="1:3" x14ac:dyDescent="0.25">
      <c r="A1338" s="238">
        <v>38833</v>
      </c>
      <c r="B1338" s="239">
        <v>1985.28</v>
      </c>
      <c r="C1338" s="242">
        <f t="shared" si="20"/>
        <v>2.9106227938868446E-3</v>
      </c>
    </row>
    <row r="1339" spans="1:3" x14ac:dyDescent="0.25">
      <c r="A1339" s="238">
        <v>38834</v>
      </c>
      <c r="B1339" s="239">
        <v>1992.39</v>
      </c>
      <c r="C1339" s="242">
        <f t="shared" si="20"/>
        <v>3.574961005992828E-3</v>
      </c>
    </row>
    <row r="1340" spans="1:3" x14ac:dyDescent="0.25">
      <c r="A1340" s="238">
        <v>38835</v>
      </c>
      <c r="B1340" s="239">
        <v>1993.79</v>
      </c>
      <c r="C1340" s="242">
        <f t="shared" si="20"/>
        <v>7.0242691376881845E-4</v>
      </c>
    </row>
    <row r="1341" spans="1:3" x14ac:dyDescent="0.25">
      <c r="A1341" s="238">
        <v>38838</v>
      </c>
      <c r="B1341" s="239">
        <v>1985.55</v>
      </c>
      <c r="C1341" s="242">
        <f t="shared" si="20"/>
        <v>-4.1413961999367975E-3</v>
      </c>
    </row>
    <row r="1342" spans="1:3" x14ac:dyDescent="0.25">
      <c r="A1342" s="238">
        <v>38839</v>
      </c>
      <c r="B1342" s="239">
        <v>1997.75</v>
      </c>
      <c r="C1342" s="242">
        <f t="shared" si="20"/>
        <v>6.1255934266827971E-3</v>
      </c>
    </row>
    <row r="1343" spans="1:3" x14ac:dyDescent="0.25">
      <c r="A1343" s="238">
        <v>38840</v>
      </c>
      <c r="B1343" s="239">
        <v>1989.97</v>
      </c>
      <c r="C1343" s="242">
        <f t="shared" si="20"/>
        <v>-3.9019840265530959E-3</v>
      </c>
    </row>
    <row r="1344" spans="1:3" x14ac:dyDescent="0.25">
      <c r="A1344" s="238">
        <v>38841</v>
      </c>
      <c r="B1344" s="239">
        <v>1996.74</v>
      </c>
      <c r="C1344" s="242">
        <f t="shared" si="20"/>
        <v>3.3962874187138279E-3</v>
      </c>
    </row>
    <row r="1345" spans="1:3" x14ac:dyDescent="0.25">
      <c r="A1345" s="238">
        <v>38842</v>
      </c>
      <c r="B1345" s="239">
        <v>2017.3400000000001</v>
      </c>
      <c r="C1345" s="242">
        <f t="shared" si="20"/>
        <v>1.0263961280607138E-2</v>
      </c>
    </row>
    <row r="1346" spans="1:3" x14ac:dyDescent="0.25">
      <c r="A1346" s="238">
        <v>38845</v>
      </c>
      <c r="B1346" s="239">
        <v>2015.8400000000001</v>
      </c>
      <c r="C1346" s="242">
        <f t="shared" si="20"/>
        <v>-7.4382996502030433E-4</v>
      </c>
    </row>
    <row r="1347" spans="1:3" x14ac:dyDescent="0.25">
      <c r="A1347" s="238">
        <v>38846</v>
      </c>
      <c r="B1347" s="239">
        <v>2016.5900000000001</v>
      </c>
      <c r="C1347" s="242">
        <f t="shared" si="20"/>
        <v>3.719841428856147E-4</v>
      </c>
    </row>
    <row r="1348" spans="1:3" x14ac:dyDescent="0.25">
      <c r="A1348" s="238">
        <v>38847</v>
      </c>
      <c r="B1348" s="239">
        <v>2013.99</v>
      </c>
      <c r="C1348" s="242">
        <f t="shared" si="20"/>
        <v>-1.2901370823215207E-3</v>
      </c>
    </row>
    <row r="1349" spans="1:3" x14ac:dyDescent="0.25">
      <c r="A1349" s="238">
        <v>38848</v>
      </c>
      <c r="B1349" s="239">
        <v>1988.56</v>
      </c>
      <c r="C1349" s="242">
        <f t="shared" ref="C1349:C1412" si="21">LN(B1349/B1348)</f>
        <v>-1.2707070332738041E-2</v>
      </c>
    </row>
    <row r="1350" spans="1:3" x14ac:dyDescent="0.25">
      <c r="A1350" s="238">
        <v>38849</v>
      </c>
      <c r="B1350" s="239">
        <v>1966.27</v>
      </c>
      <c r="C1350" s="242">
        <f t="shared" si="21"/>
        <v>-1.1272411722853695E-2</v>
      </c>
    </row>
    <row r="1351" spans="1:3" x14ac:dyDescent="0.25">
      <c r="A1351" s="238">
        <v>38852</v>
      </c>
      <c r="B1351" s="239">
        <v>1971.45</v>
      </c>
      <c r="C1351" s="242">
        <f t="shared" si="21"/>
        <v>2.6309656288349731E-3</v>
      </c>
    </row>
    <row r="1352" spans="1:3" x14ac:dyDescent="0.25">
      <c r="A1352" s="238">
        <v>38853</v>
      </c>
      <c r="B1352" s="239">
        <v>1967.79</v>
      </c>
      <c r="C1352" s="242">
        <f t="shared" si="21"/>
        <v>-1.8582269946321186E-3</v>
      </c>
    </row>
    <row r="1353" spans="1:3" x14ac:dyDescent="0.25">
      <c r="A1353" s="238">
        <v>38854</v>
      </c>
      <c r="B1353" s="239">
        <v>1935.18</v>
      </c>
      <c r="C1353" s="242">
        <f t="shared" si="21"/>
        <v>-1.6710740208193384E-2</v>
      </c>
    </row>
    <row r="1354" spans="1:3" x14ac:dyDescent="0.25">
      <c r="A1354" s="238">
        <v>38855</v>
      </c>
      <c r="B1354" s="239">
        <v>1922.32</v>
      </c>
      <c r="C1354" s="242">
        <f t="shared" si="21"/>
        <v>-6.6675554853120574E-3</v>
      </c>
    </row>
    <row r="1355" spans="1:3" x14ac:dyDescent="0.25">
      <c r="A1355" s="238">
        <v>38856</v>
      </c>
      <c r="B1355" s="239">
        <v>1930.27</v>
      </c>
      <c r="C1355" s="242">
        <f t="shared" si="21"/>
        <v>4.1270995794138229E-3</v>
      </c>
    </row>
    <row r="1356" spans="1:3" x14ac:dyDescent="0.25">
      <c r="A1356" s="238">
        <v>38859</v>
      </c>
      <c r="B1356" s="239">
        <v>1922.72</v>
      </c>
      <c r="C1356" s="242">
        <f t="shared" si="21"/>
        <v>-3.9190393244134787E-3</v>
      </c>
    </row>
    <row r="1357" spans="1:3" x14ac:dyDescent="0.25">
      <c r="A1357" s="238">
        <v>38860</v>
      </c>
      <c r="B1357" s="239">
        <v>1914.38</v>
      </c>
      <c r="C1357" s="242">
        <f t="shared" si="21"/>
        <v>-4.3470397608820479E-3</v>
      </c>
    </row>
    <row r="1358" spans="1:3" x14ac:dyDescent="0.25">
      <c r="A1358" s="238">
        <v>38861</v>
      </c>
      <c r="B1358" s="239">
        <v>1917.48</v>
      </c>
      <c r="C1358" s="242">
        <f t="shared" si="21"/>
        <v>1.6180135371898674E-3</v>
      </c>
    </row>
    <row r="1359" spans="1:3" x14ac:dyDescent="0.25">
      <c r="A1359" s="238">
        <v>38862</v>
      </c>
      <c r="B1359" s="239">
        <v>1939.52</v>
      </c>
      <c r="C1359" s="242">
        <f t="shared" si="21"/>
        <v>1.1428695823622629E-2</v>
      </c>
    </row>
    <row r="1360" spans="1:3" x14ac:dyDescent="0.25">
      <c r="A1360" s="238">
        <v>38863</v>
      </c>
      <c r="B1360" s="239">
        <v>1950.8700000000001</v>
      </c>
      <c r="C1360" s="242">
        <f t="shared" si="21"/>
        <v>5.8349071439918057E-3</v>
      </c>
    </row>
    <row r="1361" spans="1:3" x14ac:dyDescent="0.25">
      <c r="A1361" s="238">
        <v>38867</v>
      </c>
      <c r="B1361" s="239">
        <v>1920.0900000000001</v>
      </c>
      <c r="C1361" s="242">
        <f t="shared" si="21"/>
        <v>-1.59033669836832E-2</v>
      </c>
    </row>
    <row r="1362" spans="1:3" x14ac:dyDescent="0.25">
      <c r="A1362" s="238">
        <v>38868</v>
      </c>
      <c r="B1362" s="239">
        <v>1936.41</v>
      </c>
      <c r="C1362" s="242">
        <f t="shared" si="21"/>
        <v>8.4636833512440335E-3</v>
      </c>
    </row>
    <row r="1363" spans="1:3" x14ac:dyDescent="0.25">
      <c r="A1363" s="238">
        <v>38869</v>
      </c>
      <c r="B1363" s="239">
        <v>1960.28</v>
      </c>
      <c r="C1363" s="242">
        <f t="shared" si="21"/>
        <v>1.2251576889837117E-2</v>
      </c>
    </row>
    <row r="1364" spans="1:3" x14ac:dyDescent="0.25">
      <c r="A1364" s="238">
        <v>38870</v>
      </c>
      <c r="B1364" s="239">
        <v>1964.1100000000001</v>
      </c>
      <c r="C1364" s="242">
        <f t="shared" si="21"/>
        <v>1.9518963283429542E-3</v>
      </c>
    </row>
    <row r="1365" spans="1:3" x14ac:dyDescent="0.25">
      <c r="A1365" s="238">
        <v>38873</v>
      </c>
      <c r="B1365" s="239">
        <v>1929.23</v>
      </c>
      <c r="C1365" s="242">
        <f t="shared" si="21"/>
        <v>-1.7918256931495211E-2</v>
      </c>
    </row>
    <row r="1366" spans="1:3" x14ac:dyDescent="0.25">
      <c r="A1366" s="238">
        <v>38874</v>
      </c>
      <c r="B1366" s="239">
        <v>1927.13</v>
      </c>
      <c r="C1366" s="242">
        <f t="shared" si="21"/>
        <v>-1.0891100455237813E-3</v>
      </c>
    </row>
    <row r="1367" spans="1:3" x14ac:dyDescent="0.25">
      <c r="A1367" s="238">
        <v>38875</v>
      </c>
      <c r="B1367" s="239">
        <v>1915.77</v>
      </c>
      <c r="C1367" s="242">
        <f t="shared" si="21"/>
        <v>-5.9122189440696917E-3</v>
      </c>
    </row>
    <row r="1368" spans="1:3" x14ac:dyDescent="0.25">
      <c r="A1368" s="238">
        <v>38876</v>
      </c>
      <c r="B1368" s="239">
        <v>1918.5900000000001</v>
      </c>
      <c r="C1368" s="242">
        <f t="shared" si="21"/>
        <v>1.4709106648520187E-3</v>
      </c>
    </row>
    <row r="1369" spans="1:3" x14ac:dyDescent="0.25">
      <c r="A1369" s="238">
        <v>38877</v>
      </c>
      <c r="B1369" s="239">
        <v>1910.01</v>
      </c>
      <c r="C1369" s="242">
        <f t="shared" si="21"/>
        <v>-4.482063607352366E-3</v>
      </c>
    </row>
    <row r="1370" spans="1:3" x14ac:dyDescent="0.25">
      <c r="A1370" s="238">
        <v>38880</v>
      </c>
      <c r="B1370" s="239">
        <v>1885.81</v>
      </c>
      <c r="C1370" s="242">
        <f t="shared" si="21"/>
        <v>-1.2751040822279737E-2</v>
      </c>
    </row>
    <row r="1371" spans="1:3" x14ac:dyDescent="0.25">
      <c r="A1371" s="238">
        <v>38881</v>
      </c>
      <c r="B1371" s="239">
        <v>1866.92</v>
      </c>
      <c r="C1371" s="242">
        <f t="shared" si="21"/>
        <v>-1.0067422674289613E-2</v>
      </c>
    </row>
    <row r="1372" spans="1:3" x14ac:dyDescent="0.25">
      <c r="A1372" s="238">
        <v>38882</v>
      </c>
      <c r="B1372" s="239">
        <v>1876.67</v>
      </c>
      <c r="C1372" s="242">
        <f t="shared" si="21"/>
        <v>5.2089155304886293E-3</v>
      </c>
    </row>
    <row r="1373" spans="1:3" x14ac:dyDescent="0.25">
      <c r="A1373" s="238">
        <v>38883</v>
      </c>
      <c r="B1373" s="239">
        <v>1916.56</v>
      </c>
      <c r="C1373" s="242">
        <f t="shared" si="21"/>
        <v>2.1032982737750471E-2</v>
      </c>
    </row>
    <row r="1374" spans="1:3" x14ac:dyDescent="0.25">
      <c r="A1374" s="238">
        <v>38884</v>
      </c>
      <c r="B1374" s="239">
        <v>1909.52</v>
      </c>
      <c r="C1374" s="242">
        <f t="shared" si="21"/>
        <v>-3.680010843954952E-3</v>
      </c>
    </row>
    <row r="1375" spans="1:3" x14ac:dyDescent="0.25">
      <c r="A1375" s="238">
        <v>38887</v>
      </c>
      <c r="B1375" s="239">
        <v>1892.1200000000001</v>
      </c>
      <c r="C1375" s="242">
        <f t="shared" si="21"/>
        <v>-9.1540080090860235E-3</v>
      </c>
    </row>
    <row r="1376" spans="1:3" x14ac:dyDescent="0.25">
      <c r="A1376" s="238">
        <v>38888</v>
      </c>
      <c r="B1376" s="239">
        <v>1892.13</v>
      </c>
      <c r="C1376" s="242">
        <f t="shared" si="21"/>
        <v>5.2850630904677868E-6</v>
      </c>
    </row>
    <row r="1377" spans="1:3" x14ac:dyDescent="0.25">
      <c r="A1377" s="238">
        <v>38889</v>
      </c>
      <c r="B1377" s="239">
        <v>1910.6200000000001</v>
      </c>
      <c r="C1377" s="242">
        <f t="shared" si="21"/>
        <v>9.7246180861748147E-3</v>
      </c>
    </row>
    <row r="1378" spans="1:3" x14ac:dyDescent="0.25">
      <c r="A1378" s="238">
        <v>38890</v>
      </c>
      <c r="B1378" s="239">
        <v>1900.98</v>
      </c>
      <c r="C1378" s="242">
        <f t="shared" si="21"/>
        <v>-5.058254042410038E-3</v>
      </c>
    </row>
    <row r="1379" spans="1:3" x14ac:dyDescent="0.25">
      <c r="A1379" s="238">
        <v>38891</v>
      </c>
      <c r="B1379" s="239">
        <v>1899.32</v>
      </c>
      <c r="C1379" s="242">
        <f t="shared" si="21"/>
        <v>-8.7361529646432336E-4</v>
      </c>
    </row>
    <row r="1380" spans="1:3" x14ac:dyDescent="0.25">
      <c r="A1380" s="238">
        <v>38894</v>
      </c>
      <c r="B1380" s="239">
        <v>1908.56</v>
      </c>
      <c r="C1380" s="242">
        <f t="shared" si="21"/>
        <v>4.8531036353595004E-3</v>
      </c>
    </row>
    <row r="1381" spans="1:3" x14ac:dyDescent="0.25">
      <c r="A1381" s="238">
        <v>38895</v>
      </c>
      <c r="B1381" s="239">
        <v>1891.24</v>
      </c>
      <c r="C1381" s="242">
        <f t="shared" si="21"/>
        <v>-9.1163324131179491E-3</v>
      </c>
    </row>
    <row r="1382" spans="1:3" x14ac:dyDescent="0.25">
      <c r="A1382" s="238">
        <v>38896</v>
      </c>
      <c r="B1382" s="239">
        <v>1901.98</v>
      </c>
      <c r="C1382" s="242">
        <f t="shared" si="21"/>
        <v>5.6627502226165981E-3</v>
      </c>
    </row>
    <row r="1383" spans="1:3" x14ac:dyDescent="0.25">
      <c r="A1383" s="238">
        <v>38897</v>
      </c>
      <c r="B1383" s="239">
        <v>1943.08</v>
      </c>
      <c r="C1383" s="242">
        <f t="shared" si="21"/>
        <v>2.1378894170024618E-2</v>
      </c>
    </row>
    <row r="1384" spans="1:3" x14ac:dyDescent="0.25">
      <c r="A1384" s="238">
        <v>38898</v>
      </c>
      <c r="B1384" s="239">
        <v>1939.03</v>
      </c>
      <c r="C1384" s="242">
        <f t="shared" si="21"/>
        <v>-2.0864949572747585E-3</v>
      </c>
    </row>
    <row r="1385" spans="1:3" x14ac:dyDescent="0.25">
      <c r="A1385" s="238">
        <v>38901</v>
      </c>
      <c r="B1385" s="239">
        <v>1954.49</v>
      </c>
      <c r="C1385" s="242">
        <f t="shared" si="21"/>
        <v>7.9414418061734566E-3</v>
      </c>
    </row>
    <row r="1386" spans="1:3" x14ac:dyDescent="0.25">
      <c r="A1386" s="238">
        <v>38903</v>
      </c>
      <c r="B1386" s="239">
        <v>1940.55</v>
      </c>
      <c r="C1386" s="242">
        <f t="shared" si="21"/>
        <v>-7.1578517898443824E-3</v>
      </c>
    </row>
    <row r="1387" spans="1:3" x14ac:dyDescent="0.25">
      <c r="A1387" s="238">
        <v>38904</v>
      </c>
      <c r="B1387" s="239">
        <v>1945.9</v>
      </c>
      <c r="C1387" s="242">
        <f t="shared" si="21"/>
        <v>2.753156932089515E-3</v>
      </c>
    </row>
    <row r="1388" spans="1:3" x14ac:dyDescent="0.25">
      <c r="A1388" s="238">
        <v>38905</v>
      </c>
      <c r="B1388" s="239">
        <v>1932.75</v>
      </c>
      <c r="C1388" s="242">
        <f t="shared" si="21"/>
        <v>-6.7807357635260258E-3</v>
      </c>
    </row>
    <row r="1389" spans="1:3" x14ac:dyDescent="0.25">
      <c r="A1389" s="238">
        <v>38908</v>
      </c>
      <c r="B1389" s="239">
        <v>1935.6100000000001</v>
      </c>
      <c r="C1389" s="242">
        <f t="shared" si="21"/>
        <v>1.4786630619191034E-3</v>
      </c>
    </row>
    <row r="1390" spans="1:3" x14ac:dyDescent="0.25">
      <c r="A1390" s="238">
        <v>38909</v>
      </c>
      <c r="B1390" s="239">
        <v>1943.66</v>
      </c>
      <c r="C1390" s="242">
        <f t="shared" si="21"/>
        <v>4.1502713422549497E-3</v>
      </c>
    </row>
    <row r="1391" spans="1:3" x14ac:dyDescent="0.25">
      <c r="A1391" s="238">
        <v>38910</v>
      </c>
      <c r="B1391" s="239">
        <v>1922.6200000000001</v>
      </c>
      <c r="C1391" s="242">
        <f t="shared" si="21"/>
        <v>-1.0883954447308952E-2</v>
      </c>
    </row>
    <row r="1392" spans="1:3" x14ac:dyDescent="0.25">
      <c r="A1392" s="238">
        <v>38911</v>
      </c>
      <c r="B1392" s="239">
        <v>1897.73</v>
      </c>
      <c r="C1392" s="242">
        <f t="shared" si="21"/>
        <v>-1.3030404112047651E-2</v>
      </c>
    </row>
    <row r="1393" spans="1:3" x14ac:dyDescent="0.25">
      <c r="A1393" s="238">
        <v>38912</v>
      </c>
      <c r="B1393" s="239">
        <v>1888.43</v>
      </c>
      <c r="C1393" s="242">
        <f t="shared" si="21"/>
        <v>-4.9126390347262712E-3</v>
      </c>
    </row>
    <row r="1394" spans="1:3" x14ac:dyDescent="0.25">
      <c r="A1394" s="238">
        <v>38915</v>
      </c>
      <c r="B1394" s="239">
        <v>1885.82</v>
      </c>
      <c r="C1394" s="242">
        <f t="shared" si="21"/>
        <v>-1.3830564568028298E-3</v>
      </c>
    </row>
    <row r="1395" spans="1:3" x14ac:dyDescent="0.25">
      <c r="A1395" s="238">
        <v>38916</v>
      </c>
      <c r="B1395" s="239">
        <v>1889.48</v>
      </c>
      <c r="C1395" s="242">
        <f t="shared" si="21"/>
        <v>1.9389193688551533E-3</v>
      </c>
    </row>
    <row r="1396" spans="1:3" x14ac:dyDescent="0.25">
      <c r="A1396" s="238">
        <v>38917</v>
      </c>
      <c r="B1396" s="239">
        <v>1924.74</v>
      </c>
      <c r="C1396" s="242">
        <f t="shared" si="21"/>
        <v>1.8489234742002234E-2</v>
      </c>
    </row>
    <row r="1397" spans="1:3" x14ac:dyDescent="0.25">
      <c r="A1397" s="238">
        <v>38918</v>
      </c>
      <c r="B1397" s="239">
        <v>1908.42</v>
      </c>
      <c r="C1397" s="242">
        <f t="shared" si="21"/>
        <v>-8.5152190944606191E-3</v>
      </c>
    </row>
    <row r="1398" spans="1:3" x14ac:dyDescent="0.25">
      <c r="A1398" s="238">
        <v>38919</v>
      </c>
      <c r="B1398" s="239">
        <v>1894.94</v>
      </c>
      <c r="C1398" s="242">
        <f t="shared" si="21"/>
        <v>-7.0884988241321552E-3</v>
      </c>
    </row>
    <row r="1399" spans="1:3" x14ac:dyDescent="0.25">
      <c r="A1399" s="238">
        <v>38922</v>
      </c>
      <c r="B1399" s="239">
        <v>1926.5</v>
      </c>
      <c r="C1399" s="242">
        <f t="shared" si="21"/>
        <v>1.6517709320075079E-2</v>
      </c>
    </row>
    <row r="1400" spans="1:3" x14ac:dyDescent="0.25">
      <c r="A1400" s="238">
        <v>38923</v>
      </c>
      <c r="B1400" s="239">
        <v>1938.68</v>
      </c>
      <c r="C1400" s="242">
        <f t="shared" si="21"/>
        <v>6.3024440344751232E-3</v>
      </c>
    </row>
    <row r="1401" spans="1:3" x14ac:dyDescent="0.25">
      <c r="A1401" s="238">
        <v>38924</v>
      </c>
      <c r="B1401" s="239">
        <v>1937.96</v>
      </c>
      <c r="C1401" s="242">
        <f t="shared" si="21"/>
        <v>-3.7145569786141761E-4</v>
      </c>
    </row>
    <row r="1402" spans="1:3" x14ac:dyDescent="0.25">
      <c r="A1402" s="238">
        <v>38925</v>
      </c>
      <c r="B1402" s="239">
        <v>1930.32</v>
      </c>
      <c r="C1402" s="242">
        <f t="shared" si="21"/>
        <v>-3.9500811389026561E-3</v>
      </c>
    </row>
    <row r="1403" spans="1:3" x14ac:dyDescent="0.25">
      <c r="A1403" s="238">
        <v>38926</v>
      </c>
      <c r="B1403" s="239">
        <v>1953.8600000000001</v>
      </c>
      <c r="C1403" s="242">
        <f t="shared" si="21"/>
        <v>1.212111087023144E-2</v>
      </c>
    </row>
    <row r="1404" spans="1:3" x14ac:dyDescent="0.25">
      <c r="A1404" s="238">
        <v>38929</v>
      </c>
      <c r="B1404" s="239">
        <v>1950.99</v>
      </c>
      <c r="C1404" s="242">
        <f t="shared" si="21"/>
        <v>-1.4699671008065102E-3</v>
      </c>
    </row>
    <row r="1405" spans="1:3" x14ac:dyDescent="0.25">
      <c r="A1405" s="238">
        <v>38930</v>
      </c>
      <c r="B1405" s="239">
        <v>1942.22</v>
      </c>
      <c r="C1405" s="242">
        <f t="shared" si="21"/>
        <v>-4.5052873254551838E-3</v>
      </c>
    </row>
    <row r="1406" spans="1:3" x14ac:dyDescent="0.25">
      <c r="A1406" s="238">
        <v>38931</v>
      </c>
      <c r="B1406" s="239">
        <v>1954.18</v>
      </c>
      <c r="C1406" s="242">
        <f t="shared" si="21"/>
        <v>6.1390193829742304E-3</v>
      </c>
    </row>
    <row r="1407" spans="1:3" x14ac:dyDescent="0.25">
      <c r="A1407" s="238">
        <v>38932</v>
      </c>
      <c r="B1407" s="239">
        <v>1957.41</v>
      </c>
      <c r="C1407" s="242">
        <f t="shared" si="21"/>
        <v>1.6515027056218873E-3</v>
      </c>
    </row>
    <row r="1408" spans="1:3" x14ac:dyDescent="0.25">
      <c r="A1408" s="238">
        <v>38933</v>
      </c>
      <c r="B1408" s="239">
        <v>1956.05</v>
      </c>
      <c r="C1408" s="242">
        <f t="shared" si="21"/>
        <v>-6.9503715624983969E-4</v>
      </c>
    </row>
    <row r="1409" spans="1:3" x14ac:dyDescent="0.25">
      <c r="A1409" s="238">
        <v>38936</v>
      </c>
      <c r="B1409" s="239">
        <v>1950.63</v>
      </c>
      <c r="C1409" s="242">
        <f t="shared" si="21"/>
        <v>-2.7747363374805096E-3</v>
      </c>
    </row>
    <row r="1410" spans="1:3" x14ac:dyDescent="0.25">
      <c r="A1410" s="238">
        <v>38937</v>
      </c>
      <c r="B1410" s="239">
        <v>1944.22</v>
      </c>
      <c r="C1410" s="242">
        <f t="shared" si="21"/>
        <v>-3.2915289611911316E-3</v>
      </c>
    </row>
    <row r="1411" spans="1:3" x14ac:dyDescent="0.25">
      <c r="A1411" s="238">
        <v>38938</v>
      </c>
      <c r="B1411" s="239">
        <v>1936.3</v>
      </c>
      <c r="C1411" s="242">
        <f t="shared" si="21"/>
        <v>-4.0819328322147606E-3</v>
      </c>
    </row>
    <row r="1412" spans="1:3" x14ac:dyDescent="0.25">
      <c r="A1412" s="238">
        <v>38939</v>
      </c>
      <c r="B1412" s="239">
        <v>1945.6100000000001</v>
      </c>
      <c r="C1412" s="242">
        <f t="shared" si="21"/>
        <v>4.7966170519183034E-3</v>
      </c>
    </row>
    <row r="1413" spans="1:3" x14ac:dyDescent="0.25">
      <c r="A1413" s="238">
        <v>38940</v>
      </c>
      <c r="B1413" s="239">
        <v>1938.13</v>
      </c>
      <c r="C1413" s="242">
        <f t="shared" ref="C1413:C1476" si="22">LN(B1413/B1412)</f>
        <v>-3.8519618969214279E-3</v>
      </c>
    </row>
    <row r="1414" spans="1:3" x14ac:dyDescent="0.25">
      <c r="A1414" s="238">
        <v>38943</v>
      </c>
      <c r="B1414" s="239">
        <v>1940.5</v>
      </c>
      <c r="C1414" s="242">
        <f t="shared" si="22"/>
        <v>1.222081144611745E-3</v>
      </c>
    </row>
    <row r="1415" spans="1:3" x14ac:dyDescent="0.25">
      <c r="A1415" s="238">
        <v>38944</v>
      </c>
      <c r="B1415" s="239">
        <v>1967.26</v>
      </c>
      <c r="C1415" s="242">
        <f t="shared" si="22"/>
        <v>1.3696039831234675E-2</v>
      </c>
    </row>
    <row r="1416" spans="1:3" x14ac:dyDescent="0.25">
      <c r="A1416" s="238">
        <v>38945</v>
      </c>
      <c r="B1416" s="239">
        <v>1982.81</v>
      </c>
      <c r="C1416" s="242">
        <f t="shared" si="22"/>
        <v>7.8733188665131171E-3</v>
      </c>
    </row>
    <row r="1417" spans="1:3" x14ac:dyDescent="0.25">
      <c r="A1417" s="238">
        <v>38946</v>
      </c>
      <c r="B1417" s="239">
        <v>1986.04</v>
      </c>
      <c r="C1417" s="242">
        <f t="shared" si="22"/>
        <v>1.6276758824903055E-3</v>
      </c>
    </row>
    <row r="1418" spans="1:3" x14ac:dyDescent="0.25">
      <c r="A1418" s="238">
        <v>38947</v>
      </c>
      <c r="B1418" s="239">
        <v>1993.43</v>
      </c>
      <c r="C1418" s="242">
        <f t="shared" si="22"/>
        <v>3.7140666948023305E-3</v>
      </c>
    </row>
    <row r="1419" spans="1:3" x14ac:dyDescent="0.25">
      <c r="A1419" s="238">
        <v>38950</v>
      </c>
      <c r="B1419" s="239">
        <v>1986.1100000000001</v>
      </c>
      <c r="C1419" s="242">
        <f t="shared" si="22"/>
        <v>-3.6788212987284748E-3</v>
      </c>
    </row>
    <row r="1420" spans="1:3" x14ac:dyDescent="0.25">
      <c r="A1420" s="238">
        <v>38951</v>
      </c>
      <c r="B1420" s="239">
        <v>1988.1000000000001</v>
      </c>
      <c r="C1420" s="242">
        <f t="shared" si="22"/>
        <v>1.0014569770177575E-3</v>
      </c>
    </row>
    <row r="1421" spans="1:3" x14ac:dyDescent="0.25">
      <c r="A1421" s="238">
        <v>38952</v>
      </c>
      <c r="B1421" s="239">
        <v>1979.3500000000001</v>
      </c>
      <c r="C1421" s="242">
        <f t="shared" si="22"/>
        <v>-4.4109007985962774E-3</v>
      </c>
    </row>
    <row r="1422" spans="1:3" x14ac:dyDescent="0.25">
      <c r="A1422" s="238">
        <v>38953</v>
      </c>
      <c r="B1422" s="239">
        <v>1984.0900000000001</v>
      </c>
      <c r="C1422" s="242">
        <f t="shared" si="22"/>
        <v>2.391862755484077E-3</v>
      </c>
    </row>
    <row r="1423" spans="1:3" x14ac:dyDescent="0.25">
      <c r="A1423" s="238">
        <v>38954</v>
      </c>
      <c r="B1423" s="239">
        <v>1982.81</v>
      </c>
      <c r="C1423" s="242">
        <f t="shared" si="22"/>
        <v>-6.4534021246971153E-4</v>
      </c>
    </row>
    <row r="1424" spans="1:3" x14ac:dyDescent="0.25">
      <c r="A1424" s="238">
        <v>38957</v>
      </c>
      <c r="B1424" s="239">
        <v>1993.06</v>
      </c>
      <c r="C1424" s="242">
        <f t="shared" si="22"/>
        <v>5.1561156217191087E-3</v>
      </c>
    </row>
    <row r="1425" spans="1:3" x14ac:dyDescent="0.25">
      <c r="A1425" s="238">
        <v>38958</v>
      </c>
      <c r="B1425" s="239">
        <v>1997.2</v>
      </c>
      <c r="C1425" s="242">
        <f t="shared" si="22"/>
        <v>2.0750534980263379E-3</v>
      </c>
    </row>
    <row r="1426" spans="1:3" x14ac:dyDescent="0.25">
      <c r="A1426" s="238">
        <v>38959</v>
      </c>
      <c r="B1426" s="239">
        <v>1998.0800000000002</v>
      </c>
      <c r="C1426" s="242">
        <f t="shared" si="22"/>
        <v>4.4051982050366897E-4</v>
      </c>
    </row>
    <row r="1427" spans="1:3" x14ac:dyDescent="0.25">
      <c r="A1427" s="238">
        <v>38960</v>
      </c>
      <c r="B1427" s="239">
        <v>1997.42</v>
      </c>
      <c r="C1427" s="242">
        <f t="shared" si="22"/>
        <v>-3.3037167113160931E-4</v>
      </c>
    </row>
    <row r="1428" spans="1:3" x14ac:dyDescent="0.25">
      <c r="A1428" s="238">
        <v>38961</v>
      </c>
      <c r="B1428" s="239">
        <v>2008.47</v>
      </c>
      <c r="C1428" s="242">
        <f t="shared" si="22"/>
        <v>5.5168903921688087E-3</v>
      </c>
    </row>
    <row r="1429" spans="1:3" x14ac:dyDescent="0.25">
      <c r="A1429" s="238">
        <v>38965</v>
      </c>
      <c r="B1429" s="239">
        <v>2012</v>
      </c>
      <c r="C1429" s="242">
        <f t="shared" si="22"/>
        <v>1.7560140516347405E-3</v>
      </c>
    </row>
    <row r="1430" spans="1:3" x14ac:dyDescent="0.25">
      <c r="A1430" s="238">
        <v>38966</v>
      </c>
      <c r="B1430" s="239">
        <v>1992.42</v>
      </c>
      <c r="C1430" s="242">
        <f t="shared" si="22"/>
        <v>-9.77927192593246E-3</v>
      </c>
    </row>
    <row r="1431" spans="1:3" x14ac:dyDescent="0.25">
      <c r="A1431" s="238">
        <v>38967</v>
      </c>
      <c r="B1431" s="239">
        <v>1982.93</v>
      </c>
      <c r="C1431" s="242">
        <f t="shared" si="22"/>
        <v>-4.7744314473914572E-3</v>
      </c>
    </row>
    <row r="1432" spans="1:3" x14ac:dyDescent="0.25">
      <c r="A1432" s="238">
        <v>38968</v>
      </c>
      <c r="B1432" s="239">
        <v>1990.44</v>
      </c>
      <c r="C1432" s="242">
        <f t="shared" si="22"/>
        <v>3.7801709596456223E-3</v>
      </c>
    </row>
    <row r="1433" spans="1:3" x14ac:dyDescent="0.25">
      <c r="A1433" s="238">
        <v>38971</v>
      </c>
      <c r="B1433" s="239">
        <v>1991.49</v>
      </c>
      <c r="C1433" s="242">
        <f t="shared" si="22"/>
        <v>5.2738246244229785E-4</v>
      </c>
    </row>
    <row r="1434" spans="1:3" x14ac:dyDescent="0.25">
      <c r="A1434" s="238">
        <v>38972</v>
      </c>
      <c r="B1434" s="239">
        <v>2012.32</v>
      </c>
      <c r="C1434" s="242">
        <f t="shared" si="22"/>
        <v>1.0405183030451438E-2</v>
      </c>
    </row>
    <row r="1435" spans="1:3" x14ac:dyDescent="0.25">
      <c r="A1435" s="238">
        <v>38973</v>
      </c>
      <c r="B1435" s="239">
        <v>2020.49</v>
      </c>
      <c r="C1435" s="242">
        <f t="shared" si="22"/>
        <v>4.0517709374525658E-3</v>
      </c>
    </row>
    <row r="1436" spans="1:3" x14ac:dyDescent="0.25">
      <c r="A1436" s="238">
        <v>38974</v>
      </c>
      <c r="B1436" s="239">
        <v>2017.8600000000001</v>
      </c>
      <c r="C1436" s="242">
        <f t="shared" si="22"/>
        <v>-1.3025123487684779E-3</v>
      </c>
    </row>
    <row r="1437" spans="1:3" x14ac:dyDescent="0.25">
      <c r="A1437" s="238">
        <v>38975</v>
      </c>
      <c r="B1437" s="239">
        <v>2023.3500000000001</v>
      </c>
      <c r="C1437" s="242">
        <f t="shared" si="22"/>
        <v>2.7170096962689581E-3</v>
      </c>
    </row>
    <row r="1438" spans="1:3" x14ac:dyDescent="0.25">
      <c r="A1438" s="238">
        <v>38978</v>
      </c>
      <c r="B1438" s="239">
        <v>2025.39</v>
      </c>
      <c r="C1438" s="242">
        <f t="shared" si="22"/>
        <v>1.0077210058612887E-3</v>
      </c>
    </row>
    <row r="1439" spans="1:3" x14ac:dyDescent="0.25">
      <c r="A1439" s="238">
        <v>38979</v>
      </c>
      <c r="B1439" s="239">
        <v>2021</v>
      </c>
      <c r="C1439" s="242">
        <f t="shared" si="22"/>
        <v>-2.1698361860386724E-3</v>
      </c>
    </row>
    <row r="1440" spans="1:3" x14ac:dyDescent="0.25">
      <c r="A1440" s="238">
        <v>38980</v>
      </c>
      <c r="B1440" s="239">
        <v>2031.5900000000001</v>
      </c>
      <c r="C1440" s="242">
        <f t="shared" si="22"/>
        <v>5.2262992825696354E-3</v>
      </c>
    </row>
    <row r="1441" spans="1:3" x14ac:dyDescent="0.25">
      <c r="A1441" s="238">
        <v>38981</v>
      </c>
      <c r="B1441" s="239">
        <v>2021.0800000000002</v>
      </c>
      <c r="C1441" s="242">
        <f t="shared" si="22"/>
        <v>-5.1867157018336248E-3</v>
      </c>
    </row>
    <row r="1442" spans="1:3" x14ac:dyDescent="0.25">
      <c r="A1442" s="238">
        <v>38982</v>
      </c>
      <c r="B1442" s="239">
        <v>2016.0900000000001</v>
      </c>
      <c r="C1442" s="242">
        <f t="shared" si="22"/>
        <v>-2.4720299324175288E-3</v>
      </c>
    </row>
    <row r="1443" spans="1:3" x14ac:dyDescent="0.25">
      <c r="A1443" s="238">
        <v>38985</v>
      </c>
      <c r="B1443" s="239">
        <v>2033.8700000000001</v>
      </c>
      <c r="C1443" s="242">
        <f t="shared" si="22"/>
        <v>8.7803900430197691E-3</v>
      </c>
    </row>
    <row r="1444" spans="1:3" x14ac:dyDescent="0.25">
      <c r="A1444" s="238">
        <v>38986</v>
      </c>
      <c r="B1444" s="239">
        <v>2049.1999999999998</v>
      </c>
      <c r="C1444" s="242">
        <f t="shared" si="22"/>
        <v>7.5090909700877865E-3</v>
      </c>
    </row>
    <row r="1445" spans="1:3" x14ac:dyDescent="0.25">
      <c r="A1445" s="238">
        <v>38987</v>
      </c>
      <c r="B1445" s="239">
        <v>2049.9700000000003</v>
      </c>
      <c r="C1445" s="242">
        <f t="shared" si="22"/>
        <v>3.7568581398528483E-4</v>
      </c>
    </row>
    <row r="1446" spans="1:3" x14ac:dyDescent="0.25">
      <c r="A1446" s="238">
        <v>38988</v>
      </c>
      <c r="B1446" s="239">
        <v>2053.9299999999998</v>
      </c>
      <c r="C1446" s="242">
        <f t="shared" si="22"/>
        <v>1.9298721845335209E-3</v>
      </c>
    </row>
    <row r="1447" spans="1:3" x14ac:dyDescent="0.25">
      <c r="A1447" s="238">
        <v>38989</v>
      </c>
      <c r="B1447" s="239">
        <v>2048.89</v>
      </c>
      <c r="C1447" s="242">
        <f t="shared" si="22"/>
        <v>-2.4568479899983947E-3</v>
      </c>
    </row>
    <row r="1448" spans="1:3" x14ac:dyDescent="0.25">
      <c r="A1448" s="238">
        <v>38992</v>
      </c>
      <c r="B1448" s="239">
        <v>2041.99</v>
      </c>
      <c r="C1448" s="242">
        <f t="shared" si="22"/>
        <v>-3.3733605205952507E-3</v>
      </c>
    </row>
    <row r="1449" spans="1:3" x14ac:dyDescent="0.25">
      <c r="A1449" s="238">
        <v>38993</v>
      </c>
      <c r="B1449" s="239">
        <v>2046.28</v>
      </c>
      <c r="C1449" s="242">
        <f t="shared" si="22"/>
        <v>2.0986879900816778E-3</v>
      </c>
    </row>
    <row r="1450" spans="1:3" x14ac:dyDescent="0.25">
      <c r="A1450" s="238">
        <v>38994</v>
      </c>
      <c r="B1450" s="239">
        <v>2071.4499999999998</v>
      </c>
      <c r="C1450" s="242">
        <f t="shared" si="22"/>
        <v>1.2225334584377377E-2</v>
      </c>
    </row>
    <row r="1451" spans="1:3" x14ac:dyDescent="0.25">
      <c r="A1451" s="238">
        <v>38995</v>
      </c>
      <c r="B1451" s="239">
        <v>2076.63</v>
      </c>
      <c r="C1451" s="242">
        <f t="shared" si="22"/>
        <v>2.4975423292775286E-3</v>
      </c>
    </row>
    <row r="1452" spans="1:3" x14ac:dyDescent="0.25">
      <c r="A1452" s="238">
        <v>38996</v>
      </c>
      <c r="B1452" s="239">
        <v>2071.0500000000002</v>
      </c>
      <c r="C1452" s="242">
        <f t="shared" si="22"/>
        <v>-2.6906624264376004E-3</v>
      </c>
    </row>
    <row r="1453" spans="1:3" x14ac:dyDescent="0.25">
      <c r="A1453" s="238">
        <v>38999</v>
      </c>
      <c r="B1453" s="239">
        <v>2072.71</v>
      </c>
      <c r="C1453" s="242">
        <f t="shared" si="22"/>
        <v>8.0120474583462585E-4</v>
      </c>
    </row>
    <row r="1454" spans="1:3" x14ac:dyDescent="0.25">
      <c r="A1454" s="238">
        <v>39000</v>
      </c>
      <c r="B1454" s="239">
        <v>2077.0100000000002</v>
      </c>
      <c r="C1454" s="242">
        <f t="shared" si="22"/>
        <v>2.0724297249112623E-3</v>
      </c>
    </row>
    <row r="1455" spans="1:3" x14ac:dyDescent="0.25">
      <c r="A1455" s="238">
        <v>39001</v>
      </c>
      <c r="B1455" s="239">
        <v>2071.9</v>
      </c>
      <c r="C1455" s="242">
        <f t="shared" si="22"/>
        <v>-2.4632988345800575E-3</v>
      </c>
    </row>
    <row r="1456" spans="1:3" x14ac:dyDescent="0.25">
      <c r="A1456" s="238">
        <v>39002</v>
      </c>
      <c r="B1456" s="239">
        <v>2091.69</v>
      </c>
      <c r="C1456" s="242">
        <f t="shared" si="22"/>
        <v>9.5062909817034084E-3</v>
      </c>
    </row>
    <row r="1457" spans="1:3" x14ac:dyDescent="0.25">
      <c r="A1457" s="238">
        <v>39003</v>
      </c>
      <c r="B1457" s="239">
        <v>2095.9700000000003</v>
      </c>
      <c r="C1457" s="242">
        <f t="shared" si="22"/>
        <v>2.0441017132616997E-3</v>
      </c>
    </row>
    <row r="1458" spans="1:3" x14ac:dyDescent="0.25">
      <c r="A1458" s="238">
        <v>39006</v>
      </c>
      <c r="B1458" s="239">
        <v>2101.2600000000002</v>
      </c>
      <c r="C1458" s="242">
        <f t="shared" si="22"/>
        <v>2.5207114220799935E-3</v>
      </c>
    </row>
    <row r="1459" spans="1:3" x14ac:dyDescent="0.25">
      <c r="A1459" s="238">
        <v>39007</v>
      </c>
      <c r="B1459" s="239">
        <v>2093.58</v>
      </c>
      <c r="C1459" s="242">
        <f t="shared" si="22"/>
        <v>-3.6616455363700194E-3</v>
      </c>
    </row>
    <row r="1460" spans="1:3" x14ac:dyDescent="0.25">
      <c r="A1460" s="238">
        <v>39008</v>
      </c>
      <c r="B1460" s="239">
        <v>2096.71</v>
      </c>
      <c r="C1460" s="242">
        <f t="shared" si="22"/>
        <v>1.4939302922400324E-3</v>
      </c>
    </row>
    <row r="1461" spans="1:3" x14ac:dyDescent="0.25">
      <c r="A1461" s="238">
        <v>39009</v>
      </c>
      <c r="B1461" s="239">
        <v>2098.3200000000002</v>
      </c>
      <c r="C1461" s="242">
        <f t="shared" si="22"/>
        <v>7.675750013932804E-4</v>
      </c>
    </row>
    <row r="1462" spans="1:3" x14ac:dyDescent="0.25">
      <c r="A1462" s="238">
        <v>39010</v>
      </c>
      <c r="B1462" s="239">
        <v>2100.86</v>
      </c>
      <c r="C1462" s="242">
        <f t="shared" si="22"/>
        <v>1.2097601483044085E-3</v>
      </c>
    </row>
    <row r="1463" spans="1:3" x14ac:dyDescent="0.25">
      <c r="A1463" s="238">
        <v>39013</v>
      </c>
      <c r="B1463" s="239">
        <v>2113.8200000000002</v>
      </c>
      <c r="C1463" s="242">
        <f t="shared" si="22"/>
        <v>6.1499524745143854E-3</v>
      </c>
    </row>
    <row r="1464" spans="1:3" x14ac:dyDescent="0.25">
      <c r="A1464" s="238">
        <v>39014</v>
      </c>
      <c r="B1464" s="239">
        <v>2114.36</v>
      </c>
      <c r="C1464" s="242">
        <f t="shared" si="22"/>
        <v>2.554290512399326E-4</v>
      </c>
    </row>
    <row r="1465" spans="1:3" x14ac:dyDescent="0.25">
      <c r="A1465" s="238">
        <v>39015</v>
      </c>
      <c r="B1465" s="239">
        <v>2121.83</v>
      </c>
      <c r="C1465" s="242">
        <f t="shared" si="22"/>
        <v>3.5267576490503713E-3</v>
      </c>
    </row>
    <row r="1466" spans="1:3" x14ac:dyDescent="0.25">
      <c r="A1466" s="238">
        <v>39016</v>
      </c>
      <c r="B1466" s="239">
        <v>2132.39</v>
      </c>
      <c r="C1466" s="242">
        <f t="shared" si="22"/>
        <v>4.9644925220767334E-3</v>
      </c>
    </row>
    <row r="1467" spans="1:3" x14ac:dyDescent="0.25">
      <c r="A1467" s="238">
        <v>39017</v>
      </c>
      <c r="B1467" s="239">
        <v>2114.65</v>
      </c>
      <c r="C1467" s="242">
        <f t="shared" si="22"/>
        <v>-8.3541022332151403E-3</v>
      </c>
    </row>
    <row r="1468" spans="1:3" x14ac:dyDescent="0.25">
      <c r="A1468" s="238">
        <v>39020</v>
      </c>
      <c r="B1468" s="239">
        <v>2115.63</v>
      </c>
      <c r="C1468" s="242">
        <f t="shared" si="22"/>
        <v>4.6332631293026321E-4</v>
      </c>
    </row>
    <row r="1469" spans="1:3" x14ac:dyDescent="0.25">
      <c r="A1469" s="238">
        <v>39021</v>
      </c>
      <c r="B1469" s="239">
        <v>2115.65</v>
      </c>
      <c r="C1469" s="242">
        <f t="shared" si="22"/>
        <v>9.4534041708246879E-6</v>
      </c>
    </row>
    <row r="1470" spans="1:3" x14ac:dyDescent="0.25">
      <c r="A1470" s="238">
        <v>39022</v>
      </c>
      <c r="B1470" s="239">
        <v>2100.36</v>
      </c>
      <c r="C1470" s="242">
        <f t="shared" si="22"/>
        <v>-7.2533352790726023E-3</v>
      </c>
    </row>
    <row r="1471" spans="1:3" x14ac:dyDescent="0.25">
      <c r="A1471" s="238">
        <v>39023</v>
      </c>
      <c r="B1471" s="239">
        <v>2100.21</v>
      </c>
      <c r="C1471" s="242">
        <f t="shared" si="22"/>
        <v>-7.1418878896810947E-5</v>
      </c>
    </row>
    <row r="1472" spans="1:3" x14ac:dyDescent="0.25">
      <c r="A1472" s="238">
        <v>39024</v>
      </c>
      <c r="B1472" s="239">
        <v>2095.6799999999998</v>
      </c>
      <c r="C1472" s="242">
        <f t="shared" si="22"/>
        <v>-2.1592566821589964E-3</v>
      </c>
    </row>
    <row r="1473" spans="1:3" x14ac:dyDescent="0.25">
      <c r="A1473" s="238">
        <v>39027</v>
      </c>
      <c r="B1473" s="239">
        <v>2119.5300000000002</v>
      </c>
      <c r="C1473" s="242">
        <f t="shared" si="22"/>
        <v>1.1316282944502626E-2</v>
      </c>
    </row>
    <row r="1474" spans="1:3" x14ac:dyDescent="0.25">
      <c r="A1474" s="238">
        <v>39028</v>
      </c>
      <c r="B1474" s="239">
        <v>2124.2800000000002</v>
      </c>
      <c r="C1474" s="242">
        <f t="shared" si="22"/>
        <v>2.2385554412530833E-3</v>
      </c>
    </row>
    <row r="1475" spans="1:3" x14ac:dyDescent="0.25">
      <c r="A1475" s="238">
        <v>39029</v>
      </c>
      <c r="B1475" s="239">
        <v>2129.2200000000003</v>
      </c>
      <c r="C1475" s="242">
        <f t="shared" si="22"/>
        <v>2.3227940383659987E-3</v>
      </c>
    </row>
    <row r="1476" spans="1:3" x14ac:dyDescent="0.25">
      <c r="A1476" s="238">
        <v>39030</v>
      </c>
      <c r="B1476" s="239">
        <v>2118.3200000000002</v>
      </c>
      <c r="C1476" s="242">
        <f t="shared" si="22"/>
        <v>-5.1323937746653274E-3</v>
      </c>
    </row>
    <row r="1477" spans="1:3" x14ac:dyDescent="0.25">
      <c r="A1477" s="238">
        <v>39031</v>
      </c>
      <c r="B1477" s="239">
        <v>2122.2600000000002</v>
      </c>
      <c r="C1477" s="242">
        <f t="shared" ref="C1477:C1540" si="23">LN(B1477/B1476)</f>
        <v>1.8582369080407145E-3</v>
      </c>
    </row>
    <row r="1478" spans="1:3" x14ac:dyDescent="0.25">
      <c r="A1478" s="238">
        <v>39034</v>
      </c>
      <c r="B1478" s="239">
        <v>2128.17</v>
      </c>
      <c r="C1478" s="242">
        <f t="shared" si="23"/>
        <v>2.7808969015806701E-3</v>
      </c>
    </row>
    <row r="1479" spans="1:3" x14ac:dyDescent="0.25">
      <c r="A1479" s="238">
        <v>39035</v>
      </c>
      <c r="B1479" s="239">
        <v>2141.9499999999998</v>
      </c>
      <c r="C1479" s="242">
        <f t="shared" si="23"/>
        <v>6.4541735760819483E-3</v>
      </c>
    </row>
    <row r="1480" spans="1:3" x14ac:dyDescent="0.25">
      <c r="A1480" s="238">
        <v>39036</v>
      </c>
      <c r="B1480" s="239">
        <v>2147.6</v>
      </c>
      <c r="C1480" s="242">
        <f t="shared" si="23"/>
        <v>2.634310483566155E-3</v>
      </c>
    </row>
    <row r="1481" spans="1:3" x14ac:dyDescent="0.25">
      <c r="A1481" s="238">
        <v>39037</v>
      </c>
      <c r="B1481" s="239">
        <v>2152.5700000000002</v>
      </c>
      <c r="C1481" s="242">
        <f t="shared" si="23"/>
        <v>2.3115375499005962E-3</v>
      </c>
    </row>
    <row r="1482" spans="1:3" x14ac:dyDescent="0.25">
      <c r="A1482" s="238">
        <v>39038</v>
      </c>
      <c r="B1482" s="239">
        <v>2154.8000000000002</v>
      </c>
      <c r="C1482" s="242">
        <f t="shared" si="23"/>
        <v>1.0354347080639655E-3</v>
      </c>
    </row>
    <row r="1483" spans="1:3" x14ac:dyDescent="0.25">
      <c r="A1483" s="238">
        <v>39041</v>
      </c>
      <c r="B1483" s="239">
        <v>2153.7600000000002</v>
      </c>
      <c r="C1483" s="242">
        <f t="shared" si="23"/>
        <v>-4.8275991059576538E-4</v>
      </c>
    </row>
    <row r="1484" spans="1:3" x14ac:dyDescent="0.25">
      <c r="A1484" s="238">
        <v>39042</v>
      </c>
      <c r="B1484" s="239">
        <v>2157.42</v>
      </c>
      <c r="C1484" s="242">
        <f t="shared" si="23"/>
        <v>1.6979114206714223E-3</v>
      </c>
    </row>
    <row r="1485" spans="1:3" x14ac:dyDescent="0.25">
      <c r="A1485" s="238">
        <v>39043</v>
      </c>
      <c r="B1485" s="239">
        <v>2162.65</v>
      </c>
      <c r="C1485" s="242">
        <f t="shared" si="23"/>
        <v>2.4212582458474747E-3</v>
      </c>
    </row>
    <row r="1486" spans="1:3" x14ac:dyDescent="0.25">
      <c r="A1486" s="238">
        <v>39045</v>
      </c>
      <c r="B1486" s="239">
        <v>2154.96</v>
      </c>
      <c r="C1486" s="242">
        <f t="shared" si="23"/>
        <v>-3.5621596816390582E-3</v>
      </c>
    </row>
    <row r="1487" spans="1:3" x14ac:dyDescent="0.25">
      <c r="A1487" s="238">
        <v>39048</v>
      </c>
      <c r="B1487" s="239">
        <v>2125.67</v>
      </c>
      <c r="C1487" s="242">
        <f t="shared" si="23"/>
        <v>-1.3685115099243547E-2</v>
      </c>
    </row>
    <row r="1488" spans="1:3" x14ac:dyDescent="0.25">
      <c r="A1488" s="238">
        <v>39049</v>
      </c>
      <c r="B1488" s="239">
        <v>2133.52</v>
      </c>
      <c r="C1488" s="242">
        <f t="shared" si="23"/>
        <v>3.6861510703325058E-3</v>
      </c>
    </row>
    <row r="1489" spans="1:3" x14ac:dyDescent="0.25">
      <c r="A1489" s="238">
        <v>39050</v>
      </c>
      <c r="B1489" s="239">
        <v>2154.09</v>
      </c>
      <c r="C1489" s="242">
        <f t="shared" si="23"/>
        <v>9.5951627215131678E-3</v>
      </c>
    </row>
    <row r="1490" spans="1:3" x14ac:dyDescent="0.25">
      <c r="A1490" s="238">
        <v>39051</v>
      </c>
      <c r="B1490" s="239">
        <v>2155.89</v>
      </c>
      <c r="C1490" s="242">
        <f t="shared" si="23"/>
        <v>8.3527074587418202E-4</v>
      </c>
    </row>
    <row r="1491" spans="1:3" x14ac:dyDescent="0.25">
      <c r="A1491" s="238">
        <v>39052</v>
      </c>
      <c r="B1491" s="239">
        <v>2149.85</v>
      </c>
      <c r="C1491" s="242">
        <f t="shared" si="23"/>
        <v>-2.8055590731523345E-3</v>
      </c>
    </row>
    <row r="1492" spans="1:3" x14ac:dyDescent="0.25">
      <c r="A1492" s="238">
        <v>39055</v>
      </c>
      <c r="B1492" s="239">
        <v>2169</v>
      </c>
      <c r="C1492" s="242">
        <f t="shared" si="23"/>
        <v>8.8681595808875521E-3</v>
      </c>
    </row>
    <row r="1493" spans="1:3" x14ac:dyDescent="0.25">
      <c r="A1493" s="238">
        <v>39056</v>
      </c>
      <c r="B1493" s="239">
        <v>2177.75</v>
      </c>
      <c r="C1493" s="242">
        <f t="shared" si="23"/>
        <v>4.0260018721269995E-3</v>
      </c>
    </row>
    <row r="1494" spans="1:3" x14ac:dyDescent="0.25">
      <c r="A1494" s="238">
        <v>39057</v>
      </c>
      <c r="B1494" s="239">
        <v>2175.4499999999998</v>
      </c>
      <c r="C1494" s="242">
        <f t="shared" si="23"/>
        <v>-1.05669402463275E-3</v>
      </c>
    </row>
    <row r="1495" spans="1:3" x14ac:dyDescent="0.25">
      <c r="A1495" s="238">
        <v>39058</v>
      </c>
      <c r="B1495" s="239">
        <v>2166.87</v>
      </c>
      <c r="C1495" s="242">
        <f t="shared" si="23"/>
        <v>-3.9518097081785563E-3</v>
      </c>
    </row>
    <row r="1496" spans="1:3" x14ac:dyDescent="0.25">
      <c r="A1496" s="238">
        <v>39059</v>
      </c>
      <c r="B1496" s="239">
        <v>2170.84</v>
      </c>
      <c r="C1496" s="242">
        <f t="shared" si="23"/>
        <v>1.8304594398816554E-3</v>
      </c>
    </row>
    <row r="1497" spans="1:3" x14ac:dyDescent="0.25">
      <c r="A1497" s="238">
        <v>39062</v>
      </c>
      <c r="B1497" s="239">
        <v>2175.8000000000002</v>
      </c>
      <c r="C1497" s="242">
        <f t="shared" si="23"/>
        <v>2.2822235809107244E-3</v>
      </c>
    </row>
    <row r="1498" spans="1:3" x14ac:dyDescent="0.25">
      <c r="A1498" s="238">
        <v>39063</v>
      </c>
      <c r="B1498" s="239">
        <v>2173.58</v>
      </c>
      <c r="C1498" s="242">
        <f t="shared" si="23"/>
        <v>-1.0208352421676771E-3</v>
      </c>
    </row>
    <row r="1499" spans="1:3" x14ac:dyDescent="0.25">
      <c r="A1499" s="238">
        <v>39064</v>
      </c>
      <c r="B1499" s="239">
        <v>2176.52</v>
      </c>
      <c r="C1499" s="242">
        <f t="shared" si="23"/>
        <v>1.3516932703310069E-3</v>
      </c>
    </row>
    <row r="1500" spans="1:3" x14ac:dyDescent="0.25">
      <c r="A1500" s="238">
        <v>39065</v>
      </c>
      <c r="B1500" s="239">
        <v>2195.59</v>
      </c>
      <c r="C1500" s="242">
        <f t="shared" si="23"/>
        <v>8.7235320865437539E-3</v>
      </c>
    </row>
    <row r="1501" spans="1:3" x14ac:dyDescent="0.25">
      <c r="A1501" s="238">
        <v>39066</v>
      </c>
      <c r="B1501" s="239">
        <v>2198.0700000000002</v>
      </c>
      <c r="C1501" s="242">
        <f t="shared" si="23"/>
        <v>1.1288994885261172E-3</v>
      </c>
    </row>
    <row r="1502" spans="1:3" x14ac:dyDescent="0.25">
      <c r="A1502" s="238">
        <v>39069</v>
      </c>
      <c r="B1502" s="239">
        <v>2190.9700000000003</v>
      </c>
      <c r="C1502" s="242">
        <f t="shared" si="23"/>
        <v>-3.235334466400014E-3</v>
      </c>
    </row>
    <row r="1503" spans="1:3" x14ac:dyDescent="0.25">
      <c r="A1503" s="238">
        <v>39070</v>
      </c>
      <c r="B1503" s="239">
        <v>2195.8000000000002</v>
      </c>
      <c r="C1503" s="242">
        <f t="shared" si="23"/>
        <v>2.2020766768166291E-3</v>
      </c>
    </row>
    <row r="1504" spans="1:3" x14ac:dyDescent="0.25">
      <c r="A1504" s="238">
        <v>39071</v>
      </c>
      <c r="B1504" s="239">
        <v>2192.7600000000002</v>
      </c>
      <c r="C1504" s="242">
        <f t="shared" si="23"/>
        <v>-1.3854204961287571E-3</v>
      </c>
    </row>
    <row r="1505" spans="1:3" x14ac:dyDescent="0.25">
      <c r="A1505" s="238">
        <v>39072</v>
      </c>
      <c r="B1505" s="239">
        <v>2185.21</v>
      </c>
      <c r="C1505" s="242">
        <f t="shared" si="23"/>
        <v>-3.4490905532506178E-3</v>
      </c>
    </row>
    <row r="1506" spans="1:3" x14ac:dyDescent="0.25">
      <c r="A1506" s="238">
        <v>39073</v>
      </c>
      <c r="B1506" s="239">
        <v>2173.9</v>
      </c>
      <c r="C1506" s="242">
        <f t="shared" si="23"/>
        <v>-5.1891442881193154E-3</v>
      </c>
    </row>
    <row r="1507" spans="1:3" x14ac:dyDescent="0.25">
      <c r="A1507" s="238">
        <v>39077</v>
      </c>
      <c r="B1507" s="239">
        <v>2183.38</v>
      </c>
      <c r="C1507" s="242">
        <f t="shared" si="23"/>
        <v>4.3513453154344706E-3</v>
      </c>
    </row>
    <row r="1508" spans="1:3" x14ac:dyDescent="0.25">
      <c r="A1508" s="238">
        <v>39078</v>
      </c>
      <c r="B1508" s="239">
        <v>2199.15</v>
      </c>
      <c r="C1508" s="242">
        <f t="shared" si="23"/>
        <v>7.1967872738155324E-3</v>
      </c>
    </row>
    <row r="1509" spans="1:3" x14ac:dyDescent="0.25">
      <c r="A1509" s="238">
        <v>39079</v>
      </c>
      <c r="B1509" s="239">
        <v>2196</v>
      </c>
      <c r="C1509" s="242">
        <f t="shared" si="23"/>
        <v>-1.4333984229619933E-3</v>
      </c>
    </row>
    <row r="1510" spans="1:3" x14ac:dyDescent="0.25">
      <c r="A1510" s="238">
        <v>39080</v>
      </c>
      <c r="B1510" s="239">
        <v>2186.13</v>
      </c>
      <c r="C1510" s="242">
        <f t="shared" si="23"/>
        <v>-4.5046663107572993E-3</v>
      </c>
    </row>
    <row r="1511" spans="1:3" x14ac:dyDescent="0.25">
      <c r="A1511" s="238">
        <v>39085</v>
      </c>
      <c r="B1511" s="239">
        <v>2183.92</v>
      </c>
      <c r="C1511" s="242">
        <f t="shared" si="23"/>
        <v>-1.0114301613944668E-3</v>
      </c>
    </row>
    <row r="1512" spans="1:3" x14ac:dyDescent="0.25">
      <c r="A1512" s="238">
        <v>39086</v>
      </c>
      <c r="B1512" s="239">
        <v>2186.6</v>
      </c>
      <c r="C1512" s="242">
        <f t="shared" si="23"/>
        <v>1.2263988431148211E-3</v>
      </c>
    </row>
    <row r="1513" spans="1:3" x14ac:dyDescent="0.25">
      <c r="A1513" s="238">
        <v>39087</v>
      </c>
      <c r="B1513" s="239">
        <v>2173.29</v>
      </c>
      <c r="C1513" s="242">
        <f t="shared" si="23"/>
        <v>-6.1056775968797777E-3</v>
      </c>
    </row>
    <row r="1514" spans="1:3" x14ac:dyDescent="0.25">
      <c r="A1514" s="238">
        <v>39090</v>
      </c>
      <c r="B1514" s="239">
        <v>2178.8000000000002</v>
      </c>
      <c r="C1514" s="242">
        <f t="shared" si="23"/>
        <v>2.5321181060147671E-3</v>
      </c>
    </row>
    <row r="1515" spans="1:3" x14ac:dyDescent="0.25">
      <c r="A1515" s="238">
        <v>39091</v>
      </c>
      <c r="B1515" s="239">
        <v>2177.6799999999998</v>
      </c>
      <c r="C1515" s="242">
        <f t="shared" si="23"/>
        <v>-5.1417659425757509E-4</v>
      </c>
    </row>
    <row r="1516" spans="1:3" x14ac:dyDescent="0.25">
      <c r="A1516" s="238">
        <v>39092</v>
      </c>
      <c r="B1516" s="239">
        <v>2182.15</v>
      </c>
      <c r="C1516" s="242">
        <f t="shared" si="23"/>
        <v>2.0505393862857934E-3</v>
      </c>
    </row>
    <row r="1517" spans="1:3" x14ac:dyDescent="0.25">
      <c r="A1517" s="238">
        <v>39093</v>
      </c>
      <c r="B1517" s="239">
        <v>2196.02</v>
      </c>
      <c r="C1517" s="242">
        <f t="shared" si="23"/>
        <v>6.3360017545247022E-3</v>
      </c>
    </row>
    <row r="1518" spans="1:3" x14ac:dyDescent="0.25">
      <c r="A1518" s="238">
        <v>39094</v>
      </c>
      <c r="B1518" s="239">
        <v>2206.6799999999998</v>
      </c>
      <c r="C1518" s="242">
        <f t="shared" si="23"/>
        <v>4.8424924846896455E-3</v>
      </c>
    </row>
    <row r="1519" spans="1:3" x14ac:dyDescent="0.25">
      <c r="A1519" s="238">
        <v>39098</v>
      </c>
      <c r="B1519" s="239">
        <v>2208.48</v>
      </c>
      <c r="C1519" s="242">
        <f t="shared" si="23"/>
        <v>8.1537253450621508E-4</v>
      </c>
    </row>
    <row r="1520" spans="1:3" x14ac:dyDescent="0.25">
      <c r="A1520" s="238">
        <v>39099</v>
      </c>
      <c r="B1520" s="239">
        <v>2206.7000000000003</v>
      </c>
      <c r="C1520" s="242">
        <f t="shared" si="23"/>
        <v>-8.0630918623309574E-4</v>
      </c>
    </row>
    <row r="1521" spans="1:3" x14ac:dyDescent="0.25">
      <c r="A1521" s="238">
        <v>39100</v>
      </c>
      <c r="B1521" s="239">
        <v>2200.2000000000003</v>
      </c>
      <c r="C1521" s="242">
        <f t="shared" si="23"/>
        <v>-2.9499215836996458E-3</v>
      </c>
    </row>
    <row r="1522" spans="1:3" x14ac:dyDescent="0.25">
      <c r="A1522" s="238">
        <v>39101</v>
      </c>
      <c r="B1522" s="239">
        <v>2206.6</v>
      </c>
      <c r="C1522" s="242">
        <f t="shared" si="23"/>
        <v>2.9046040208702498E-3</v>
      </c>
    </row>
    <row r="1523" spans="1:3" x14ac:dyDescent="0.25">
      <c r="A1523" s="238">
        <v>39104</v>
      </c>
      <c r="B1523" s="239">
        <v>2195</v>
      </c>
      <c r="C1523" s="242">
        <f t="shared" si="23"/>
        <v>-5.2708228169338969E-3</v>
      </c>
    </row>
    <row r="1524" spans="1:3" x14ac:dyDescent="0.25">
      <c r="A1524" s="238">
        <v>39105</v>
      </c>
      <c r="B1524" s="239">
        <v>2202.77</v>
      </c>
      <c r="C1524" s="242">
        <f t="shared" si="23"/>
        <v>3.5336127559899189E-3</v>
      </c>
    </row>
    <row r="1525" spans="1:3" x14ac:dyDescent="0.25">
      <c r="A1525" s="238">
        <v>39106</v>
      </c>
      <c r="B1525" s="239">
        <v>2221.56</v>
      </c>
      <c r="C1525" s="242">
        <f t="shared" si="23"/>
        <v>8.4939925238238321E-3</v>
      </c>
    </row>
    <row r="1526" spans="1:3" x14ac:dyDescent="0.25">
      <c r="A1526" s="238">
        <v>39107</v>
      </c>
      <c r="B1526" s="239">
        <v>2196.54</v>
      </c>
      <c r="C1526" s="242">
        <f t="shared" si="23"/>
        <v>-1.1326256749172588E-2</v>
      </c>
    </row>
    <row r="1527" spans="1:3" x14ac:dyDescent="0.25">
      <c r="A1527" s="238">
        <v>39108</v>
      </c>
      <c r="B1527" s="239">
        <v>2193.89</v>
      </c>
      <c r="C1527" s="242">
        <f t="shared" si="23"/>
        <v>-1.2071711981797445E-3</v>
      </c>
    </row>
    <row r="1528" spans="1:3" x14ac:dyDescent="0.25">
      <c r="A1528" s="238">
        <v>39111</v>
      </c>
      <c r="B1528" s="239">
        <v>2191.71</v>
      </c>
      <c r="C1528" s="242">
        <f t="shared" si="23"/>
        <v>-9.941627962202985E-4</v>
      </c>
    </row>
    <row r="1529" spans="1:3" x14ac:dyDescent="0.25">
      <c r="A1529" s="238">
        <v>39112</v>
      </c>
      <c r="B1529" s="239">
        <v>2204.4</v>
      </c>
      <c r="C1529" s="242">
        <f t="shared" si="23"/>
        <v>5.7733019635675476E-3</v>
      </c>
    </row>
    <row r="1530" spans="1:3" x14ac:dyDescent="0.25">
      <c r="A1530" s="238">
        <v>39113</v>
      </c>
      <c r="B1530" s="239">
        <v>2219.19</v>
      </c>
      <c r="C1530" s="242">
        <f t="shared" si="23"/>
        <v>6.6869014129996764E-3</v>
      </c>
    </row>
    <row r="1531" spans="1:3" x14ac:dyDescent="0.25">
      <c r="A1531" s="238">
        <v>39114</v>
      </c>
      <c r="B1531" s="239">
        <v>2231.61</v>
      </c>
      <c r="C1531" s="242">
        <f t="shared" si="23"/>
        <v>5.5810336290542826E-3</v>
      </c>
    </row>
    <row r="1532" spans="1:3" x14ac:dyDescent="0.25">
      <c r="A1532" s="238">
        <v>39115</v>
      </c>
      <c r="B1532" s="239">
        <v>2235.39</v>
      </c>
      <c r="C1532" s="242">
        <f t="shared" si="23"/>
        <v>1.6924114180615947E-3</v>
      </c>
    </row>
    <row r="1533" spans="1:3" x14ac:dyDescent="0.25">
      <c r="A1533" s="238">
        <v>39118</v>
      </c>
      <c r="B1533" s="239">
        <v>2233.44</v>
      </c>
      <c r="C1533" s="242">
        <f t="shared" si="23"/>
        <v>-8.7271170474774321E-4</v>
      </c>
    </row>
    <row r="1534" spans="1:3" x14ac:dyDescent="0.25">
      <c r="A1534" s="238">
        <v>39119</v>
      </c>
      <c r="B1534" s="239">
        <v>2235.02</v>
      </c>
      <c r="C1534" s="242">
        <f t="shared" si="23"/>
        <v>7.0717878904434368E-4</v>
      </c>
    </row>
    <row r="1535" spans="1:3" x14ac:dyDescent="0.25">
      <c r="A1535" s="238">
        <v>39120</v>
      </c>
      <c r="B1535" s="239">
        <v>2239.0500000000002</v>
      </c>
      <c r="C1535" s="242">
        <f t="shared" si="23"/>
        <v>1.8014921938658702E-3</v>
      </c>
    </row>
    <row r="1536" spans="1:3" x14ac:dyDescent="0.25">
      <c r="A1536" s="238">
        <v>39121</v>
      </c>
      <c r="B1536" s="239">
        <v>2236.46</v>
      </c>
      <c r="C1536" s="242">
        <f t="shared" si="23"/>
        <v>-1.1574101227033321E-3</v>
      </c>
    </row>
    <row r="1537" spans="1:3" x14ac:dyDescent="0.25">
      <c r="A1537" s="238">
        <v>39122</v>
      </c>
      <c r="B1537" s="239">
        <v>2220.7200000000003</v>
      </c>
      <c r="C1537" s="242">
        <f t="shared" si="23"/>
        <v>-7.0627910157704766E-3</v>
      </c>
    </row>
    <row r="1538" spans="1:3" x14ac:dyDescent="0.25">
      <c r="A1538" s="238">
        <v>39125</v>
      </c>
      <c r="B1538" s="239">
        <v>2213.58</v>
      </c>
      <c r="C1538" s="242">
        <f t="shared" si="23"/>
        <v>-3.220353233002262E-3</v>
      </c>
    </row>
    <row r="1539" spans="1:3" x14ac:dyDescent="0.25">
      <c r="A1539" s="238">
        <v>39126</v>
      </c>
      <c r="B1539" s="239">
        <v>2230.8000000000002</v>
      </c>
      <c r="C1539" s="242">
        <f t="shared" si="23"/>
        <v>7.749151139516304E-3</v>
      </c>
    </row>
    <row r="1540" spans="1:3" x14ac:dyDescent="0.25">
      <c r="A1540" s="238">
        <v>39127</v>
      </c>
      <c r="B1540" s="239">
        <v>2248.4</v>
      </c>
      <c r="C1540" s="242">
        <f t="shared" si="23"/>
        <v>7.8585866125213105E-3</v>
      </c>
    </row>
    <row r="1541" spans="1:3" x14ac:dyDescent="0.25">
      <c r="A1541" s="238">
        <v>39128</v>
      </c>
      <c r="B1541" s="239">
        <v>2250.9700000000003</v>
      </c>
      <c r="C1541" s="242">
        <f t="shared" ref="C1541:C1604" si="24">LN(B1541/B1540)</f>
        <v>1.1423822799616285E-3</v>
      </c>
    </row>
    <row r="1542" spans="1:3" x14ac:dyDescent="0.25">
      <c r="A1542" s="238">
        <v>39129</v>
      </c>
      <c r="B1542" s="239">
        <v>2249.06</v>
      </c>
      <c r="C1542" s="242">
        <f t="shared" si="24"/>
        <v>-8.4888328064310786E-4</v>
      </c>
    </row>
    <row r="1543" spans="1:3" x14ac:dyDescent="0.25">
      <c r="A1543" s="238">
        <v>39133</v>
      </c>
      <c r="B1543" s="239">
        <v>2255.48</v>
      </c>
      <c r="C1543" s="242">
        <f t="shared" si="24"/>
        <v>2.850459468419914E-3</v>
      </c>
    </row>
    <row r="1544" spans="1:3" x14ac:dyDescent="0.25">
      <c r="A1544" s="238">
        <v>39134</v>
      </c>
      <c r="B1544" s="239">
        <v>2252.4299999999998</v>
      </c>
      <c r="C1544" s="242">
        <f t="shared" si="24"/>
        <v>-1.3531771776285834E-3</v>
      </c>
    </row>
    <row r="1545" spans="1:3" x14ac:dyDescent="0.25">
      <c r="A1545" s="238">
        <v>39135</v>
      </c>
      <c r="B1545" s="239">
        <v>2251.0300000000002</v>
      </c>
      <c r="C1545" s="242">
        <f t="shared" si="24"/>
        <v>-6.2174419006672357E-4</v>
      </c>
    </row>
    <row r="1546" spans="1:3" x14ac:dyDescent="0.25">
      <c r="A1546" s="238">
        <v>39136</v>
      </c>
      <c r="B1546" s="239">
        <v>2243.2600000000002</v>
      </c>
      <c r="C1546" s="242">
        <f t="shared" si="24"/>
        <v>-3.4577242418339024E-3</v>
      </c>
    </row>
    <row r="1547" spans="1:3" x14ac:dyDescent="0.25">
      <c r="A1547" s="238">
        <v>39139</v>
      </c>
      <c r="B1547" s="239">
        <v>2240.73</v>
      </c>
      <c r="C1547" s="242">
        <f t="shared" si="24"/>
        <v>-1.1284593714435865E-3</v>
      </c>
    </row>
    <row r="1548" spans="1:3" x14ac:dyDescent="0.25">
      <c r="A1548" s="238">
        <v>39140</v>
      </c>
      <c r="B1548" s="239">
        <v>2163.11</v>
      </c>
      <c r="C1548" s="242">
        <f t="shared" si="24"/>
        <v>-3.5254704661139689E-2</v>
      </c>
    </row>
    <row r="1549" spans="1:3" x14ac:dyDescent="0.25">
      <c r="A1549" s="238">
        <v>39141</v>
      </c>
      <c r="B1549" s="239">
        <v>2175.7800000000002</v>
      </c>
      <c r="C1549" s="242">
        <f t="shared" si="24"/>
        <v>5.8402199698640344E-3</v>
      </c>
    </row>
    <row r="1550" spans="1:3" x14ac:dyDescent="0.25">
      <c r="A1550" s="238">
        <v>39142</v>
      </c>
      <c r="B1550" s="239">
        <v>2170.17</v>
      </c>
      <c r="C1550" s="242">
        <f t="shared" si="24"/>
        <v>-2.5817154435767826E-3</v>
      </c>
    </row>
    <row r="1551" spans="1:3" x14ac:dyDescent="0.25">
      <c r="A1551" s="238">
        <v>39143</v>
      </c>
      <c r="B1551" s="239">
        <v>2145.4299999999998</v>
      </c>
      <c r="C1551" s="242">
        <f t="shared" si="24"/>
        <v>-1.1465507007913522E-2</v>
      </c>
    </row>
    <row r="1552" spans="1:3" x14ac:dyDescent="0.25">
      <c r="A1552" s="238">
        <v>39146</v>
      </c>
      <c r="B1552" s="239">
        <v>2125.34</v>
      </c>
      <c r="C1552" s="242">
        <f t="shared" si="24"/>
        <v>-9.4082089120371675E-3</v>
      </c>
    </row>
    <row r="1553" spans="1:3" x14ac:dyDescent="0.25">
      <c r="A1553" s="238">
        <v>39147</v>
      </c>
      <c r="B1553" s="239">
        <v>2158.36</v>
      </c>
      <c r="C1553" s="242">
        <f t="shared" si="24"/>
        <v>1.5416884475776549E-2</v>
      </c>
    </row>
    <row r="1554" spans="1:3" x14ac:dyDescent="0.25">
      <c r="A1554" s="238">
        <v>39148</v>
      </c>
      <c r="B1554" s="239">
        <v>2153.65</v>
      </c>
      <c r="C1554" s="242">
        <f t="shared" si="24"/>
        <v>-2.1845969156805362E-3</v>
      </c>
    </row>
    <row r="1555" spans="1:3" x14ac:dyDescent="0.25">
      <c r="A1555" s="238">
        <v>39149</v>
      </c>
      <c r="B1555" s="239">
        <v>2169.14</v>
      </c>
      <c r="C1555" s="242">
        <f t="shared" si="24"/>
        <v>7.1666984975750116E-3</v>
      </c>
    </row>
    <row r="1556" spans="1:3" x14ac:dyDescent="0.25">
      <c r="A1556" s="238">
        <v>39150</v>
      </c>
      <c r="B1556" s="239">
        <v>2170.62</v>
      </c>
      <c r="C1556" s="242">
        <f t="shared" si="24"/>
        <v>6.8206539411228776E-4</v>
      </c>
    </row>
    <row r="1557" spans="1:3" x14ac:dyDescent="0.25">
      <c r="A1557" s="238">
        <v>39153</v>
      </c>
      <c r="B1557" s="239">
        <v>2176.5</v>
      </c>
      <c r="C1557" s="242">
        <f t="shared" si="24"/>
        <v>2.7052409806863518E-3</v>
      </c>
    </row>
    <row r="1558" spans="1:3" x14ac:dyDescent="0.25">
      <c r="A1558" s="238">
        <v>39154</v>
      </c>
      <c r="B1558" s="239">
        <v>2132.7600000000002</v>
      </c>
      <c r="C1558" s="242">
        <f t="shared" si="24"/>
        <v>-2.0301166432451393E-2</v>
      </c>
    </row>
    <row r="1559" spans="1:3" x14ac:dyDescent="0.25">
      <c r="A1559" s="238">
        <v>39155</v>
      </c>
      <c r="B1559" s="239">
        <v>2147.1799999999998</v>
      </c>
      <c r="C1559" s="242">
        <f t="shared" si="24"/>
        <v>6.7384377180462179E-3</v>
      </c>
    </row>
    <row r="1560" spans="1:3" x14ac:dyDescent="0.25">
      <c r="A1560" s="238">
        <v>39156</v>
      </c>
      <c r="B1560" s="239">
        <v>2155.1799999999998</v>
      </c>
      <c r="C1560" s="242">
        <f t="shared" si="24"/>
        <v>3.7188934538766355E-3</v>
      </c>
    </row>
    <row r="1561" spans="1:3" x14ac:dyDescent="0.25">
      <c r="A1561" s="238">
        <v>39157</v>
      </c>
      <c r="B1561" s="239">
        <v>2146.9299999999998</v>
      </c>
      <c r="C1561" s="242">
        <f t="shared" si="24"/>
        <v>-3.8353320175288719E-3</v>
      </c>
    </row>
    <row r="1562" spans="1:3" x14ac:dyDescent="0.25">
      <c r="A1562" s="238">
        <v>39160</v>
      </c>
      <c r="B1562" s="239">
        <v>2170.33</v>
      </c>
      <c r="C1562" s="242">
        <f t="shared" si="24"/>
        <v>1.0840314990891548E-2</v>
      </c>
    </row>
    <row r="1563" spans="1:3" x14ac:dyDescent="0.25">
      <c r="A1563" s="238">
        <v>39161</v>
      </c>
      <c r="B1563" s="239">
        <v>2184.1</v>
      </c>
      <c r="C1563" s="242">
        <f t="shared" si="24"/>
        <v>6.3246146571792287E-3</v>
      </c>
    </row>
    <row r="1564" spans="1:3" x14ac:dyDescent="0.25">
      <c r="A1564" s="238">
        <v>39162</v>
      </c>
      <c r="B1564" s="239">
        <v>2221.46</v>
      </c>
      <c r="C1564" s="242">
        <f t="shared" si="24"/>
        <v>1.6960792999588539E-2</v>
      </c>
    </row>
    <row r="1565" spans="1:3" x14ac:dyDescent="0.25">
      <c r="A1565" s="238">
        <v>39163</v>
      </c>
      <c r="B1565" s="239">
        <v>2220.6799999999998</v>
      </c>
      <c r="C1565" s="242">
        <f t="shared" si="24"/>
        <v>-3.5118209152192655E-4</v>
      </c>
    </row>
    <row r="1566" spans="1:3" x14ac:dyDescent="0.25">
      <c r="A1566" s="238">
        <v>39164</v>
      </c>
      <c r="B1566" s="239">
        <v>2223.12</v>
      </c>
      <c r="C1566" s="242">
        <f t="shared" si="24"/>
        <v>1.098159343449546E-3</v>
      </c>
    </row>
    <row r="1567" spans="1:3" x14ac:dyDescent="0.25">
      <c r="A1567" s="238">
        <v>39167</v>
      </c>
      <c r="B1567" s="239">
        <v>2225.2600000000002</v>
      </c>
      <c r="C1567" s="242">
        <f t="shared" si="24"/>
        <v>9.6214809215436348E-4</v>
      </c>
    </row>
    <row r="1568" spans="1:3" x14ac:dyDescent="0.25">
      <c r="A1568" s="238">
        <v>39168</v>
      </c>
      <c r="B1568" s="239">
        <v>2211.52</v>
      </c>
      <c r="C1568" s="242">
        <f t="shared" si="24"/>
        <v>-6.1937008030064503E-3</v>
      </c>
    </row>
    <row r="1569" spans="1:3" x14ac:dyDescent="0.25">
      <c r="A1569" s="238">
        <v>39169</v>
      </c>
      <c r="B1569" s="239">
        <v>2194.38</v>
      </c>
      <c r="C1569" s="242">
        <f t="shared" si="24"/>
        <v>-7.7805154298098648E-3</v>
      </c>
    </row>
    <row r="1570" spans="1:3" x14ac:dyDescent="0.25">
      <c r="A1570" s="238">
        <v>39170</v>
      </c>
      <c r="B1570" s="239">
        <v>2202.6799999999998</v>
      </c>
      <c r="C1570" s="242">
        <f t="shared" si="24"/>
        <v>3.7752543099287897E-3</v>
      </c>
    </row>
    <row r="1571" spans="1:3" x14ac:dyDescent="0.25">
      <c r="A1571" s="238">
        <v>39171</v>
      </c>
      <c r="B1571" s="239">
        <v>2200.12</v>
      </c>
      <c r="C1571" s="242">
        <f t="shared" si="24"/>
        <v>-1.1628964697450296E-3</v>
      </c>
    </row>
    <row r="1572" spans="1:3" x14ac:dyDescent="0.25">
      <c r="A1572" s="238">
        <v>39174</v>
      </c>
      <c r="B1572" s="239">
        <v>2205.85</v>
      </c>
      <c r="C1572" s="242">
        <f t="shared" si="24"/>
        <v>2.601017814659266E-3</v>
      </c>
    </row>
    <row r="1573" spans="1:3" x14ac:dyDescent="0.25">
      <c r="A1573" s="238">
        <v>39175</v>
      </c>
      <c r="B1573" s="239">
        <v>2226.7600000000002</v>
      </c>
      <c r="C1573" s="242">
        <f t="shared" si="24"/>
        <v>9.4346920237256184E-3</v>
      </c>
    </row>
    <row r="1574" spans="1:3" x14ac:dyDescent="0.25">
      <c r="A1574" s="238">
        <v>39176</v>
      </c>
      <c r="B1574" s="239">
        <v>2229.25</v>
      </c>
      <c r="C1574" s="242">
        <f t="shared" si="24"/>
        <v>1.1175918632003057E-3</v>
      </c>
    </row>
    <row r="1575" spans="1:3" x14ac:dyDescent="0.25">
      <c r="A1575" s="238">
        <v>39177</v>
      </c>
      <c r="B1575" s="239">
        <v>2236.71</v>
      </c>
      <c r="C1575" s="242">
        <f t="shared" si="24"/>
        <v>3.3408301635085534E-3</v>
      </c>
    </row>
    <row r="1576" spans="1:3" x14ac:dyDescent="0.25">
      <c r="A1576" s="238">
        <v>39181</v>
      </c>
      <c r="B1576" s="239">
        <v>2238.0300000000002</v>
      </c>
      <c r="C1576" s="242">
        <f t="shared" si="24"/>
        <v>5.8997842926658496E-4</v>
      </c>
    </row>
    <row r="1577" spans="1:3" x14ac:dyDescent="0.25">
      <c r="A1577" s="238">
        <v>39182</v>
      </c>
      <c r="B1577" s="239">
        <v>2243.9299999999998</v>
      </c>
      <c r="C1577" s="242">
        <f t="shared" si="24"/>
        <v>2.6327782523705855E-3</v>
      </c>
    </row>
    <row r="1578" spans="1:3" x14ac:dyDescent="0.25">
      <c r="A1578" s="238">
        <v>39183</v>
      </c>
      <c r="B1578" s="239">
        <v>2229.44</v>
      </c>
      <c r="C1578" s="242">
        <f t="shared" si="24"/>
        <v>-6.4783600183803657E-3</v>
      </c>
    </row>
    <row r="1579" spans="1:3" x14ac:dyDescent="0.25">
      <c r="A1579" s="238">
        <v>39184</v>
      </c>
      <c r="B1579" s="239">
        <v>2243.3000000000002</v>
      </c>
      <c r="C1579" s="242">
        <f t="shared" si="24"/>
        <v>6.197563177505765E-3</v>
      </c>
    </row>
    <row r="1580" spans="1:3" x14ac:dyDescent="0.25">
      <c r="A1580" s="238">
        <v>39185</v>
      </c>
      <c r="B1580" s="239">
        <v>2251.12</v>
      </c>
      <c r="C1580" s="242">
        <f t="shared" si="24"/>
        <v>3.4798741067239543E-3</v>
      </c>
    </row>
    <row r="1581" spans="1:3" x14ac:dyDescent="0.25">
      <c r="A1581" s="238">
        <v>39188</v>
      </c>
      <c r="B1581" s="239">
        <v>2275.35</v>
      </c>
      <c r="C1581" s="242">
        <f t="shared" si="24"/>
        <v>1.0706016579807178E-2</v>
      </c>
    </row>
    <row r="1582" spans="1:3" x14ac:dyDescent="0.25">
      <c r="A1582" s="238">
        <v>39189</v>
      </c>
      <c r="B1582" s="239">
        <v>2280.0100000000002</v>
      </c>
      <c r="C1582" s="242">
        <f t="shared" si="24"/>
        <v>2.0459421979894038E-3</v>
      </c>
    </row>
    <row r="1583" spans="1:3" x14ac:dyDescent="0.25">
      <c r="A1583" s="238">
        <v>39190</v>
      </c>
      <c r="B1583" s="239">
        <v>2281.61</v>
      </c>
      <c r="C1583" s="242">
        <f t="shared" si="24"/>
        <v>7.0150519579204713E-4</v>
      </c>
    </row>
    <row r="1584" spans="1:3" x14ac:dyDescent="0.25">
      <c r="A1584" s="238">
        <v>39191</v>
      </c>
      <c r="B1584" s="239">
        <v>2278.91</v>
      </c>
      <c r="C1584" s="242">
        <f t="shared" si="24"/>
        <v>-1.1840756385052911E-3</v>
      </c>
    </row>
    <row r="1585" spans="1:3" x14ac:dyDescent="0.25">
      <c r="A1585" s="238">
        <v>39192</v>
      </c>
      <c r="B1585" s="239">
        <v>2300.08</v>
      </c>
      <c r="C1585" s="242">
        <f t="shared" si="24"/>
        <v>9.2466464599684946E-3</v>
      </c>
    </row>
    <row r="1586" spans="1:3" x14ac:dyDescent="0.25">
      <c r="A1586" s="238">
        <v>39195</v>
      </c>
      <c r="B1586" s="239">
        <v>2294.8200000000002</v>
      </c>
      <c r="C1586" s="242">
        <f t="shared" si="24"/>
        <v>-2.2894958748401286E-3</v>
      </c>
    </row>
    <row r="1587" spans="1:3" x14ac:dyDescent="0.25">
      <c r="A1587" s="238">
        <v>39196</v>
      </c>
      <c r="B1587" s="239">
        <v>2294.02</v>
      </c>
      <c r="C1587" s="242">
        <f t="shared" si="24"/>
        <v>-3.4867199906942365E-4</v>
      </c>
    </row>
    <row r="1588" spans="1:3" x14ac:dyDescent="0.25">
      <c r="A1588" s="238">
        <v>39197</v>
      </c>
      <c r="B1588" s="239">
        <v>2317.5</v>
      </c>
      <c r="C1588" s="242">
        <f t="shared" si="24"/>
        <v>1.0183281392884096E-2</v>
      </c>
    </row>
    <row r="1589" spans="1:3" x14ac:dyDescent="0.25">
      <c r="A1589" s="238">
        <v>39198</v>
      </c>
      <c r="B1589" s="239">
        <v>2315.91</v>
      </c>
      <c r="C1589" s="242">
        <f t="shared" si="24"/>
        <v>-6.8631960582477111E-4</v>
      </c>
    </row>
    <row r="1590" spans="1:3" x14ac:dyDescent="0.25">
      <c r="A1590" s="238">
        <v>39199</v>
      </c>
      <c r="B1590" s="239">
        <v>2315.7000000000003</v>
      </c>
      <c r="C1590" s="242">
        <f t="shared" si="24"/>
        <v>-9.0681210267470652E-5</v>
      </c>
    </row>
    <row r="1591" spans="1:3" x14ac:dyDescent="0.25">
      <c r="A1591" s="238">
        <v>39202</v>
      </c>
      <c r="B1591" s="239">
        <v>2297.5700000000002</v>
      </c>
      <c r="C1591" s="242">
        <f t="shared" si="24"/>
        <v>-7.8599749583216395E-3</v>
      </c>
    </row>
    <row r="1592" spans="1:3" x14ac:dyDescent="0.25">
      <c r="A1592" s="238">
        <v>39203</v>
      </c>
      <c r="B1592" s="239">
        <v>2303.6799999999998</v>
      </c>
      <c r="C1592" s="242">
        <f t="shared" si="24"/>
        <v>2.6558016153417031E-3</v>
      </c>
    </row>
    <row r="1593" spans="1:3" x14ac:dyDescent="0.25">
      <c r="A1593" s="238">
        <v>39204</v>
      </c>
      <c r="B1593" s="239">
        <v>2318.84</v>
      </c>
      <c r="C1593" s="242">
        <f t="shared" si="24"/>
        <v>6.559216337735283E-3</v>
      </c>
    </row>
    <row r="1594" spans="1:3" x14ac:dyDescent="0.25">
      <c r="A1594" s="238">
        <v>39205</v>
      </c>
      <c r="B1594" s="239">
        <v>2329.54</v>
      </c>
      <c r="C1594" s="242">
        <f t="shared" si="24"/>
        <v>4.6037625575094613E-3</v>
      </c>
    </row>
    <row r="1595" spans="1:3" x14ac:dyDescent="0.25">
      <c r="A1595" s="238">
        <v>39206</v>
      </c>
      <c r="B1595" s="239">
        <v>2334.61</v>
      </c>
      <c r="C1595" s="242">
        <f t="shared" si="24"/>
        <v>2.1740304222237867E-3</v>
      </c>
    </row>
    <row r="1596" spans="1:3" x14ac:dyDescent="0.25">
      <c r="A1596" s="238">
        <v>39209</v>
      </c>
      <c r="B1596" s="239">
        <v>2340.6799999999998</v>
      </c>
      <c r="C1596" s="242">
        <f t="shared" si="24"/>
        <v>2.5966318284337589E-3</v>
      </c>
    </row>
    <row r="1597" spans="1:3" x14ac:dyDescent="0.25">
      <c r="A1597" s="238">
        <v>39210</v>
      </c>
      <c r="B1597" s="239">
        <v>2338.14</v>
      </c>
      <c r="C1597" s="242">
        <f t="shared" si="24"/>
        <v>-1.0857439480557165E-3</v>
      </c>
    </row>
    <row r="1598" spans="1:3" x14ac:dyDescent="0.25">
      <c r="A1598" s="238">
        <v>39211</v>
      </c>
      <c r="B1598" s="239">
        <v>2346.3000000000002</v>
      </c>
      <c r="C1598" s="242">
        <f t="shared" si="24"/>
        <v>3.4838777968907945E-3</v>
      </c>
    </row>
    <row r="1599" spans="1:3" x14ac:dyDescent="0.25">
      <c r="A1599" s="238">
        <v>39212</v>
      </c>
      <c r="B1599" s="239">
        <v>2313.94</v>
      </c>
      <c r="C1599" s="242">
        <f t="shared" si="24"/>
        <v>-1.3887919985271913E-2</v>
      </c>
    </row>
    <row r="1600" spans="1:3" x14ac:dyDescent="0.25">
      <c r="A1600" s="238">
        <v>39213</v>
      </c>
      <c r="B1600" s="239">
        <v>2336.48</v>
      </c>
      <c r="C1600" s="242">
        <f t="shared" si="24"/>
        <v>9.6938240017577053E-3</v>
      </c>
    </row>
    <row r="1601" spans="1:3" x14ac:dyDescent="0.25">
      <c r="A1601" s="238">
        <v>39216</v>
      </c>
      <c r="B1601" s="239">
        <v>2332.4299999999998</v>
      </c>
      <c r="C1601" s="242">
        <f t="shared" si="24"/>
        <v>-1.7348807391067693E-3</v>
      </c>
    </row>
    <row r="1602" spans="1:3" x14ac:dyDescent="0.25">
      <c r="A1602" s="238">
        <v>39217</v>
      </c>
      <c r="B1602" s="239">
        <v>2329.61</v>
      </c>
      <c r="C1602" s="242">
        <f t="shared" si="24"/>
        <v>-1.2097709774832894E-3</v>
      </c>
    </row>
    <row r="1603" spans="1:3" x14ac:dyDescent="0.25">
      <c r="A1603" s="238">
        <v>39218</v>
      </c>
      <c r="B1603" s="239">
        <v>2350.4</v>
      </c>
      <c r="C1603" s="242">
        <f t="shared" si="24"/>
        <v>8.8846548440415282E-3</v>
      </c>
    </row>
    <row r="1604" spans="1:3" x14ac:dyDescent="0.25">
      <c r="A1604" s="238">
        <v>39219</v>
      </c>
      <c r="B1604" s="239">
        <v>2348.44</v>
      </c>
      <c r="C1604" s="242">
        <f t="shared" si="24"/>
        <v>-8.3424850119396025E-4</v>
      </c>
    </row>
    <row r="1605" spans="1:3" x14ac:dyDescent="0.25">
      <c r="A1605" s="238">
        <v>39220</v>
      </c>
      <c r="B1605" s="239">
        <v>2363.9700000000003</v>
      </c>
      <c r="C1605" s="242">
        <f t="shared" ref="C1605:C1668" si="25">LN(B1605/B1604)</f>
        <v>6.5911311717169047E-3</v>
      </c>
    </row>
    <row r="1606" spans="1:3" x14ac:dyDescent="0.25">
      <c r="A1606" s="238">
        <v>39223</v>
      </c>
      <c r="B1606" s="239">
        <v>2367.63</v>
      </c>
      <c r="C1606" s="242">
        <f t="shared" si="25"/>
        <v>1.5470457054577182E-3</v>
      </c>
    </row>
    <row r="1607" spans="1:3" x14ac:dyDescent="0.25">
      <c r="A1607" s="238">
        <v>39224</v>
      </c>
      <c r="B1607" s="239">
        <v>2366.1</v>
      </c>
      <c r="C1607" s="242">
        <f t="shared" si="25"/>
        <v>-6.4642472353854249E-4</v>
      </c>
    </row>
    <row r="1608" spans="1:3" x14ac:dyDescent="0.25">
      <c r="A1608" s="238">
        <v>39225</v>
      </c>
      <c r="B1608" s="239">
        <v>2363.29</v>
      </c>
      <c r="C1608" s="242">
        <f t="shared" si="25"/>
        <v>-1.1883140661541325E-3</v>
      </c>
    </row>
    <row r="1609" spans="1:3" x14ac:dyDescent="0.25">
      <c r="A1609" s="238">
        <v>39226</v>
      </c>
      <c r="B1609" s="239">
        <v>2340.64</v>
      </c>
      <c r="C1609" s="242">
        <f t="shared" si="25"/>
        <v>-9.630319776124845E-3</v>
      </c>
    </row>
    <row r="1610" spans="1:3" x14ac:dyDescent="0.25">
      <c r="A1610" s="238">
        <v>39227</v>
      </c>
      <c r="B1610" s="239">
        <v>2353.42</v>
      </c>
      <c r="C1610" s="242">
        <f t="shared" si="25"/>
        <v>5.4451931067649954E-3</v>
      </c>
    </row>
    <row r="1611" spans="1:3" x14ac:dyDescent="0.25">
      <c r="A1611" s="238">
        <v>39231</v>
      </c>
      <c r="B1611" s="239">
        <v>2357.39</v>
      </c>
      <c r="C1611" s="242">
        <f t="shared" si="25"/>
        <v>1.685485485447939E-3</v>
      </c>
    </row>
    <row r="1612" spans="1:3" x14ac:dyDescent="0.25">
      <c r="A1612" s="238">
        <v>39232</v>
      </c>
      <c r="B1612" s="239">
        <v>2377.09</v>
      </c>
      <c r="C1612" s="242">
        <f t="shared" si="25"/>
        <v>8.3219756737601801E-3</v>
      </c>
    </row>
    <row r="1613" spans="1:3" x14ac:dyDescent="0.25">
      <c r="A1613" s="238">
        <v>39233</v>
      </c>
      <c r="B1613" s="239">
        <v>2377.75</v>
      </c>
      <c r="C1613" s="242">
        <f t="shared" si="25"/>
        <v>2.776118667457549E-4</v>
      </c>
    </row>
    <row r="1614" spans="1:3" x14ac:dyDescent="0.25">
      <c r="A1614" s="238">
        <v>39234</v>
      </c>
      <c r="B1614" s="239">
        <v>2386.63</v>
      </c>
      <c r="C1614" s="242">
        <f t="shared" si="25"/>
        <v>3.7276666775811749E-3</v>
      </c>
    </row>
    <row r="1615" spans="1:3" x14ac:dyDescent="0.25">
      <c r="A1615" s="238">
        <v>39237</v>
      </c>
      <c r="B1615" s="239">
        <v>2391.13</v>
      </c>
      <c r="C1615" s="242">
        <f t="shared" si="25"/>
        <v>1.8837284964762224E-3</v>
      </c>
    </row>
    <row r="1616" spans="1:3" x14ac:dyDescent="0.25">
      <c r="A1616" s="238">
        <v>39238</v>
      </c>
      <c r="B1616" s="239">
        <v>2378.44</v>
      </c>
      <c r="C1616" s="242">
        <f t="shared" si="25"/>
        <v>-5.3212469651587237E-3</v>
      </c>
    </row>
    <row r="1617" spans="1:3" x14ac:dyDescent="0.25">
      <c r="A1617" s="238">
        <v>39239</v>
      </c>
      <c r="B1617" s="239">
        <v>2357.9500000000003</v>
      </c>
      <c r="C1617" s="242">
        <f t="shared" si="25"/>
        <v>-8.6522131094112324E-3</v>
      </c>
    </row>
    <row r="1618" spans="1:3" x14ac:dyDescent="0.25">
      <c r="A1618" s="238">
        <v>39240</v>
      </c>
      <c r="B1618" s="239">
        <v>2316.63</v>
      </c>
      <c r="C1618" s="242">
        <f t="shared" si="25"/>
        <v>-1.7679054034637223E-2</v>
      </c>
    </row>
    <row r="1619" spans="1:3" x14ac:dyDescent="0.25">
      <c r="A1619" s="238">
        <v>39241</v>
      </c>
      <c r="B1619" s="239">
        <v>2342.98</v>
      </c>
      <c r="C1619" s="242">
        <f t="shared" si="25"/>
        <v>1.1310079979144199E-2</v>
      </c>
    </row>
    <row r="1620" spans="1:3" x14ac:dyDescent="0.25">
      <c r="A1620" s="238">
        <v>39244</v>
      </c>
      <c r="B1620" s="239">
        <v>2345.27</v>
      </c>
      <c r="C1620" s="242">
        <f t="shared" si="25"/>
        <v>9.7691043870201232E-4</v>
      </c>
    </row>
    <row r="1621" spans="1:3" x14ac:dyDescent="0.25">
      <c r="A1621" s="238">
        <v>39245</v>
      </c>
      <c r="B1621" s="239">
        <v>2320.2200000000003</v>
      </c>
      <c r="C1621" s="242">
        <f t="shared" si="25"/>
        <v>-1.0738525094479902E-2</v>
      </c>
    </row>
    <row r="1622" spans="1:3" x14ac:dyDescent="0.25">
      <c r="A1622" s="238">
        <v>39246</v>
      </c>
      <c r="B1622" s="239">
        <v>2356.02</v>
      </c>
      <c r="C1622" s="242">
        <f t="shared" si="25"/>
        <v>1.5311745949081256E-2</v>
      </c>
    </row>
    <row r="1623" spans="1:3" x14ac:dyDescent="0.25">
      <c r="A1623" s="238">
        <v>39247</v>
      </c>
      <c r="B1623" s="239">
        <v>2367.52</v>
      </c>
      <c r="C1623" s="242">
        <f t="shared" si="25"/>
        <v>4.8692390544315652E-3</v>
      </c>
    </row>
    <row r="1624" spans="1:3" x14ac:dyDescent="0.25">
      <c r="A1624" s="238">
        <v>39248</v>
      </c>
      <c r="B1624" s="239">
        <v>2382.9700000000003</v>
      </c>
      <c r="C1624" s="242">
        <f t="shared" si="25"/>
        <v>6.5046150919629842E-3</v>
      </c>
    </row>
    <row r="1625" spans="1:3" x14ac:dyDescent="0.25">
      <c r="A1625" s="238">
        <v>39251</v>
      </c>
      <c r="B1625" s="239">
        <v>2380.09</v>
      </c>
      <c r="C1625" s="242">
        <f t="shared" si="25"/>
        <v>-1.2093067695900135E-3</v>
      </c>
    </row>
    <row r="1626" spans="1:3" x14ac:dyDescent="0.25">
      <c r="A1626" s="238">
        <v>39252</v>
      </c>
      <c r="B1626" s="239">
        <v>2384.25</v>
      </c>
      <c r="C1626" s="242">
        <f t="shared" si="25"/>
        <v>1.7463073824247912E-3</v>
      </c>
    </row>
    <row r="1627" spans="1:3" x14ac:dyDescent="0.25">
      <c r="A1627" s="238">
        <v>39253</v>
      </c>
      <c r="B1627" s="239">
        <v>2351.87</v>
      </c>
      <c r="C1627" s="242">
        <f t="shared" si="25"/>
        <v>-1.3673853076907062E-2</v>
      </c>
    </row>
    <row r="1628" spans="1:3" x14ac:dyDescent="0.25">
      <c r="A1628" s="238">
        <v>39254</v>
      </c>
      <c r="B1628" s="239">
        <v>2366.92</v>
      </c>
      <c r="C1628" s="242">
        <f t="shared" si="25"/>
        <v>6.3787755040904696E-3</v>
      </c>
    </row>
    <row r="1629" spans="1:3" x14ac:dyDescent="0.25">
      <c r="A1629" s="238">
        <v>39255</v>
      </c>
      <c r="B1629" s="239">
        <v>2336.41</v>
      </c>
      <c r="C1629" s="242">
        <f t="shared" si="25"/>
        <v>-1.2973968640184446E-2</v>
      </c>
    </row>
    <row r="1630" spans="1:3" x14ac:dyDescent="0.25">
      <c r="A1630" s="238">
        <v>39258</v>
      </c>
      <c r="B1630" s="239">
        <v>2328.91</v>
      </c>
      <c r="C1630" s="242">
        <f t="shared" si="25"/>
        <v>-3.2152163028511555E-3</v>
      </c>
    </row>
    <row r="1631" spans="1:3" x14ac:dyDescent="0.25">
      <c r="A1631" s="238">
        <v>39259</v>
      </c>
      <c r="B1631" s="239">
        <v>2321.46</v>
      </c>
      <c r="C1631" s="242">
        <f t="shared" si="25"/>
        <v>-3.2040488707048213E-3</v>
      </c>
    </row>
    <row r="1632" spans="1:3" x14ac:dyDescent="0.25">
      <c r="A1632" s="238">
        <v>39260</v>
      </c>
      <c r="B1632" s="239">
        <v>2342.84</v>
      </c>
      <c r="C1632" s="242">
        <f t="shared" si="25"/>
        <v>9.1675705845713999E-3</v>
      </c>
    </row>
    <row r="1633" spans="1:3" x14ac:dyDescent="0.25">
      <c r="A1633" s="238">
        <v>39261</v>
      </c>
      <c r="B1633" s="239">
        <v>2341.9</v>
      </c>
      <c r="C1633" s="242">
        <f t="shared" si="25"/>
        <v>-4.0130295923152188E-4</v>
      </c>
    </row>
    <row r="1634" spans="1:3" x14ac:dyDescent="0.25">
      <c r="A1634" s="238">
        <v>39262</v>
      </c>
      <c r="B1634" s="239">
        <v>2338.25</v>
      </c>
      <c r="C1634" s="242">
        <f t="shared" si="25"/>
        <v>-1.559779383144012E-3</v>
      </c>
    </row>
    <row r="1635" spans="1:3" x14ac:dyDescent="0.25">
      <c r="A1635" s="238">
        <v>39265</v>
      </c>
      <c r="B1635" s="239">
        <v>2363.2800000000002</v>
      </c>
      <c r="C1635" s="242">
        <f t="shared" si="25"/>
        <v>1.0647698292996005E-2</v>
      </c>
    </row>
    <row r="1636" spans="1:3" x14ac:dyDescent="0.25">
      <c r="A1636" s="238">
        <v>39266</v>
      </c>
      <c r="B1636" s="239">
        <v>2372.2200000000003</v>
      </c>
      <c r="C1636" s="242">
        <f t="shared" si="25"/>
        <v>3.7757409443063745E-3</v>
      </c>
    </row>
    <row r="1637" spans="1:3" x14ac:dyDescent="0.25">
      <c r="A1637" s="238">
        <v>39268</v>
      </c>
      <c r="B1637" s="239">
        <v>2373.0700000000002</v>
      </c>
      <c r="C1637" s="242">
        <f t="shared" si="25"/>
        <v>3.5824997380178269E-4</v>
      </c>
    </row>
    <row r="1638" spans="1:3" x14ac:dyDescent="0.25">
      <c r="A1638" s="238">
        <v>39269</v>
      </c>
      <c r="B1638" s="239">
        <v>2381.59</v>
      </c>
      <c r="C1638" s="242">
        <f t="shared" si="25"/>
        <v>3.5838563090763438E-3</v>
      </c>
    </row>
    <row r="1639" spans="1:3" x14ac:dyDescent="0.25">
      <c r="A1639" s="238">
        <v>39272</v>
      </c>
      <c r="B1639" s="239">
        <v>2383.8000000000002</v>
      </c>
      <c r="C1639" s="242">
        <f t="shared" si="25"/>
        <v>9.2752121376744358E-4</v>
      </c>
    </row>
    <row r="1640" spans="1:3" x14ac:dyDescent="0.25">
      <c r="A1640" s="238">
        <v>39273</v>
      </c>
      <c r="B1640" s="239">
        <v>2349.98</v>
      </c>
      <c r="C1640" s="242">
        <f t="shared" si="25"/>
        <v>-1.428903558491728E-2</v>
      </c>
    </row>
    <row r="1641" spans="1:3" x14ac:dyDescent="0.25">
      <c r="A1641" s="238">
        <v>39274</v>
      </c>
      <c r="B1641" s="239">
        <v>2363.7200000000003</v>
      </c>
      <c r="C1641" s="242">
        <f t="shared" si="25"/>
        <v>5.8298317309215279E-3</v>
      </c>
    </row>
    <row r="1642" spans="1:3" x14ac:dyDescent="0.25">
      <c r="A1642" s="238">
        <v>39275</v>
      </c>
      <c r="B1642" s="239">
        <v>2408.79</v>
      </c>
      <c r="C1642" s="242">
        <f t="shared" si="25"/>
        <v>1.8887897519591502E-2</v>
      </c>
    </row>
    <row r="1643" spans="1:3" x14ac:dyDescent="0.25">
      <c r="A1643" s="238">
        <v>39276</v>
      </c>
      <c r="B1643" s="239">
        <v>2416.2800000000002</v>
      </c>
      <c r="C1643" s="242">
        <f t="shared" si="25"/>
        <v>3.1046206650412141E-3</v>
      </c>
    </row>
    <row r="1644" spans="1:3" x14ac:dyDescent="0.25">
      <c r="A1644" s="238">
        <v>39279</v>
      </c>
      <c r="B1644" s="239">
        <v>2411.65</v>
      </c>
      <c r="C1644" s="242">
        <f t="shared" si="25"/>
        <v>-1.9180068556854141E-3</v>
      </c>
    </row>
    <row r="1645" spans="1:3" x14ac:dyDescent="0.25">
      <c r="A1645" s="238">
        <v>39280</v>
      </c>
      <c r="B1645" s="239">
        <v>2411.41</v>
      </c>
      <c r="C1645" s="242">
        <f t="shared" si="25"/>
        <v>-9.9521880382334957E-5</v>
      </c>
    </row>
    <row r="1646" spans="1:3" x14ac:dyDescent="0.25">
      <c r="A1646" s="238">
        <v>39281</v>
      </c>
      <c r="B1646" s="239">
        <v>2406.69</v>
      </c>
      <c r="C1646" s="242">
        <f t="shared" si="25"/>
        <v>-1.9592791805557721E-3</v>
      </c>
    </row>
    <row r="1647" spans="1:3" x14ac:dyDescent="0.25">
      <c r="A1647" s="238">
        <v>39282</v>
      </c>
      <c r="B1647" s="239">
        <v>2417.5</v>
      </c>
      <c r="C1647" s="242">
        <f t="shared" si="25"/>
        <v>4.4815888648274431E-3</v>
      </c>
    </row>
    <row r="1648" spans="1:3" x14ac:dyDescent="0.25">
      <c r="A1648" s="238">
        <v>39283</v>
      </c>
      <c r="B1648" s="239">
        <v>2387.96</v>
      </c>
      <c r="C1648" s="242">
        <f t="shared" si="25"/>
        <v>-1.2294503374007002E-2</v>
      </c>
    </row>
    <row r="1649" spans="1:3" x14ac:dyDescent="0.25">
      <c r="A1649" s="238">
        <v>39286</v>
      </c>
      <c r="B1649" s="239">
        <v>2399.64</v>
      </c>
      <c r="C1649" s="242">
        <f t="shared" si="25"/>
        <v>4.8792811314693381E-3</v>
      </c>
    </row>
    <row r="1650" spans="1:3" x14ac:dyDescent="0.25">
      <c r="A1650" s="238">
        <v>39287</v>
      </c>
      <c r="B1650" s="239">
        <v>2352.12</v>
      </c>
      <c r="C1650" s="242">
        <f t="shared" si="25"/>
        <v>-2.0001676959727759E-2</v>
      </c>
    </row>
    <row r="1651" spans="1:3" x14ac:dyDescent="0.25">
      <c r="A1651" s="238">
        <v>39288</v>
      </c>
      <c r="B1651" s="239">
        <v>2363.12</v>
      </c>
      <c r="C1651" s="242">
        <f t="shared" si="25"/>
        <v>4.6657306754051935E-3</v>
      </c>
    </row>
    <row r="1652" spans="1:3" x14ac:dyDescent="0.25">
      <c r="A1652" s="238">
        <v>39289</v>
      </c>
      <c r="B1652" s="239">
        <v>2307.98</v>
      </c>
      <c r="C1652" s="242">
        <f t="shared" si="25"/>
        <v>-2.3610096721409905E-2</v>
      </c>
    </row>
    <row r="1653" spans="1:3" x14ac:dyDescent="0.25">
      <c r="A1653" s="238">
        <v>39290</v>
      </c>
      <c r="B1653" s="239">
        <v>2271.41</v>
      </c>
      <c r="C1653" s="242">
        <f t="shared" si="25"/>
        <v>-1.5971899060223182E-2</v>
      </c>
    </row>
    <row r="1654" spans="1:3" x14ac:dyDescent="0.25">
      <c r="A1654" s="238">
        <v>39293</v>
      </c>
      <c r="B1654" s="239">
        <v>2294.75</v>
      </c>
      <c r="C1654" s="242">
        <f t="shared" si="25"/>
        <v>1.0223121080244285E-2</v>
      </c>
    </row>
    <row r="1655" spans="1:3" x14ac:dyDescent="0.25">
      <c r="A1655" s="238">
        <v>39294</v>
      </c>
      <c r="B1655" s="239">
        <v>2265.75</v>
      </c>
      <c r="C1655" s="242">
        <f t="shared" si="25"/>
        <v>-1.2718075164309247E-2</v>
      </c>
    </row>
    <row r="1656" spans="1:3" x14ac:dyDescent="0.25">
      <c r="A1656" s="238">
        <v>39295</v>
      </c>
      <c r="B1656" s="239">
        <v>2282.3000000000002</v>
      </c>
      <c r="C1656" s="242">
        <f t="shared" si="25"/>
        <v>7.2778764749405027E-3</v>
      </c>
    </row>
    <row r="1657" spans="1:3" x14ac:dyDescent="0.25">
      <c r="A1657" s="238">
        <v>39296</v>
      </c>
      <c r="B1657" s="239">
        <v>2292.79</v>
      </c>
      <c r="C1657" s="242">
        <f t="shared" si="25"/>
        <v>4.5857101751505553E-3</v>
      </c>
    </row>
    <row r="1658" spans="1:3" x14ac:dyDescent="0.25">
      <c r="A1658" s="238">
        <v>39297</v>
      </c>
      <c r="B1658" s="239">
        <v>2231.98</v>
      </c>
      <c r="C1658" s="242">
        <f t="shared" si="25"/>
        <v>-2.6880332697403631E-2</v>
      </c>
    </row>
    <row r="1659" spans="1:3" x14ac:dyDescent="0.25">
      <c r="A1659" s="238">
        <v>39300</v>
      </c>
      <c r="B1659" s="239">
        <v>2285.9299999999998</v>
      </c>
      <c r="C1659" s="242">
        <f t="shared" si="25"/>
        <v>2.3883859825985992E-2</v>
      </c>
    </row>
    <row r="1660" spans="1:3" x14ac:dyDescent="0.25">
      <c r="A1660" s="238">
        <v>39301</v>
      </c>
      <c r="B1660" s="239">
        <v>2300.1</v>
      </c>
      <c r="C1660" s="242">
        <f t="shared" si="25"/>
        <v>6.1796565193936994E-3</v>
      </c>
    </row>
    <row r="1661" spans="1:3" x14ac:dyDescent="0.25">
      <c r="A1661" s="238">
        <v>39302</v>
      </c>
      <c r="B1661" s="239">
        <v>2333.2400000000002</v>
      </c>
      <c r="C1661" s="242">
        <f t="shared" si="25"/>
        <v>1.4305259336361112E-2</v>
      </c>
    </row>
    <row r="1662" spans="1:3" x14ac:dyDescent="0.25">
      <c r="A1662" s="238">
        <v>39303</v>
      </c>
      <c r="B1662" s="239">
        <v>2264.5</v>
      </c>
      <c r="C1662" s="242">
        <f t="shared" si="25"/>
        <v>-2.9903875573050916E-2</v>
      </c>
    </row>
    <row r="1663" spans="1:3" x14ac:dyDescent="0.25">
      <c r="A1663" s="238">
        <v>39304</v>
      </c>
      <c r="B1663" s="239">
        <v>2265.36</v>
      </c>
      <c r="C1663" s="242">
        <f t="shared" si="25"/>
        <v>3.7970268853014332E-4</v>
      </c>
    </row>
    <row r="1664" spans="1:3" x14ac:dyDescent="0.25">
      <c r="A1664" s="238">
        <v>39307</v>
      </c>
      <c r="B1664" s="239">
        <v>2264.58</v>
      </c>
      <c r="C1664" s="242">
        <f t="shared" si="25"/>
        <v>-3.4437542559455874E-4</v>
      </c>
    </row>
    <row r="1665" spans="1:3" x14ac:dyDescent="0.25">
      <c r="A1665" s="238">
        <v>39308</v>
      </c>
      <c r="B1665" s="239">
        <v>2223.7000000000003</v>
      </c>
      <c r="C1665" s="242">
        <f t="shared" si="25"/>
        <v>-1.8216836073817723E-2</v>
      </c>
    </row>
    <row r="1666" spans="1:3" x14ac:dyDescent="0.25">
      <c r="A1666" s="238">
        <v>39309</v>
      </c>
      <c r="B1666" s="239">
        <v>2193.4</v>
      </c>
      <c r="C1666" s="242">
        <f t="shared" si="25"/>
        <v>-1.3719623859277892E-2</v>
      </c>
    </row>
    <row r="1667" spans="1:3" x14ac:dyDescent="0.25">
      <c r="A1667" s="238">
        <v>39310</v>
      </c>
      <c r="B1667" s="239">
        <v>2200.61</v>
      </c>
      <c r="C1667" s="242">
        <f t="shared" si="25"/>
        <v>3.2817433145928459E-3</v>
      </c>
    </row>
    <row r="1668" spans="1:3" x14ac:dyDescent="0.25">
      <c r="A1668" s="238">
        <v>39311</v>
      </c>
      <c r="B1668" s="239">
        <v>2254.6799999999998</v>
      </c>
      <c r="C1668" s="242">
        <f t="shared" si="25"/>
        <v>2.4273461352730022E-2</v>
      </c>
    </row>
    <row r="1669" spans="1:3" x14ac:dyDescent="0.25">
      <c r="A1669" s="238">
        <v>39314</v>
      </c>
      <c r="B1669" s="239">
        <v>2254.0700000000002</v>
      </c>
      <c r="C1669" s="242">
        <f t="shared" ref="C1669:C1732" si="26">LN(B1669/B1668)</f>
        <v>-2.7058497531312159E-4</v>
      </c>
    </row>
    <row r="1670" spans="1:3" x14ac:dyDescent="0.25">
      <c r="A1670" s="238">
        <v>39315</v>
      </c>
      <c r="B1670" s="239">
        <v>2256.52</v>
      </c>
      <c r="C1670" s="242">
        <f t="shared" si="26"/>
        <v>1.0863324935056061E-3</v>
      </c>
    </row>
    <row r="1671" spans="1:3" x14ac:dyDescent="0.25">
      <c r="A1671" s="238">
        <v>39316</v>
      </c>
      <c r="B1671" s="239">
        <v>2283.08</v>
      </c>
      <c r="C1671" s="242">
        <f t="shared" si="26"/>
        <v>1.1701605016142933E-2</v>
      </c>
    </row>
    <row r="1672" spans="1:3" x14ac:dyDescent="0.25">
      <c r="A1672" s="238">
        <v>39317</v>
      </c>
      <c r="B1672" s="239">
        <v>2280.6799999999998</v>
      </c>
      <c r="C1672" s="242">
        <f t="shared" si="26"/>
        <v>-1.0517644316273111E-3</v>
      </c>
    </row>
    <row r="1673" spans="1:3" x14ac:dyDescent="0.25">
      <c r="A1673" s="238">
        <v>39318</v>
      </c>
      <c r="B1673" s="239">
        <v>2307.2200000000003</v>
      </c>
      <c r="C1673" s="242">
        <f t="shared" si="26"/>
        <v>1.1569692472869379E-2</v>
      </c>
    </row>
    <row r="1674" spans="1:3" x14ac:dyDescent="0.25">
      <c r="A1674" s="238">
        <v>39321</v>
      </c>
      <c r="B1674" s="239">
        <v>2287.62</v>
      </c>
      <c r="C1674" s="242">
        <f t="shared" si="26"/>
        <v>-8.531360778865087E-3</v>
      </c>
    </row>
    <row r="1675" spans="1:3" x14ac:dyDescent="0.25">
      <c r="A1675" s="238">
        <v>39322</v>
      </c>
      <c r="B1675" s="239">
        <v>2234.02</v>
      </c>
      <c r="C1675" s="242">
        <f t="shared" si="26"/>
        <v>-2.3709322649594307E-2</v>
      </c>
    </row>
    <row r="1676" spans="1:3" x14ac:dyDescent="0.25">
      <c r="A1676" s="238">
        <v>39323</v>
      </c>
      <c r="B1676" s="239">
        <v>2283.58</v>
      </c>
      <c r="C1676" s="242">
        <f t="shared" si="26"/>
        <v>2.1941733809958681E-2</v>
      </c>
    </row>
    <row r="1677" spans="1:3" x14ac:dyDescent="0.25">
      <c r="A1677" s="238">
        <v>39324</v>
      </c>
      <c r="B1677" s="239">
        <v>2274.16</v>
      </c>
      <c r="C1677" s="242">
        <f t="shared" si="26"/>
        <v>-4.1336335171524088E-3</v>
      </c>
    </row>
    <row r="1678" spans="1:3" x14ac:dyDescent="0.25">
      <c r="A1678" s="238">
        <v>39325</v>
      </c>
      <c r="B1678" s="239">
        <v>2299.71</v>
      </c>
      <c r="C1678" s="242">
        <f t="shared" si="26"/>
        <v>1.1172274577735264E-2</v>
      </c>
    </row>
    <row r="1679" spans="1:3" x14ac:dyDescent="0.25">
      <c r="A1679" s="238">
        <v>39329</v>
      </c>
      <c r="B1679" s="239">
        <v>2323.83</v>
      </c>
      <c r="C1679" s="242">
        <f t="shared" si="26"/>
        <v>1.043365854331367E-2</v>
      </c>
    </row>
    <row r="1680" spans="1:3" x14ac:dyDescent="0.25">
      <c r="A1680" s="238">
        <v>39330</v>
      </c>
      <c r="B1680" s="239">
        <v>2298.16</v>
      </c>
      <c r="C1680" s="242">
        <f t="shared" si="26"/>
        <v>-1.1107883807932614E-2</v>
      </c>
    </row>
    <row r="1681" spans="1:3" x14ac:dyDescent="0.25">
      <c r="A1681" s="238">
        <v>39331</v>
      </c>
      <c r="B1681" s="239">
        <v>2308.34</v>
      </c>
      <c r="C1681" s="242">
        <f t="shared" si="26"/>
        <v>4.4198487234298678E-3</v>
      </c>
    </row>
    <row r="1682" spans="1:3" x14ac:dyDescent="0.25">
      <c r="A1682" s="238">
        <v>39332</v>
      </c>
      <c r="B1682" s="239">
        <v>2269.3200000000002</v>
      </c>
      <c r="C1682" s="242">
        <f t="shared" si="26"/>
        <v>-1.704842434271981E-2</v>
      </c>
    </row>
    <row r="1683" spans="1:3" x14ac:dyDescent="0.25">
      <c r="A1683" s="238">
        <v>39335</v>
      </c>
      <c r="B1683" s="239">
        <v>2266.5100000000002</v>
      </c>
      <c r="C1683" s="242">
        <f t="shared" si="26"/>
        <v>-1.2390236668869676E-3</v>
      </c>
    </row>
    <row r="1684" spans="1:3" x14ac:dyDescent="0.25">
      <c r="A1684" s="238">
        <v>39336</v>
      </c>
      <c r="B1684" s="239">
        <v>2297.41</v>
      </c>
      <c r="C1684" s="242">
        <f t="shared" si="26"/>
        <v>1.3541197988118696E-2</v>
      </c>
    </row>
    <row r="1685" spans="1:3" x14ac:dyDescent="0.25">
      <c r="A1685" s="238">
        <v>39337</v>
      </c>
      <c r="B1685" s="239">
        <v>2298.14</v>
      </c>
      <c r="C1685" s="242">
        <f t="shared" si="26"/>
        <v>3.176986459248043E-4</v>
      </c>
    </row>
    <row r="1686" spans="1:3" x14ac:dyDescent="0.25">
      <c r="A1686" s="238">
        <v>39338</v>
      </c>
      <c r="B1686" s="239">
        <v>2317.63</v>
      </c>
      <c r="C1686" s="242">
        <f t="shared" si="26"/>
        <v>8.4450117022913228E-3</v>
      </c>
    </row>
    <row r="1687" spans="1:3" x14ac:dyDescent="0.25">
      <c r="A1687" s="238">
        <v>39339</v>
      </c>
      <c r="B1687" s="239">
        <v>2318.11</v>
      </c>
      <c r="C1687" s="242">
        <f t="shared" si="26"/>
        <v>2.0708667945812877E-4</v>
      </c>
    </row>
    <row r="1688" spans="1:3" x14ac:dyDescent="0.25">
      <c r="A1688" s="238">
        <v>39342</v>
      </c>
      <c r="B1688" s="239">
        <v>2306.25</v>
      </c>
      <c r="C1688" s="242">
        <f t="shared" si="26"/>
        <v>-5.1293696872506071E-3</v>
      </c>
    </row>
    <row r="1689" spans="1:3" x14ac:dyDescent="0.25">
      <c r="A1689" s="238">
        <v>39343</v>
      </c>
      <c r="B1689" s="239">
        <v>2373.63</v>
      </c>
      <c r="C1689" s="242">
        <f t="shared" si="26"/>
        <v>2.879760013722539E-2</v>
      </c>
    </row>
    <row r="1690" spans="1:3" x14ac:dyDescent="0.25">
      <c r="A1690" s="238">
        <v>39344</v>
      </c>
      <c r="B1690" s="239">
        <v>2388.15</v>
      </c>
      <c r="C1690" s="242">
        <f t="shared" si="26"/>
        <v>6.09857868406066E-3</v>
      </c>
    </row>
    <row r="1691" spans="1:3" x14ac:dyDescent="0.25">
      <c r="A1691" s="238">
        <v>39345</v>
      </c>
      <c r="B1691" s="239">
        <v>2372.61</v>
      </c>
      <c r="C1691" s="242">
        <f t="shared" si="26"/>
        <v>-6.5283926065351902E-3</v>
      </c>
    </row>
    <row r="1692" spans="1:3" x14ac:dyDescent="0.25">
      <c r="A1692" s="238">
        <v>39346</v>
      </c>
      <c r="B1692" s="239">
        <v>2383.5500000000002</v>
      </c>
      <c r="C1692" s="242">
        <f t="shared" si="26"/>
        <v>4.6003579752836449E-3</v>
      </c>
    </row>
    <row r="1693" spans="1:3" x14ac:dyDescent="0.25">
      <c r="A1693" s="238">
        <v>39349</v>
      </c>
      <c r="B1693" s="239">
        <v>2371.0300000000002</v>
      </c>
      <c r="C1693" s="242">
        <f t="shared" si="26"/>
        <v>-5.2665131044370289E-3</v>
      </c>
    </row>
    <row r="1694" spans="1:3" x14ac:dyDescent="0.25">
      <c r="A1694" s="238">
        <v>39350</v>
      </c>
      <c r="B1694" s="239">
        <v>2370.2600000000002</v>
      </c>
      <c r="C1694" s="242">
        <f t="shared" si="26"/>
        <v>-3.2480612102173204E-4</v>
      </c>
    </row>
    <row r="1695" spans="1:3" x14ac:dyDescent="0.25">
      <c r="A1695" s="238">
        <v>39351</v>
      </c>
      <c r="B1695" s="239">
        <v>2383.5300000000002</v>
      </c>
      <c r="C1695" s="242">
        <f t="shared" si="26"/>
        <v>5.5829283446679912E-3</v>
      </c>
    </row>
    <row r="1696" spans="1:3" x14ac:dyDescent="0.25">
      <c r="A1696" s="238">
        <v>39352</v>
      </c>
      <c r="B1696" s="239">
        <v>2392.92</v>
      </c>
      <c r="C1696" s="242">
        <f t="shared" si="26"/>
        <v>3.9317954115195286E-3</v>
      </c>
    </row>
    <row r="1697" spans="1:3" x14ac:dyDescent="0.25">
      <c r="A1697" s="238">
        <v>39353</v>
      </c>
      <c r="B1697" s="239">
        <v>2385.7200000000003</v>
      </c>
      <c r="C1697" s="242">
        <f t="shared" si="26"/>
        <v>-3.0134119533548678E-3</v>
      </c>
    </row>
    <row r="1698" spans="1:3" x14ac:dyDescent="0.25">
      <c r="A1698" s="238">
        <v>39356</v>
      </c>
      <c r="B1698" s="239">
        <v>2417.44</v>
      </c>
      <c r="C1698" s="242">
        <f t="shared" si="26"/>
        <v>1.3208163435285174E-2</v>
      </c>
    </row>
    <row r="1699" spans="1:3" x14ac:dyDescent="0.25">
      <c r="A1699" s="238">
        <v>39357</v>
      </c>
      <c r="B1699" s="239">
        <v>2416.83</v>
      </c>
      <c r="C1699" s="242">
        <f t="shared" si="26"/>
        <v>-2.5236488786832046E-4</v>
      </c>
    </row>
    <row r="1700" spans="1:3" x14ac:dyDescent="0.25">
      <c r="A1700" s="238">
        <v>39358</v>
      </c>
      <c r="B1700" s="239">
        <v>2406.3000000000002</v>
      </c>
      <c r="C1700" s="242">
        <f t="shared" si="26"/>
        <v>-4.3664660626738568E-3</v>
      </c>
    </row>
    <row r="1701" spans="1:3" x14ac:dyDescent="0.25">
      <c r="A1701" s="238">
        <v>39359</v>
      </c>
      <c r="B1701" s="239">
        <v>2411.41</v>
      </c>
      <c r="C1701" s="242">
        <f t="shared" si="26"/>
        <v>2.1213406021891629E-3</v>
      </c>
    </row>
    <row r="1702" spans="1:3" x14ac:dyDescent="0.25">
      <c r="A1702" s="238">
        <v>39360</v>
      </c>
      <c r="B1702" s="239">
        <v>2435.16</v>
      </c>
      <c r="C1702" s="242">
        <f t="shared" si="26"/>
        <v>9.8008241336999865E-3</v>
      </c>
    </row>
    <row r="1703" spans="1:3" x14ac:dyDescent="0.25">
      <c r="A1703" s="238">
        <v>39363</v>
      </c>
      <c r="B1703" s="239">
        <v>2427.33</v>
      </c>
      <c r="C1703" s="242">
        <f t="shared" si="26"/>
        <v>-3.2205749596589551E-3</v>
      </c>
    </row>
    <row r="1704" spans="1:3" x14ac:dyDescent="0.25">
      <c r="A1704" s="238">
        <v>39364</v>
      </c>
      <c r="B1704" s="239">
        <v>2447.0300000000002</v>
      </c>
      <c r="C1704" s="242">
        <f t="shared" si="26"/>
        <v>8.0831564603949854E-3</v>
      </c>
    </row>
    <row r="1705" spans="1:3" x14ac:dyDescent="0.25">
      <c r="A1705" s="238">
        <v>39365</v>
      </c>
      <c r="B1705" s="239">
        <v>2443.02</v>
      </c>
      <c r="C1705" s="242">
        <f t="shared" si="26"/>
        <v>-1.6400653976324953E-3</v>
      </c>
    </row>
    <row r="1706" spans="1:3" x14ac:dyDescent="0.25">
      <c r="A1706" s="238">
        <v>39366</v>
      </c>
      <c r="B1706" s="239">
        <v>2430.5500000000002</v>
      </c>
      <c r="C1706" s="242">
        <f t="shared" si="26"/>
        <v>-5.1174097072831451E-3</v>
      </c>
    </row>
    <row r="1707" spans="1:3" x14ac:dyDescent="0.25">
      <c r="A1707" s="238">
        <v>39367</v>
      </c>
      <c r="B1707" s="239">
        <v>2442.12</v>
      </c>
      <c r="C1707" s="242">
        <f t="shared" si="26"/>
        <v>4.7489453397593327E-3</v>
      </c>
    </row>
    <row r="1708" spans="1:3" x14ac:dyDescent="0.25">
      <c r="A1708" s="238">
        <v>39370</v>
      </c>
      <c r="B1708" s="239">
        <v>2421.67</v>
      </c>
      <c r="C1708" s="242">
        <f t="shared" si="26"/>
        <v>-8.4091297146395971E-3</v>
      </c>
    </row>
    <row r="1709" spans="1:3" x14ac:dyDescent="0.25">
      <c r="A1709" s="238">
        <v>39371</v>
      </c>
      <c r="B1709" s="239">
        <v>2405.7600000000002</v>
      </c>
      <c r="C1709" s="242">
        <f t="shared" si="26"/>
        <v>-6.5915228620591288E-3</v>
      </c>
    </row>
    <row r="1710" spans="1:3" x14ac:dyDescent="0.25">
      <c r="A1710" s="238">
        <v>39372</v>
      </c>
      <c r="B1710" s="239">
        <v>2410.2200000000003</v>
      </c>
      <c r="C1710" s="242">
        <f t="shared" si="26"/>
        <v>1.8521676896547988E-3</v>
      </c>
    </row>
    <row r="1711" spans="1:3" x14ac:dyDescent="0.25">
      <c r="A1711" s="238">
        <v>39373</v>
      </c>
      <c r="B1711" s="239">
        <v>2408.46</v>
      </c>
      <c r="C1711" s="242">
        <f t="shared" si="26"/>
        <v>-7.304905402574374E-4</v>
      </c>
    </row>
    <row r="1712" spans="1:3" x14ac:dyDescent="0.25">
      <c r="A1712" s="238">
        <v>39374</v>
      </c>
      <c r="B1712" s="239">
        <v>2346.7800000000002</v>
      </c>
      <c r="C1712" s="242">
        <f t="shared" si="26"/>
        <v>-2.5943363312819864E-2</v>
      </c>
    </row>
    <row r="1713" spans="1:3" x14ac:dyDescent="0.25">
      <c r="A1713" s="238">
        <v>39377</v>
      </c>
      <c r="B1713" s="239">
        <v>2355.7400000000002</v>
      </c>
      <c r="C1713" s="242">
        <f t="shared" si="26"/>
        <v>3.8107273729082332E-3</v>
      </c>
    </row>
    <row r="1714" spans="1:3" x14ac:dyDescent="0.25">
      <c r="A1714" s="238">
        <v>39378</v>
      </c>
      <c r="B1714" s="239">
        <v>2376.4700000000003</v>
      </c>
      <c r="C1714" s="242">
        <f t="shared" si="26"/>
        <v>8.7612902229981596E-3</v>
      </c>
    </row>
    <row r="1715" spans="1:3" x14ac:dyDescent="0.25">
      <c r="A1715" s="238">
        <v>39379</v>
      </c>
      <c r="B1715" s="239">
        <v>2370.71</v>
      </c>
      <c r="C1715" s="242">
        <f t="shared" si="26"/>
        <v>-2.4267050445404455E-3</v>
      </c>
    </row>
    <row r="1716" spans="1:3" x14ac:dyDescent="0.25">
      <c r="A1716" s="238">
        <v>39380</v>
      </c>
      <c r="B1716" s="239">
        <v>2368.4299999999998</v>
      </c>
      <c r="C1716" s="242">
        <f t="shared" si="26"/>
        <v>-9.6219996704364466E-4</v>
      </c>
    </row>
    <row r="1717" spans="1:3" x14ac:dyDescent="0.25">
      <c r="A1717" s="238">
        <v>39381</v>
      </c>
      <c r="B1717" s="239">
        <v>2401.0700000000002</v>
      </c>
      <c r="C1717" s="242">
        <f t="shared" si="26"/>
        <v>1.3687182958560813E-2</v>
      </c>
    </row>
    <row r="1718" spans="1:3" x14ac:dyDescent="0.25">
      <c r="A1718" s="238">
        <v>39384</v>
      </c>
      <c r="B1718" s="239">
        <v>2410.33</v>
      </c>
      <c r="C1718" s="242">
        <f t="shared" si="26"/>
        <v>3.8491962560795838E-3</v>
      </c>
    </row>
    <row r="1719" spans="1:3" x14ac:dyDescent="0.25">
      <c r="A1719" s="238">
        <v>39385</v>
      </c>
      <c r="B1719" s="239">
        <v>2394.81</v>
      </c>
      <c r="C1719" s="242">
        <f t="shared" si="26"/>
        <v>-6.4597718147728737E-3</v>
      </c>
    </row>
    <row r="1720" spans="1:3" x14ac:dyDescent="0.25">
      <c r="A1720" s="238">
        <v>39386</v>
      </c>
      <c r="B1720" s="239">
        <v>2423.67</v>
      </c>
      <c r="C1720" s="242">
        <f t="shared" si="26"/>
        <v>1.1979024551115674E-2</v>
      </c>
    </row>
    <row r="1721" spans="1:3" x14ac:dyDescent="0.25">
      <c r="A1721" s="238">
        <v>39387</v>
      </c>
      <c r="B1721" s="239">
        <v>2360.21</v>
      </c>
      <c r="C1721" s="242">
        <f t="shared" si="26"/>
        <v>-2.6532322195895051E-2</v>
      </c>
    </row>
    <row r="1722" spans="1:3" x14ac:dyDescent="0.25">
      <c r="A1722" s="238">
        <v>39388</v>
      </c>
      <c r="B1722" s="239">
        <v>2362.21</v>
      </c>
      <c r="C1722" s="242">
        <f t="shared" si="26"/>
        <v>8.4702339883983878E-4</v>
      </c>
    </row>
    <row r="1723" spans="1:3" x14ac:dyDescent="0.25">
      <c r="A1723" s="238">
        <v>39391</v>
      </c>
      <c r="B1723" s="239">
        <v>2350.69</v>
      </c>
      <c r="C1723" s="242">
        <f t="shared" si="26"/>
        <v>-4.8887194481468119E-3</v>
      </c>
    </row>
    <row r="1724" spans="1:3" x14ac:dyDescent="0.25">
      <c r="A1724" s="238">
        <v>39392</v>
      </c>
      <c r="B1724" s="239">
        <v>2379.0500000000002</v>
      </c>
      <c r="C1724" s="242">
        <f t="shared" si="26"/>
        <v>1.1992346253791279E-2</v>
      </c>
    </row>
    <row r="1725" spans="1:3" x14ac:dyDescent="0.25">
      <c r="A1725" s="238">
        <v>39393</v>
      </c>
      <c r="B1725" s="239">
        <v>2310.41</v>
      </c>
      <c r="C1725" s="242">
        <f t="shared" si="26"/>
        <v>-2.9276250372242952E-2</v>
      </c>
    </row>
    <row r="1726" spans="1:3" x14ac:dyDescent="0.25">
      <c r="A1726" s="238">
        <v>39394</v>
      </c>
      <c r="B1726" s="239">
        <v>2309.1799999999998</v>
      </c>
      <c r="C1726" s="242">
        <f t="shared" si="26"/>
        <v>-5.3251480285741021E-4</v>
      </c>
    </row>
    <row r="1727" spans="1:3" x14ac:dyDescent="0.25">
      <c r="A1727" s="238">
        <v>39395</v>
      </c>
      <c r="B1727" s="239">
        <v>2276.2600000000002</v>
      </c>
      <c r="C1727" s="242">
        <f t="shared" si="26"/>
        <v>-1.435873791840789E-2</v>
      </c>
    </row>
    <row r="1728" spans="1:3" x14ac:dyDescent="0.25">
      <c r="A1728" s="238">
        <v>39398</v>
      </c>
      <c r="B1728" s="239">
        <v>2253.5300000000002</v>
      </c>
      <c r="C1728" s="242">
        <f t="shared" si="26"/>
        <v>-1.0035869555825739E-2</v>
      </c>
    </row>
    <row r="1729" spans="1:3" x14ac:dyDescent="0.25">
      <c r="A1729" s="238">
        <v>39399</v>
      </c>
      <c r="B1729" s="239">
        <v>2319.86</v>
      </c>
      <c r="C1729" s="242">
        <f t="shared" si="26"/>
        <v>2.9008963345050522E-2</v>
      </c>
    </row>
    <row r="1730" spans="1:3" x14ac:dyDescent="0.25">
      <c r="A1730" s="238">
        <v>39400</v>
      </c>
      <c r="B1730" s="239">
        <v>2304.06</v>
      </c>
      <c r="C1730" s="242">
        <f t="shared" si="26"/>
        <v>-6.8340548685769361E-3</v>
      </c>
    </row>
    <row r="1731" spans="1:3" x14ac:dyDescent="0.25">
      <c r="A1731" s="238">
        <v>39401</v>
      </c>
      <c r="B1731" s="239">
        <v>2273.73</v>
      </c>
      <c r="C1731" s="242">
        <f t="shared" si="26"/>
        <v>-1.3251129391504756E-2</v>
      </c>
    </row>
    <row r="1732" spans="1:3" x14ac:dyDescent="0.25">
      <c r="A1732" s="238">
        <v>39402</v>
      </c>
      <c r="B1732" s="239">
        <v>2285.67</v>
      </c>
      <c r="C1732" s="242">
        <f t="shared" si="26"/>
        <v>5.2375432270418531E-3</v>
      </c>
    </row>
    <row r="1733" spans="1:3" x14ac:dyDescent="0.25">
      <c r="A1733" s="238">
        <v>39405</v>
      </c>
      <c r="B1733" s="239">
        <v>2245.81</v>
      </c>
      <c r="C1733" s="242">
        <f t="shared" ref="C1733:C1796" si="27">LN(B1733/B1732)</f>
        <v>-1.7592940094126343E-2</v>
      </c>
    </row>
    <row r="1734" spans="1:3" x14ac:dyDescent="0.25">
      <c r="A1734" s="238">
        <v>39406</v>
      </c>
      <c r="B1734" s="239">
        <v>2256.02</v>
      </c>
      <c r="C1734" s="242">
        <f t="shared" si="27"/>
        <v>4.5359409420995282E-3</v>
      </c>
    </row>
    <row r="1735" spans="1:3" x14ac:dyDescent="0.25">
      <c r="A1735" s="238">
        <v>39407</v>
      </c>
      <c r="B1735" s="239">
        <v>2220.21</v>
      </c>
      <c r="C1735" s="242">
        <f t="shared" si="27"/>
        <v>-1.6000412839747118E-2</v>
      </c>
    </row>
    <row r="1736" spans="1:3" x14ac:dyDescent="0.25">
      <c r="A1736" s="238">
        <v>39409</v>
      </c>
      <c r="B1736" s="239">
        <v>2257.9500000000003</v>
      </c>
      <c r="C1736" s="242">
        <f t="shared" si="27"/>
        <v>1.6855535987489616E-2</v>
      </c>
    </row>
    <row r="1737" spans="1:3" x14ac:dyDescent="0.25">
      <c r="A1737" s="238">
        <v>39412</v>
      </c>
      <c r="B1737" s="239">
        <v>2205.4900000000002</v>
      </c>
      <c r="C1737" s="242">
        <f t="shared" si="27"/>
        <v>-2.3507615559154777E-2</v>
      </c>
    </row>
    <row r="1738" spans="1:3" x14ac:dyDescent="0.25">
      <c r="A1738" s="238">
        <v>39413</v>
      </c>
      <c r="B1738" s="239">
        <v>2238.52</v>
      </c>
      <c r="C1738" s="242">
        <f t="shared" si="27"/>
        <v>1.486522678002839E-2</v>
      </c>
    </row>
    <row r="1739" spans="1:3" x14ac:dyDescent="0.25">
      <c r="A1739" s="238">
        <v>39414</v>
      </c>
      <c r="B1739" s="239">
        <v>2303.17</v>
      </c>
      <c r="C1739" s="242">
        <f t="shared" si="27"/>
        <v>2.8471501661612657E-2</v>
      </c>
    </row>
    <row r="1740" spans="1:3" x14ac:dyDescent="0.25">
      <c r="A1740" s="238">
        <v>39415</v>
      </c>
      <c r="B1740" s="239">
        <v>2304.4299999999998</v>
      </c>
      <c r="C1740" s="242">
        <f t="shared" si="27"/>
        <v>5.4692248954232739E-4</v>
      </c>
    </row>
    <row r="1741" spans="1:3" x14ac:dyDescent="0.25">
      <c r="A1741" s="238">
        <v>39416</v>
      </c>
      <c r="B1741" s="239">
        <v>2322.34</v>
      </c>
      <c r="C1741" s="242">
        <f t="shared" si="27"/>
        <v>7.7419406872816232E-3</v>
      </c>
    </row>
    <row r="1742" spans="1:3" x14ac:dyDescent="0.25">
      <c r="A1742" s="238">
        <v>39419</v>
      </c>
      <c r="B1742" s="239">
        <v>2308.7400000000002</v>
      </c>
      <c r="C1742" s="242">
        <f t="shared" si="27"/>
        <v>-5.873376877995759E-3</v>
      </c>
    </row>
    <row r="1743" spans="1:3" x14ac:dyDescent="0.25">
      <c r="A1743" s="238">
        <v>39420</v>
      </c>
      <c r="B1743" s="239">
        <v>2293.65</v>
      </c>
      <c r="C1743" s="242">
        <f t="shared" si="27"/>
        <v>-6.5574860336672543E-3</v>
      </c>
    </row>
    <row r="1744" spans="1:3" x14ac:dyDescent="0.25">
      <c r="A1744" s="238">
        <v>39421</v>
      </c>
      <c r="B1744" s="239">
        <v>2329.71</v>
      </c>
      <c r="C1744" s="242">
        <f t="shared" si="27"/>
        <v>1.5599361171936197E-2</v>
      </c>
    </row>
    <row r="1745" spans="1:3" x14ac:dyDescent="0.25">
      <c r="A1745" s="238">
        <v>39422</v>
      </c>
      <c r="B1745" s="239">
        <v>2364.9700000000003</v>
      </c>
      <c r="C1745" s="242">
        <f t="shared" si="27"/>
        <v>1.5021540561942805E-2</v>
      </c>
    </row>
    <row r="1746" spans="1:3" x14ac:dyDescent="0.25">
      <c r="A1746" s="238">
        <v>39423</v>
      </c>
      <c r="B1746" s="239">
        <v>2360.79</v>
      </c>
      <c r="C1746" s="242">
        <f t="shared" si="27"/>
        <v>-1.7690280886441746E-3</v>
      </c>
    </row>
    <row r="1747" spans="1:3" x14ac:dyDescent="0.25">
      <c r="A1747" s="238">
        <v>39426</v>
      </c>
      <c r="B1747" s="239">
        <v>2378.6</v>
      </c>
      <c r="C1747" s="242">
        <f t="shared" si="27"/>
        <v>7.5157705256400928E-3</v>
      </c>
    </row>
    <row r="1748" spans="1:3" x14ac:dyDescent="0.25">
      <c r="A1748" s="238">
        <v>39427</v>
      </c>
      <c r="B1748" s="239">
        <v>2318.5100000000002</v>
      </c>
      <c r="C1748" s="242">
        <f t="shared" si="27"/>
        <v>-2.5587341337439316E-2</v>
      </c>
    </row>
    <row r="1749" spans="1:3" x14ac:dyDescent="0.25">
      <c r="A1749" s="238">
        <v>39428</v>
      </c>
      <c r="B1749" s="239">
        <v>2332.85</v>
      </c>
      <c r="C1749" s="242">
        <f t="shared" si="27"/>
        <v>6.1659580994473879E-3</v>
      </c>
    </row>
    <row r="1750" spans="1:3" x14ac:dyDescent="0.25">
      <c r="A1750" s="238">
        <v>39429</v>
      </c>
      <c r="B1750" s="239">
        <v>2335.79</v>
      </c>
      <c r="C1750" s="242">
        <f t="shared" si="27"/>
        <v>1.2594675916898265E-3</v>
      </c>
    </row>
    <row r="1751" spans="1:3" x14ac:dyDescent="0.25">
      <c r="A1751" s="238">
        <v>39430</v>
      </c>
      <c r="B1751" s="239">
        <v>2303.79</v>
      </c>
      <c r="C1751" s="242">
        <f t="shared" si="27"/>
        <v>-1.3794570818428137E-2</v>
      </c>
    </row>
    <row r="1752" spans="1:3" x14ac:dyDescent="0.25">
      <c r="A1752" s="238">
        <v>39433</v>
      </c>
      <c r="B1752" s="239">
        <v>2269.2400000000002</v>
      </c>
      <c r="C1752" s="242">
        <f t="shared" si="27"/>
        <v>-1.5110619173703351E-2</v>
      </c>
    </row>
    <row r="1753" spans="1:3" x14ac:dyDescent="0.25">
      <c r="A1753" s="238">
        <v>39434</v>
      </c>
      <c r="B1753" s="239">
        <v>2283.5</v>
      </c>
      <c r="C1753" s="242">
        <f t="shared" si="27"/>
        <v>6.2643799703423963E-3</v>
      </c>
    </row>
    <row r="1754" spans="1:3" x14ac:dyDescent="0.25">
      <c r="A1754" s="238">
        <v>39435</v>
      </c>
      <c r="B1754" s="239">
        <v>2280.4700000000003</v>
      </c>
      <c r="C1754" s="242">
        <f t="shared" si="27"/>
        <v>-1.3277915696925453E-3</v>
      </c>
    </row>
    <row r="1755" spans="1:3" x14ac:dyDescent="0.25">
      <c r="A1755" s="238">
        <v>39436</v>
      </c>
      <c r="B1755" s="239">
        <v>2292.23</v>
      </c>
      <c r="C1755" s="242">
        <f t="shared" si="27"/>
        <v>5.1435807847805071E-3</v>
      </c>
    </row>
    <row r="1756" spans="1:3" x14ac:dyDescent="0.25">
      <c r="A1756" s="238">
        <v>39437</v>
      </c>
      <c r="B1756" s="239">
        <v>2330.81</v>
      </c>
      <c r="C1756" s="242">
        <f t="shared" si="27"/>
        <v>1.6690703791978206E-2</v>
      </c>
    </row>
    <row r="1757" spans="1:3" x14ac:dyDescent="0.25">
      <c r="A1757" s="238">
        <v>39440</v>
      </c>
      <c r="B1757" s="239">
        <v>2349.66</v>
      </c>
      <c r="C1757" s="242">
        <f t="shared" si="27"/>
        <v>8.0547901877369155E-3</v>
      </c>
    </row>
    <row r="1758" spans="1:3" x14ac:dyDescent="0.25">
      <c r="A1758" s="238">
        <v>39442</v>
      </c>
      <c r="B1758" s="239">
        <v>2351.6</v>
      </c>
      <c r="C1758" s="242">
        <f t="shared" si="27"/>
        <v>8.2531070824305751E-4</v>
      </c>
    </row>
    <row r="1759" spans="1:3" x14ac:dyDescent="0.25">
      <c r="A1759" s="238">
        <v>39443</v>
      </c>
      <c r="B1759" s="239">
        <v>2318.7200000000003</v>
      </c>
      <c r="C1759" s="242">
        <f t="shared" si="27"/>
        <v>-1.408063826144198E-2</v>
      </c>
    </row>
    <row r="1760" spans="1:3" x14ac:dyDescent="0.25">
      <c r="A1760" s="238">
        <v>39444</v>
      </c>
      <c r="B1760" s="239">
        <v>2322.11</v>
      </c>
      <c r="C1760" s="242">
        <f t="shared" si="27"/>
        <v>1.4609458234657452E-3</v>
      </c>
    </row>
    <row r="1761" spans="1:3" x14ac:dyDescent="0.25">
      <c r="A1761" s="238">
        <v>39447</v>
      </c>
      <c r="B1761" s="239">
        <v>2306.23</v>
      </c>
      <c r="C1761" s="242">
        <f t="shared" si="27"/>
        <v>-6.8620984256098656E-3</v>
      </c>
    </row>
    <row r="1762" spans="1:3" x14ac:dyDescent="0.25">
      <c r="A1762" s="238">
        <v>39449</v>
      </c>
      <c r="B1762" s="239">
        <v>2273.41</v>
      </c>
      <c r="C1762" s="242">
        <f t="shared" si="27"/>
        <v>-1.4333249723592512E-2</v>
      </c>
    </row>
    <row r="1763" spans="1:3" x14ac:dyDescent="0.25">
      <c r="A1763" s="238">
        <v>39451</v>
      </c>
      <c r="B1763" s="239">
        <v>2217.59</v>
      </c>
      <c r="C1763" s="242">
        <f t="shared" si="27"/>
        <v>-2.4859886335013751E-2</v>
      </c>
    </row>
    <row r="1764" spans="1:3" x14ac:dyDescent="0.25">
      <c r="A1764" s="238">
        <v>39454</v>
      </c>
      <c r="B1764" s="239">
        <v>2224.7600000000002</v>
      </c>
      <c r="C1764" s="242">
        <f t="shared" si="27"/>
        <v>3.2280240080280924E-3</v>
      </c>
    </row>
    <row r="1765" spans="1:3" x14ac:dyDescent="0.25">
      <c r="A1765" s="238">
        <v>39455</v>
      </c>
      <c r="B1765" s="239">
        <v>2184.67</v>
      </c>
      <c r="C1765" s="242">
        <f t="shared" si="27"/>
        <v>-1.8184257238669826E-2</v>
      </c>
    </row>
    <row r="1766" spans="1:3" x14ac:dyDescent="0.25">
      <c r="A1766" s="238">
        <v>39456</v>
      </c>
      <c r="B1766" s="239">
        <v>2214.6</v>
      </c>
      <c r="C1766" s="242">
        <f t="shared" si="27"/>
        <v>1.3607012888741825E-2</v>
      </c>
    </row>
    <row r="1767" spans="1:3" x14ac:dyDescent="0.25">
      <c r="A1767" s="238">
        <v>39457</v>
      </c>
      <c r="B1767" s="239">
        <v>2232.2400000000002</v>
      </c>
      <c r="C1767" s="242">
        <f t="shared" si="27"/>
        <v>7.933765338313534E-3</v>
      </c>
    </row>
    <row r="1768" spans="1:3" x14ac:dyDescent="0.25">
      <c r="A1768" s="238">
        <v>39458</v>
      </c>
      <c r="B1768" s="239">
        <v>2202.0300000000002</v>
      </c>
      <c r="C1768" s="242">
        <f t="shared" si="27"/>
        <v>-1.3625903434299856E-2</v>
      </c>
    </row>
    <row r="1769" spans="1:3" x14ac:dyDescent="0.25">
      <c r="A1769" s="238">
        <v>39461</v>
      </c>
      <c r="B1769" s="239">
        <v>2225.98</v>
      </c>
      <c r="C1769" s="242">
        <f t="shared" si="27"/>
        <v>1.0817605901139948E-2</v>
      </c>
    </row>
    <row r="1770" spans="1:3" x14ac:dyDescent="0.25">
      <c r="A1770" s="238">
        <v>39462</v>
      </c>
      <c r="B1770" s="239">
        <v>2170.5100000000002</v>
      </c>
      <c r="C1770" s="242">
        <f t="shared" si="27"/>
        <v>-2.5235105106769917E-2</v>
      </c>
    </row>
    <row r="1771" spans="1:3" x14ac:dyDescent="0.25">
      <c r="A1771" s="238">
        <v>39463</v>
      </c>
      <c r="B1771" s="239">
        <v>2158.5700000000002</v>
      </c>
      <c r="C1771" s="242">
        <f t="shared" si="27"/>
        <v>-5.5161975645070943E-3</v>
      </c>
    </row>
    <row r="1772" spans="1:3" x14ac:dyDescent="0.25">
      <c r="A1772" s="238">
        <v>39464</v>
      </c>
      <c r="B1772" s="239">
        <v>2095.86</v>
      </c>
      <c r="C1772" s="242">
        <f t="shared" si="27"/>
        <v>-2.9481995080892782E-2</v>
      </c>
    </row>
    <row r="1773" spans="1:3" x14ac:dyDescent="0.25">
      <c r="A1773" s="238">
        <v>39465</v>
      </c>
      <c r="B1773" s="239">
        <v>2083.2400000000002</v>
      </c>
      <c r="C1773" s="242">
        <f t="shared" si="27"/>
        <v>-6.0395962582040089E-3</v>
      </c>
    </row>
    <row r="1774" spans="1:3" x14ac:dyDescent="0.25">
      <c r="A1774" s="238">
        <v>39469</v>
      </c>
      <c r="B1774" s="239">
        <v>2060.15</v>
      </c>
      <c r="C1774" s="242">
        <f t="shared" si="27"/>
        <v>-1.1145578392102564E-2</v>
      </c>
    </row>
    <row r="1775" spans="1:3" x14ac:dyDescent="0.25">
      <c r="A1775" s="238">
        <v>39470</v>
      </c>
      <c r="B1775" s="239">
        <v>2104.37</v>
      </c>
      <c r="C1775" s="242">
        <f t="shared" si="27"/>
        <v>2.1237339243455042E-2</v>
      </c>
    </row>
    <row r="1776" spans="1:3" x14ac:dyDescent="0.25">
      <c r="A1776" s="238">
        <v>39471</v>
      </c>
      <c r="B1776" s="239">
        <v>2125.6</v>
      </c>
      <c r="C1776" s="242">
        <f t="shared" si="27"/>
        <v>1.0037980535463592E-2</v>
      </c>
    </row>
    <row r="1777" spans="1:3" x14ac:dyDescent="0.25">
      <c r="A1777" s="238">
        <v>39472</v>
      </c>
      <c r="B1777" s="239">
        <v>2091.88</v>
      </c>
      <c r="C1777" s="242">
        <f t="shared" si="27"/>
        <v>-1.5990932282689909E-2</v>
      </c>
    </row>
    <row r="1778" spans="1:3" x14ac:dyDescent="0.25">
      <c r="A1778" s="238">
        <v>39475</v>
      </c>
      <c r="B1778" s="239">
        <v>2128.64</v>
      </c>
      <c r="C1778" s="242">
        <f t="shared" si="27"/>
        <v>1.7420094961539595E-2</v>
      </c>
    </row>
    <row r="1779" spans="1:3" x14ac:dyDescent="0.25">
      <c r="A1779" s="238">
        <v>39476</v>
      </c>
      <c r="B1779" s="239">
        <v>2141.85</v>
      </c>
      <c r="C1779" s="242">
        <f t="shared" si="27"/>
        <v>6.1866634199604364E-3</v>
      </c>
    </row>
    <row r="1780" spans="1:3" x14ac:dyDescent="0.25">
      <c r="A1780" s="238">
        <v>39477</v>
      </c>
      <c r="B1780" s="239">
        <v>2131.7800000000002</v>
      </c>
      <c r="C1780" s="242">
        <f t="shared" si="27"/>
        <v>-4.7126300765141134E-3</v>
      </c>
    </row>
    <row r="1781" spans="1:3" x14ac:dyDescent="0.25">
      <c r="A1781" s="238">
        <v>39478</v>
      </c>
      <c r="B1781" s="239">
        <v>2167.9</v>
      </c>
      <c r="C1781" s="242">
        <f t="shared" si="27"/>
        <v>1.6801645566570628E-2</v>
      </c>
    </row>
    <row r="1782" spans="1:3" x14ac:dyDescent="0.25">
      <c r="A1782" s="238">
        <v>39479</v>
      </c>
      <c r="B1782" s="239">
        <v>2194.4299999999998</v>
      </c>
      <c r="C1782" s="242">
        <f t="shared" si="27"/>
        <v>1.2163374658433652E-2</v>
      </c>
    </row>
    <row r="1783" spans="1:3" x14ac:dyDescent="0.25">
      <c r="A1783" s="238">
        <v>39482</v>
      </c>
      <c r="B1783" s="239">
        <v>2171.5100000000002</v>
      </c>
      <c r="C1783" s="242">
        <f t="shared" si="27"/>
        <v>-1.0499553616957041E-2</v>
      </c>
    </row>
    <row r="1784" spans="1:3" x14ac:dyDescent="0.25">
      <c r="A1784" s="238">
        <v>39483</v>
      </c>
      <c r="B1784" s="239">
        <v>2102.23</v>
      </c>
      <c r="C1784" s="242">
        <f t="shared" si="27"/>
        <v>-3.2424092024557906E-2</v>
      </c>
    </row>
    <row r="1785" spans="1:3" x14ac:dyDescent="0.25">
      <c r="A1785" s="238">
        <v>39484</v>
      </c>
      <c r="B1785" s="239">
        <v>2087.0500000000002</v>
      </c>
      <c r="C1785" s="242">
        <f t="shared" si="27"/>
        <v>-7.2471004269608905E-3</v>
      </c>
    </row>
    <row r="1786" spans="1:3" x14ac:dyDescent="0.25">
      <c r="A1786" s="238">
        <v>39485</v>
      </c>
      <c r="B1786" s="239">
        <v>2104.02</v>
      </c>
      <c r="C1786" s="242">
        <f t="shared" si="27"/>
        <v>8.098214891415342E-3</v>
      </c>
    </row>
    <row r="1787" spans="1:3" x14ac:dyDescent="0.25">
      <c r="A1787" s="238">
        <v>39486</v>
      </c>
      <c r="B1787" s="239">
        <v>2095.21</v>
      </c>
      <c r="C1787" s="242">
        <f t="shared" si="27"/>
        <v>-4.1960135196801333E-3</v>
      </c>
    </row>
    <row r="1788" spans="1:3" x14ac:dyDescent="0.25">
      <c r="A1788" s="238">
        <v>39489</v>
      </c>
      <c r="B1788" s="239">
        <v>2107.65</v>
      </c>
      <c r="C1788" s="242">
        <f t="shared" si="27"/>
        <v>5.9197957242954746E-3</v>
      </c>
    </row>
    <row r="1789" spans="1:3" x14ac:dyDescent="0.25">
      <c r="A1789" s="238">
        <v>39490</v>
      </c>
      <c r="B1789" s="239">
        <v>2123.06</v>
      </c>
      <c r="C1789" s="242">
        <f t="shared" si="27"/>
        <v>7.2848614769842387E-3</v>
      </c>
    </row>
    <row r="1790" spans="1:3" x14ac:dyDescent="0.25">
      <c r="A1790" s="238">
        <v>39491</v>
      </c>
      <c r="B1790" s="239">
        <v>2152.7600000000002</v>
      </c>
      <c r="C1790" s="242">
        <f t="shared" si="27"/>
        <v>1.3892295589271205E-2</v>
      </c>
    </row>
    <row r="1791" spans="1:3" x14ac:dyDescent="0.25">
      <c r="A1791" s="238">
        <v>39492</v>
      </c>
      <c r="B1791" s="239">
        <v>2123.94</v>
      </c>
      <c r="C1791" s="242">
        <f t="shared" si="27"/>
        <v>-1.3477885411454293E-2</v>
      </c>
    </row>
    <row r="1792" spans="1:3" x14ac:dyDescent="0.25">
      <c r="A1792" s="238">
        <v>39493</v>
      </c>
      <c r="B1792" s="239">
        <v>2125.85</v>
      </c>
      <c r="C1792" s="242">
        <f t="shared" si="27"/>
        <v>8.9886800458413867E-4</v>
      </c>
    </row>
    <row r="1793" spans="1:3" x14ac:dyDescent="0.25">
      <c r="A1793" s="238">
        <v>39497</v>
      </c>
      <c r="B1793" s="239">
        <v>2124.12</v>
      </c>
      <c r="C1793" s="242">
        <f t="shared" si="27"/>
        <v>-8.1412343877870785E-4</v>
      </c>
    </row>
    <row r="1794" spans="1:3" x14ac:dyDescent="0.25">
      <c r="A1794" s="238">
        <v>39498</v>
      </c>
      <c r="B1794" s="239">
        <v>2141.9499999999998</v>
      </c>
      <c r="C1794" s="242">
        <f t="shared" si="27"/>
        <v>8.3590301237826924E-3</v>
      </c>
    </row>
    <row r="1795" spans="1:3" x14ac:dyDescent="0.25">
      <c r="A1795" s="238">
        <v>39499</v>
      </c>
      <c r="B1795" s="239">
        <v>2115.13</v>
      </c>
      <c r="C1795" s="242">
        <f t="shared" si="27"/>
        <v>-1.260035275236957E-2</v>
      </c>
    </row>
    <row r="1796" spans="1:3" x14ac:dyDescent="0.25">
      <c r="A1796" s="238">
        <v>39500</v>
      </c>
      <c r="B1796" s="239">
        <v>2132.02</v>
      </c>
      <c r="C1796" s="242">
        <f t="shared" si="27"/>
        <v>7.95361079229597E-3</v>
      </c>
    </row>
    <row r="1797" spans="1:3" x14ac:dyDescent="0.25">
      <c r="A1797" s="238">
        <v>39503</v>
      </c>
      <c r="B1797" s="239">
        <v>2161.5100000000002</v>
      </c>
      <c r="C1797" s="242">
        <f t="shared" ref="C1797:C1860" si="28">LN(B1797/B1796)</f>
        <v>1.3737164409050326E-2</v>
      </c>
    </row>
    <row r="1798" spans="1:3" x14ac:dyDescent="0.25">
      <c r="A1798" s="238">
        <v>39504</v>
      </c>
      <c r="B1798" s="239">
        <v>2176.48</v>
      </c>
      <c r="C1798" s="242">
        <f t="shared" si="28"/>
        <v>6.9018413712950855E-3</v>
      </c>
    </row>
    <row r="1799" spans="1:3" x14ac:dyDescent="0.25">
      <c r="A1799" s="238">
        <v>39505</v>
      </c>
      <c r="B1799" s="239">
        <v>2175</v>
      </c>
      <c r="C1799" s="242">
        <f t="shared" si="28"/>
        <v>-6.802283623354267E-4</v>
      </c>
    </row>
    <row r="1800" spans="1:3" x14ac:dyDescent="0.25">
      <c r="A1800" s="238">
        <v>39506</v>
      </c>
      <c r="B1800" s="239">
        <v>2155.81</v>
      </c>
      <c r="C1800" s="242">
        <f t="shared" si="28"/>
        <v>-8.8621415367895907E-3</v>
      </c>
    </row>
    <row r="1801" spans="1:3" x14ac:dyDescent="0.25">
      <c r="A1801" s="238">
        <v>39507</v>
      </c>
      <c r="B1801" s="239">
        <v>2097.4700000000003</v>
      </c>
      <c r="C1801" s="242">
        <f t="shared" si="28"/>
        <v>-2.7434666488277391E-2</v>
      </c>
    </row>
    <row r="1802" spans="1:3" x14ac:dyDescent="0.25">
      <c r="A1802" s="238">
        <v>39510</v>
      </c>
      <c r="B1802" s="239">
        <v>2098.64</v>
      </c>
      <c r="C1802" s="242">
        <f t="shared" si="28"/>
        <v>5.57659370378919E-4</v>
      </c>
    </row>
    <row r="1803" spans="1:3" x14ac:dyDescent="0.25">
      <c r="A1803" s="238">
        <v>39511</v>
      </c>
      <c r="B1803" s="239">
        <v>2091.42</v>
      </c>
      <c r="C1803" s="242">
        <f t="shared" si="28"/>
        <v>-3.446254777161185E-3</v>
      </c>
    </row>
    <row r="1804" spans="1:3" x14ac:dyDescent="0.25">
      <c r="A1804" s="238">
        <v>39512</v>
      </c>
      <c r="B1804" s="239">
        <v>2103.42</v>
      </c>
      <c r="C1804" s="242">
        <f t="shared" si="28"/>
        <v>5.7213303647354573E-3</v>
      </c>
    </row>
    <row r="1805" spans="1:3" x14ac:dyDescent="0.25">
      <c r="A1805" s="238">
        <v>39513</v>
      </c>
      <c r="B1805" s="239">
        <v>2057.44</v>
      </c>
      <c r="C1805" s="242">
        <f t="shared" si="28"/>
        <v>-2.2102099933541727E-2</v>
      </c>
    </row>
    <row r="1806" spans="1:3" x14ac:dyDescent="0.25">
      <c r="A1806" s="238">
        <v>39514</v>
      </c>
      <c r="B1806" s="239">
        <v>2040.17</v>
      </c>
      <c r="C1806" s="242">
        <f t="shared" si="28"/>
        <v>-8.4293538225626938E-3</v>
      </c>
    </row>
    <row r="1807" spans="1:3" x14ac:dyDescent="0.25">
      <c r="A1807" s="238">
        <v>39517</v>
      </c>
      <c r="B1807" s="239">
        <v>2008.71</v>
      </c>
      <c r="C1807" s="242">
        <f t="shared" si="28"/>
        <v>-1.5540412727252753E-2</v>
      </c>
    </row>
    <row r="1808" spans="1:3" x14ac:dyDescent="0.25">
      <c r="A1808" s="238">
        <v>39518</v>
      </c>
      <c r="B1808" s="239">
        <v>2083.36</v>
      </c>
      <c r="C1808" s="242">
        <f t="shared" si="28"/>
        <v>3.648925000810483E-2</v>
      </c>
    </row>
    <row r="1809" spans="1:3" x14ac:dyDescent="0.25">
      <c r="A1809" s="238">
        <v>39519</v>
      </c>
      <c r="B1809" s="239">
        <v>2065.21</v>
      </c>
      <c r="C1809" s="242">
        <f t="shared" si="28"/>
        <v>-8.7500588406082633E-3</v>
      </c>
    </row>
    <row r="1810" spans="1:3" x14ac:dyDescent="0.25">
      <c r="A1810" s="238">
        <v>39520</v>
      </c>
      <c r="B1810" s="239">
        <v>2075.88</v>
      </c>
      <c r="C1810" s="242">
        <f t="shared" si="28"/>
        <v>5.1532440070762922E-3</v>
      </c>
    </row>
    <row r="1811" spans="1:3" x14ac:dyDescent="0.25">
      <c r="A1811" s="238">
        <v>39521</v>
      </c>
      <c r="B1811" s="239">
        <v>2032.79</v>
      </c>
      <c r="C1811" s="242">
        <f t="shared" si="28"/>
        <v>-2.0975926476133125E-2</v>
      </c>
    </row>
    <row r="1812" spans="1:3" x14ac:dyDescent="0.25">
      <c r="A1812" s="238">
        <v>39524</v>
      </c>
      <c r="B1812" s="239">
        <v>2014.88</v>
      </c>
      <c r="C1812" s="242">
        <f t="shared" si="28"/>
        <v>-8.8495934132168871E-3</v>
      </c>
    </row>
    <row r="1813" spans="1:3" x14ac:dyDescent="0.25">
      <c r="A1813" s="238">
        <v>39525</v>
      </c>
      <c r="B1813" s="239">
        <v>2100.38</v>
      </c>
      <c r="C1813" s="242">
        <f t="shared" si="28"/>
        <v>4.1558640465023083E-2</v>
      </c>
    </row>
    <row r="1814" spans="1:3" x14ac:dyDescent="0.25">
      <c r="A1814" s="238">
        <v>39526</v>
      </c>
      <c r="B1814" s="239">
        <v>2049.4</v>
      </c>
      <c r="C1814" s="242">
        <f t="shared" si="28"/>
        <v>-2.4571213356941901E-2</v>
      </c>
    </row>
    <row r="1815" spans="1:3" x14ac:dyDescent="0.25">
      <c r="A1815" s="238">
        <v>39527</v>
      </c>
      <c r="B1815" s="239">
        <v>2098.46</v>
      </c>
      <c r="C1815" s="242">
        <f t="shared" si="28"/>
        <v>2.3656674992145483E-2</v>
      </c>
    </row>
    <row r="1816" spans="1:3" x14ac:dyDescent="0.25">
      <c r="A1816" s="238">
        <v>39531</v>
      </c>
      <c r="B1816" s="239">
        <v>2130.62</v>
      </c>
      <c r="C1816" s="242">
        <f t="shared" si="28"/>
        <v>1.5209274802404771E-2</v>
      </c>
    </row>
    <row r="1817" spans="1:3" x14ac:dyDescent="0.25">
      <c r="A1817" s="238">
        <v>39532</v>
      </c>
      <c r="B1817" s="239">
        <v>2135.54</v>
      </c>
      <c r="C1817" s="242">
        <f t="shared" si="28"/>
        <v>2.3065249222829014E-3</v>
      </c>
    </row>
    <row r="1818" spans="1:3" x14ac:dyDescent="0.25">
      <c r="A1818" s="238">
        <v>39533</v>
      </c>
      <c r="B1818" s="239">
        <v>2116.9299999999998</v>
      </c>
      <c r="C1818" s="242">
        <f t="shared" si="28"/>
        <v>-8.7526161532179552E-3</v>
      </c>
    </row>
    <row r="1819" spans="1:3" x14ac:dyDescent="0.25">
      <c r="A1819" s="238">
        <v>39534</v>
      </c>
      <c r="B1819" s="239">
        <v>2093.11</v>
      </c>
      <c r="C1819" s="242">
        <f t="shared" si="28"/>
        <v>-1.1315927724745873E-2</v>
      </c>
    </row>
    <row r="1820" spans="1:3" x14ac:dyDescent="0.25">
      <c r="A1820" s="238">
        <v>39535</v>
      </c>
      <c r="B1820" s="239">
        <v>2076.56</v>
      </c>
      <c r="C1820" s="242">
        <f t="shared" si="28"/>
        <v>-7.938319776263145E-3</v>
      </c>
    </row>
    <row r="1821" spans="1:3" x14ac:dyDescent="0.25">
      <c r="A1821" s="238">
        <v>39538</v>
      </c>
      <c r="B1821" s="239">
        <v>2088.42</v>
      </c>
      <c r="C1821" s="242">
        <f t="shared" si="28"/>
        <v>5.6951207717597348E-3</v>
      </c>
    </row>
    <row r="1822" spans="1:3" x14ac:dyDescent="0.25">
      <c r="A1822" s="238">
        <v>39539</v>
      </c>
      <c r="B1822" s="239">
        <v>2163.38</v>
      </c>
      <c r="C1822" s="242">
        <f t="shared" si="28"/>
        <v>3.5264014246068121E-2</v>
      </c>
    </row>
    <row r="1823" spans="1:3" x14ac:dyDescent="0.25">
      <c r="A1823" s="238">
        <v>39540</v>
      </c>
      <c r="B1823" s="239">
        <v>2159.63</v>
      </c>
      <c r="C1823" s="242">
        <f t="shared" si="28"/>
        <v>-1.7349027370234548E-3</v>
      </c>
    </row>
    <row r="1824" spans="1:3" x14ac:dyDescent="0.25">
      <c r="A1824" s="238">
        <v>39541</v>
      </c>
      <c r="B1824" s="239">
        <v>2162.46</v>
      </c>
      <c r="C1824" s="242">
        <f t="shared" si="28"/>
        <v>1.3095518161059779E-3</v>
      </c>
    </row>
    <row r="1825" spans="1:3" x14ac:dyDescent="0.25">
      <c r="A1825" s="238">
        <v>39542</v>
      </c>
      <c r="B1825" s="239">
        <v>2164.21</v>
      </c>
      <c r="C1825" s="242">
        <f t="shared" si="28"/>
        <v>8.0893624678109351E-4</v>
      </c>
    </row>
    <row r="1826" spans="1:3" x14ac:dyDescent="0.25">
      <c r="A1826" s="238">
        <v>39545</v>
      </c>
      <c r="B1826" s="239">
        <v>2167.61</v>
      </c>
      <c r="C1826" s="242">
        <f t="shared" si="28"/>
        <v>1.5697793067080774E-3</v>
      </c>
    </row>
    <row r="1827" spans="1:3" x14ac:dyDescent="0.25">
      <c r="A1827" s="238">
        <v>39546</v>
      </c>
      <c r="B1827" s="239">
        <v>2157.2800000000002</v>
      </c>
      <c r="C1827" s="242">
        <f t="shared" si="28"/>
        <v>-4.7770091928588023E-3</v>
      </c>
    </row>
    <row r="1828" spans="1:3" x14ac:dyDescent="0.25">
      <c r="A1828" s="238">
        <v>39547</v>
      </c>
      <c r="B1828" s="239">
        <v>2139.9900000000002</v>
      </c>
      <c r="C1828" s="242">
        <f t="shared" si="28"/>
        <v>-8.0470127779815551E-3</v>
      </c>
    </row>
    <row r="1829" spans="1:3" x14ac:dyDescent="0.25">
      <c r="A1829" s="238">
        <v>39548</v>
      </c>
      <c r="B1829" s="239">
        <v>2149.67</v>
      </c>
      <c r="C1829" s="242">
        <f t="shared" si="28"/>
        <v>4.5131858612867445E-3</v>
      </c>
    </row>
    <row r="1830" spans="1:3" x14ac:dyDescent="0.25">
      <c r="A1830" s="238">
        <v>39549</v>
      </c>
      <c r="B1830" s="239">
        <v>2106.0100000000002</v>
      </c>
      <c r="C1830" s="242">
        <f t="shared" si="28"/>
        <v>-2.0519179948340523E-2</v>
      </c>
    </row>
    <row r="1831" spans="1:3" x14ac:dyDescent="0.25">
      <c r="A1831" s="238">
        <v>39552</v>
      </c>
      <c r="B1831" s="239">
        <v>2098.92</v>
      </c>
      <c r="C1831" s="242">
        <f t="shared" si="28"/>
        <v>-3.3722353137571408E-3</v>
      </c>
    </row>
    <row r="1832" spans="1:3" x14ac:dyDescent="0.25">
      <c r="A1832" s="238">
        <v>39553</v>
      </c>
      <c r="B1832" s="239">
        <v>2108.59</v>
      </c>
      <c r="C1832" s="242">
        <f t="shared" si="28"/>
        <v>4.5965509414675112E-3</v>
      </c>
    </row>
    <row r="1833" spans="1:3" x14ac:dyDescent="0.25">
      <c r="A1833" s="238">
        <v>39554</v>
      </c>
      <c r="B1833" s="239">
        <v>2156.67</v>
      </c>
      <c r="C1833" s="242">
        <f t="shared" si="28"/>
        <v>2.254588777225661E-2</v>
      </c>
    </row>
    <row r="1834" spans="1:3" x14ac:dyDescent="0.25">
      <c r="A1834" s="238">
        <v>39555</v>
      </c>
      <c r="B1834" s="239">
        <v>2158.08</v>
      </c>
      <c r="C1834" s="242">
        <f t="shared" si="28"/>
        <v>6.5357207263024041E-4</v>
      </c>
    </row>
    <row r="1835" spans="1:3" x14ac:dyDescent="0.25">
      <c r="A1835" s="238">
        <v>39556</v>
      </c>
      <c r="B1835" s="239">
        <v>2197.2400000000002</v>
      </c>
      <c r="C1835" s="242">
        <f t="shared" si="28"/>
        <v>1.7983089797596833E-2</v>
      </c>
    </row>
    <row r="1836" spans="1:3" x14ac:dyDescent="0.25">
      <c r="A1836" s="238">
        <v>39559</v>
      </c>
      <c r="B1836" s="239">
        <v>2193.87</v>
      </c>
      <c r="C1836" s="242">
        <f t="shared" si="28"/>
        <v>-1.5349197180838127E-3</v>
      </c>
    </row>
    <row r="1837" spans="1:3" x14ac:dyDescent="0.25">
      <c r="A1837" s="238">
        <v>39560</v>
      </c>
      <c r="B1837" s="239">
        <v>2174.59</v>
      </c>
      <c r="C1837" s="242">
        <f t="shared" si="28"/>
        <v>-8.8269665666229208E-3</v>
      </c>
    </row>
    <row r="1838" spans="1:3" x14ac:dyDescent="0.25">
      <c r="A1838" s="238">
        <v>39561</v>
      </c>
      <c r="B1838" s="239">
        <v>2180.91</v>
      </c>
      <c r="C1838" s="242">
        <f t="shared" si="28"/>
        <v>2.9020798694162739E-3</v>
      </c>
    </row>
    <row r="1839" spans="1:3" x14ac:dyDescent="0.25">
      <c r="A1839" s="238">
        <v>39562</v>
      </c>
      <c r="B1839" s="239">
        <v>2194.96</v>
      </c>
      <c r="C1839" s="242">
        <f t="shared" si="28"/>
        <v>6.4216022329695007E-3</v>
      </c>
    </row>
    <row r="1840" spans="1:3" x14ac:dyDescent="0.25">
      <c r="A1840" s="238">
        <v>39563</v>
      </c>
      <c r="B1840" s="239">
        <v>2209.25</v>
      </c>
      <c r="C1840" s="242">
        <f t="shared" si="28"/>
        <v>6.4892682895113935E-3</v>
      </c>
    </row>
    <row r="1841" spans="1:3" x14ac:dyDescent="0.25">
      <c r="A1841" s="238">
        <v>39566</v>
      </c>
      <c r="B1841" s="239">
        <v>2207.02</v>
      </c>
      <c r="C1841" s="242">
        <f t="shared" si="28"/>
        <v>-1.0099021072225325E-3</v>
      </c>
    </row>
    <row r="1842" spans="1:3" x14ac:dyDescent="0.25">
      <c r="A1842" s="238">
        <v>39567</v>
      </c>
      <c r="B1842" s="239">
        <v>2198.5</v>
      </c>
      <c r="C1842" s="242">
        <f t="shared" si="28"/>
        <v>-3.8678796700264248E-3</v>
      </c>
    </row>
    <row r="1843" spans="1:3" x14ac:dyDescent="0.25">
      <c r="A1843" s="238">
        <v>39568</v>
      </c>
      <c r="B1843" s="239">
        <v>2190.13</v>
      </c>
      <c r="C1843" s="242">
        <f t="shared" si="28"/>
        <v>-3.8144068415030884E-3</v>
      </c>
    </row>
    <row r="1844" spans="1:3" x14ac:dyDescent="0.25">
      <c r="A1844" s="238">
        <v>39569</v>
      </c>
      <c r="B1844" s="239">
        <v>2228.09</v>
      </c>
      <c r="C1844" s="242">
        <f t="shared" si="28"/>
        <v>1.718381342502805E-2</v>
      </c>
    </row>
    <row r="1845" spans="1:3" x14ac:dyDescent="0.25">
      <c r="A1845" s="238">
        <v>39570</v>
      </c>
      <c r="B1845" s="239">
        <v>2235.3000000000002</v>
      </c>
      <c r="C1845" s="242">
        <f t="shared" si="28"/>
        <v>3.2307310234017681E-3</v>
      </c>
    </row>
    <row r="1846" spans="1:3" x14ac:dyDescent="0.25">
      <c r="A1846" s="238">
        <v>39573</v>
      </c>
      <c r="B1846" s="239">
        <v>2225.37</v>
      </c>
      <c r="C1846" s="242">
        <f t="shared" si="28"/>
        <v>-4.4522533176240033E-3</v>
      </c>
    </row>
    <row r="1847" spans="1:3" x14ac:dyDescent="0.25">
      <c r="A1847" s="238">
        <v>39574</v>
      </c>
      <c r="B1847" s="239">
        <v>2242.4700000000003</v>
      </c>
      <c r="C1847" s="242">
        <f t="shared" si="28"/>
        <v>7.6547430068770175E-3</v>
      </c>
    </row>
    <row r="1848" spans="1:3" x14ac:dyDescent="0.25">
      <c r="A1848" s="238">
        <v>39575</v>
      </c>
      <c r="B1848" s="239">
        <v>2202.77</v>
      </c>
      <c r="C1848" s="242">
        <f t="shared" si="28"/>
        <v>-1.7862277651783044E-2</v>
      </c>
    </row>
    <row r="1849" spans="1:3" x14ac:dyDescent="0.25">
      <c r="A1849" s="238">
        <v>39576</v>
      </c>
      <c r="B1849" s="239">
        <v>2210.9500000000003</v>
      </c>
      <c r="C1849" s="242">
        <f t="shared" si="28"/>
        <v>3.7066281347612772E-3</v>
      </c>
    </row>
    <row r="1850" spans="1:3" x14ac:dyDescent="0.25">
      <c r="A1850" s="238">
        <v>39577</v>
      </c>
      <c r="B1850" s="239">
        <v>2196.54</v>
      </c>
      <c r="C1850" s="242">
        <f t="shared" si="28"/>
        <v>-6.5388923601099498E-3</v>
      </c>
    </row>
    <row r="1851" spans="1:3" x14ac:dyDescent="0.25">
      <c r="A1851" s="238">
        <v>39580</v>
      </c>
      <c r="B1851" s="239">
        <v>2220.81</v>
      </c>
      <c r="C1851" s="242">
        <f t="shared" si="28"/>
        <v>1.0988599144278964E-2</v>
      </c>
    </row>
    <row r="1852" spans="1:3" x14ac:dyDescent="0.25">
      <c r="A1852" s="238">
        <v>39581</v>
      </c>
      <c r="B1852" s="239">
        <v>2220.46</v>
      </c>
      <c r="C1852" s="242">
        <f t="shared" si="28"/>
        <v>-1.5761257510778782E-4</v>
      </c>
    </row>
    <row r="1853" spans="1:3" x14ac:dyDescent="0.25">
      <c r="A1853" s="238">
        <v>39582</v>
      </c>
      <c r="B1853" s="239">
        <v>2229.7400000000002</v>
      </c>
      <c r="C1853" s="242">
        <f t="shared" si="28"/>
        <v>4.1706051194622569E-3</v>
      </c>
    </row>
    <row r="1854" spans="1:3" x14ac:dyDescent="0.25">
      <c r="A1854" s="238">
        <v>39583</v>
      </c>
      <c r="B1854" s="239">
        <v>2253.7600000000002</v>
      </c>
      <c r="C1854" s="242">
        <f t="shared" si="28"/>
        <v>1.0714945828499382E-2</v>
      </c>
    </row>
    <row r="1855" spans="1:3" x14ac:dyDescent="0.25">
      <c r="A1855" s="238">
        <v>39584</v>
      </c>
      <c r="B1855" s="239">
        <v>2256.63</v>
      </c>
      <c r="C1855" s="242">
        <f t="shared" si="28"/>
        <v>1.2726173955438886E-3</v>
      </c>
    </row>
    <row r="1856" spans="1:3" x14ac:dyDescent="0.25">
      <c r="A1856" s="238">
        <v>39587</v>
      </c>
      <c r="B1856" s="239">
        <v>2258.7400000000002</v>
      </c>
      <c r="C1856" s="242">
        <f t="shared" si="28"/>
        <v>9.3458571659998317E-4</v>
      </c>
    </row>
    <row r="1857" spans="1:3" x14ac:dyDescent="0.25">
      <c r="A1857" s="238">
        <v>39588</v>
      </c>
      <c r="B1857" s="239">
        <v>2237.79</v>
      </c>
      <c r="C1857" s="242">
        <f t="shared" si="28"/>
        <v>-9.3183639801442172E-3</v>
      </c>
    </row>
    <row r="1858" spans="1:3" x14ac:dyDescent="0.25">
      <c r="A1858" s="238">
        <v>39589</v>
      </c>
      <c r="B1858" s="239">
        <v>2202.02</v>
      </c>
      <c r="C1858" s="242">
        <f t="shared" si="28"/>
        <v>-1.6113650795532432E-2</v>
      </c>
    </row>
    <row r="1859" spans="1:3" x14ac:dyDescent="0.25">
      <c r="A1859" s="238">
        <v>39590</v>
      </c>
      <c r="B1859" s="239">
        <v>2208.2000000000003</v>
      </c>
      <c r="C1859" s="242">
        <f t="shared" si="28"/>
        <v>2.802583111524102E-3</v>
      </c>
    </row>
    <row r="1860" spans="1:3" x14ac:dyDescent="0.25">
      <c r="A1860" s="238">
        <v>39591</v>
      </c>
      <c r="B1860" s="239">
        <v>2179.0500000000002</v>
      </c>
      <c r="C1860" s="242">
        <f t="shared" si="28"/>
        <v>-1.3288702018034388E-2</v>
      </c>
    </row>
    <row r="1861" spans="1:3" x14ac:dyDescent="0.25">
      <c r="A1861" s="238">
        <v>39595</v>
      </c>
      <c r="B1861" s="239">
        <v>2193.98</v>
      </c>
      <c r="C1861" s="242">
        <f t="shared" ref="C1861:C1924" si="29">LN(B1861/B1860)</f>
        <v>6.8282440363418347E-3</v>
      </c>
    </row>
    <row r="1862" spans="1:3" x14ac:dyDescent="0.25">
      <c r="A1862" s="238">
        <v>39596</v>
      </c>
      <c r="B1862" s="239">
        <v>2203.1</v>
      </c>
      <c r="C1862" s="242">
        <f t="shared" si="29"/>
        <v>4.1482133951753694E-3</v>
      </c>
    </row>
    <row r="1863" spans="1:3" x14ac:dyDescent="0.25">
      <c r="A1863" s="238">
        <v>39597</v>
      </c>
      <c r="B1863" s="239">
        <v>2215.12</v>
      </c>
      <c r="C1863" s="242">
        <f t="shared" si="29"/>
        <v>5.4411186654810288E-3</v>
      </c>
    </row>
    <row r="1864" spans="1:3" x14ac:dyDescent="0.25">
      <c r="A1864" s="238">
        <v>39598</v>
      </c>
      <c r="B1864" s="239">
        <v>2218.5</v>
      </c>
      <c r="C1864" s="242">
        <f t="shared" si="29"/>
        <v>1.5247137349638953E-3</v>
      </c>
    </row>
    <row r="1865" spans="1:3" x14ac:dyDescent="0.25">
      <c r="A1865" s="238">
        <v>39601</v>
      </c>
      <c r="B1865" s="239">
        <v>2195.27</v>
      </c>
      <c r="C1865" s="242">
        <f t="shared" si="29"/>
        <v>-1.0526246040699707E-2</v>
      </c>
    </row>
    <row r="1866" spans="1:3" x14ac:dyDescent="0.25">
      <c r="A1866" s="238">
        <v>39602</v>
      </c>
      <c r="B1866" s="239">
        <v>2182.65</v>
      </c>
      <c r="C1866" s="242">
        <f t="shared" si="29"/>
        <v>-5.7653109038670828E-3</v>
      </c>
    </row>
    <row r="1867" spans="1:3" x14ac:dyDescent="0.25">
      <c r="A1867" s="238">
        <v>39603</v>
      </c>
      <c r="B1867" s="239">
        <v>2183.0100000000002</v>
      </c>
      <c r="C1867" s="242">
        <f t="shared" si="29"/>
        <v>1.6492351709299498E-4</v>
      </c>
    </row>
    <row r="1868" spans="1:3" x14ac:dyDescent="0.25">
      <c r="A1868" s="238">
        <v>39604</v>
      </c>
      <c r="B1868" s="239">
        <v>2225.7400000000002</v>
      </c>
      <c r="C1868" s="242">
        <f t="shared" si="29"/>
        <v>1.9384786184624539E-2</v>
      </c>
    </row>
    <row r="1869" spans="1:3" x14ac:dyDescent="0.25">
      <c r="A1869" s="238">
        <v>39605</v>
      </c>
      <c r="B1869" s="239">
        <v>2157.2400000000002</v>
      </c>
      <c r="C1869" s="242">
        <f t="shared" si="29"/>
        <v>-3.1259817729789904E-2</v>
      </c>
    </row>
    <row r="1870" spans="1:3" x14ac:dyDescent="0.25">
      <c r="A1870" s="238">
        <v>39608</v>
      </c>
      <c r="B1870" s="239">
        <v>2159.0300000000002</v>
      </c>
      <c r="C1870" s="242">
        <f t="shared" si="29"/>
        <v>8.2941989385151805E-4</v>
      </c>
    </row>
    <row r="1871" spans="1:3" x14ac:dyDescent="0.25">
      <c r="A1871" s="238">
        <v>39609</v>
      </c>
      <c r="B1871" s="239">
        <v>2153.77</v>
      </c>
      <c r="C1871" s="242">
        <f t="shared" si="29"/>
        <v>-2.4392518123081174E-3</v>
      </c>
    </row>
    <row r="1872" spans="1:3" x14ac:dyDescent="0.25">
      <c r="A1872" s="238">
        <v>39610</v>
      </c>
      <c r="B1872" s="239">
        <v>2117.84</v>
      </c>
      <c r="C1872" s="242">
        <f t="shared" si="29"/>
        <v>-1.682309358509167E-2</v>
      </c>
    </row>
    <row r="1873" spans="1:3" x14ac:dyDescent="0.25">
      <c r="A1873" s="238">
        <v>39611</v>
      </c>
      <c r="B1873" s="239">
        <v>2124.94</v>
      </c>
      <c r="C1873" s="242">
        <f t="shared" si="29"/>
        <v>3.3468653229991197E-3</v>
      </c>
    </row>
    <row r="1874" spans="1:3" x14ac:dyDescent="0.25">
      <c r="A1874" s="238">
        <v>39612</v>
      </c>
      <c r="B1874" s="239">
        <v>2156.96</v>
      </c>
      <c r="C1874" s="242">
        <f t="shared" si="29"/>
        <v>1.4956256276977732E-2</v>
      </c>
    </row>
    <row r="1875" spans="1:3" x14ac:dyDescent="0.25">
      <c r="A1875" s="238">
        <v>39615</v>
      </c>
      <c r="B1875" s="239">
        <v>2157.14</v>
      </c>
      <c r="C1875" s="242">
        <f t="shared" si="29"/>
        <v>8.3447300760021342E-5</v>
      </c>
    </row>
    <row r="1876" spans="1:3" x14ac:dyDescent="0.25">
      <c r="A1876" s="238">
        <v>39616</v>
      </c>
      <c r="B1876" s="239">
        <v>2142.5500000000002</v>
      </c>
      <c r="C1876" s="242">
        <f t="shared" si="29"/>
        <v>-6.7865618210172177E-3</v>
      </c>
    </row>
    <row r="1877" spans="1:3" x14ac:dyDescent="0.25">
      <c r="A1877" s="238">
        <v>39617</v>
      </c>
      <c r="B1877" s="239">
        <v>2121.7800000000002</v>
      </c>
      <c r="C1877" s="242">
        <f t="shared" si="29"/>
        <v>-9.7413494008413565E-3</v>
      </c>
    </row>
    <row r="1878" spans="1:3" x14ac:dyDescent="0.25">
      <c r="A1878" s="238">
        <v>39618</v>
      </c>
      <c r="B1878" s="239">
        <v>2130.3000000000002</v>
      </c>
      <c r="C1878" s="242">
        <f t="shared" si="29"/>
        <v>4.007455834502364E-3</v>
      </c>
    </row>
    <row r="1879" spans="1:3" x14ac:dyDescent="0.25">
      <c r="A1879" s="238">
        <v>39619</v>
      </c>
      <c r="B1879" s="239">
        <v>2090.81</v>
      </c>
      <c r="C1879" s="242">
        <f t="shared" si="29"/>
        <v>-1.8711264170592726E-2</v>
      </c>
    </row>
    <row r="1880" spans="1:3" x14ac:dyDescent="0.25">
      <c r="A1880" s="238">
        <v>39622</v>
      </c>
      <c r="B1880" s="239">
        <v>2090.94</v>
      </c>
      <c r="C1880" s="242">
        <f t="shared" si="29"/>
        <v>6.2174926785194451E-5</v>
      </c>
    </row>
    <row r="1881" spans="1:3" x14ac:dyDescent="0.25">
      <c r="A1881" s="238">
        <v>39623</v>
      </c>
      <c r="B1881" s="239">
        <v>2085.08</v>
      </c>
      <c r="C1881" s="242">
        <f t="shared" si="29"/>
        <v>-2.8065018109749338E-3</v>
      </c>
    </row>
    <row r="1882" spans="1:3" x14ac:dyDescent="0.25">
      <c r="A1882" s="238">
        <v>39624</v>
      </c>
      <c r="B1882" s="239">
        <v>2097.36</v>
      </c>
      <c r="C1882" s="242">
        <f t="shared" si="29"/>
        <v>5.8721871860234146E-3</v>
      </c>
    </row>
    <row r="1883" spans="1:3" x14ac:dyDescent="0.25">
      <c r="A1883" s="238">
        <v>39625</v>
      </c>
      <c r="B1883" s="239">
        <v>2036.4</v>
      </c>
      <c r="C1883" s="242">
        <f t="shared" si="29"/>
        <v>-2.9495867959217652E-2</v>
      </c>
    </row>
    <row r="1884" spans="1:3" x14ac:dyDescent="0.25">
      <c r="A1884" s="238">
        <v>39626</v>
      </c>
      <c r="B1884" s="239">
        <v>2028.89</v>
      </c>
      <c r="C1884" s="242">
        <f t="shared" si="29"/>
        <v>-3.6946975704648514E-3</v>
      </c>
    </row>
    <row r="1885" spans="1:3" x14ac:dyDescent="0.25">
      <c r="A1885" s="238">
        <v>39629</v>
      </c>
      <c r="B1885" s="239">
        <v>2031.47</v>
      </c>
      <c r="C1885" s="242">
        <f t="shared" si="29"/>
        <v>1.2708234477844611E-3</v>
      </c>
    </row>
    <row r="1886" spans="1:3" x14ac:dyDescent="0.25">
      <c r="A1886" s="238">
        <v>39630</v>
      </c>
      <c r="B1886" s="239">
        <v>2039.66</v>
      </c>
      <c r="C1886" s="242">
        <f t="shared" si="29"/>
        <v>4.0234583756624644E-3</v>
      </c>
    </row>
    <row r="1887" spans="1:3" x14ac:dyDescent="0.25">
      <c r="A1887" s="238">
        <v>39631</v>
      </c>
      <c r="B1887" s="239">
        <v>2002.64</v>
      </c>
      <c r="C1887" s="242">
        <f t="shared" si="29"/>
        <v>-1.8316817173182887E-2</v>
      </c>
    </row>
    <row r="1888" spans="1:3" x14ac:dyDescent="0.25">
      <c r="A1888" s="238">
        <v>39632</v>
      </c>
      <c r="B1888" s="239">
        <v>2004.8700000000001</v>
      </c>
      <c r="C1888" s="242">
        <f t="shared" si="29"/>
        <v>1.1129106253847029E-3</v>
      </c>
    </row>
    <row r="1889" spans="1:3" x14ac:dyDescent="0.25">
      <c r="A1889" s="238">
        <v>39636</v>
      </c>
      <c r="B1889" s="239">
        <v>1988.0900000000001</v>
      </c>
      <c r="C1889" s="242">
        <f t="shared" si="29"/>
        <v>-8.4048419117961105E-3</v>
      </c>
    </row>
    <row r="1890" spans="1:3" x14ac:dyDescent="0.25">
      <c r="A1890" s="238">
        <v>39637</v>
      </c>
      <c r="B1890" s="239">
        <v>2022.8300000000002</v>
      </c>
      <c r="C1890" s="242">
        <f t="shared" si="29"/>
        <v>1.7323142201709451E-2</v>
      </c>
    </row>
    <row r="1891" spans="1:3" x14ac:dyDescent="0.25">
      <c r="A1891" s="238">
        <v>39638</v>
      </c>
      <c r="B1891" s="239">
        <v>1976.97</v>
      </c>
      <c r="C1891" s="242">
        <f t="shared" si="29"/>
        <v>-2.2932151474623835E-2</v>
      </c>
    </row>
    <row r="1892" spans="1:3" x14ac:dyDescent="0.25">
      <c r="A1892" s="238">
        <v>39639</v>
      </c>
      <c r="B1892" s="239">
        <v>1990.78</v>
      </c>
      <c r="C1892" s="242">
        <f t="shared" si="29"/>
        <v>6.9611521727033594E-3</v>
      </c>
    </row>
    <row r="1893" spans="1:3" x14ac:dyDescent="0.25">
      <c r="A1893" s="238">
        <v>39640</v>
      </c>
      <c r="B1893" s="239">
        <v>1968.8600000000001</v>
      </c>
      <c r="C1893" s="242">
        <f t="shared" si="29"/>
        <v>-1.1071826692380205E-2</v>
      </c>
    </row>
    <row r="1894" spans="1:3" x14ac:dyDescent="0.25">
      <c r="A1894" s="238">
        <v>39643</v>
      </c>
      <c r="B1894" s="239">
        <v>1951.08</v>
      </c>
      <c r="C1894" s="242">
        <f t="shared" si="29"/>
        <v>-9.0716296335134738E-3</v>
      </c>
    </row>
    <row r="1895" spans="1:3" x14ac:dyDescent="0.25">
      <c r="A1895" s="238">
        <v>39644</v>
      </c>
      <c r="B1895" s="239">
        <v>1929.8500000000001</v>
      </c>
      <c r="C1895" s="242">
        <f t="shared" si="29"/>
        <v>-1.0940785724158316E-2</v>
      </c>
    </row>
    <row r="1896" spans="1:3" x14ac:dyDescent="0.25">
      <c r="A1896" s="238">
        <v>39645</v>
      </c>
      <c r="B1896" s="239">
        <v>1978.47</v>
      </c>
      <c r="C1896" s="242">
        <f t="shared" si="29"/>
        <v>2.4881539036939349E-2</v>
      </c>
    </row>
    <row r="1897" spans="1:3" x14ac:dyDescent="0.25">
      <c r="A1897" s="238">
        <v>39646</v>
      </c>
      <c r="B1897" s="239">
        <v>2002.3</v>
      </c>
      <c r="C1897" s="242">
        <f t="shared" si="29"/>
        <v>1.1972701090358681E-2</v>
      </c>
    </row>
    <row r="1898" spans="1:3" x14ac:dyDescent="0.25">
      <c r="A1898" s="238">
        <v>39647</v>
      </c>
      <c r="B1898" s="239">
        <v>2002.88</v>
      </c>
      <c r="C1898" s="242">
        <f t="shared" si="29"/>
        <v>2.8962493773286222E-4</v>
      </c>
    </row>
    <row r="1899" spans="1:3" x14ac:dyDescent="0.25">
      <c r="A1899" s="238">
        <v>39650</v>
      </c>
      <c r="B1899" s="239">
        <v>2001.8600000000001</v>
      </c>
      <c r="C1899" s="242">
        <f t="shared" si="29"/>
        <v>-5.0939637632218008E-4</v>
      </c>
    </row>
    <row r="1900" spans="1:3" x14ac:dyDescent="0.25">
      <c r="A1900" s="238">
        <v>39651</v>
      </c>
      <c r="B1900" s="239">
        <v>2028.91</v>
      </c>
      <c r="C1900" s="242">
        <f t="shared" si="29"/>
        <v>1.3421954655984475E-2</v>
      </c>
    </row>
    <row r="1901" spans="1:3" x14ac:dyDescent="0.25">
      <c r="A1901" s="238">
        <v>39652</v>
      </c>
      <c r="B1901" s="239">
        <v>2037.15</v>
      </c>
      <c r="C1901" s="242">
        <f t="shared" si="29"/>
        <v>4.0530692021880149E-3</v>
      </c>
    </row>
    <row r="1902" spans="1:3" x14ac:dyDescent="0.25">
      <c r="A1902" s="238">
        <v>39653</v>
      </c>
      <c r="B1902" s="239">
        <v>1990.0900000000001</v>
      </c>
      <c r="C1902" s="242">
        <f t="shared" si="29"/>
        <v>-2.3371908391666245E-2</v>
      </c>
    </row>
    <row r="1903" spans="1:3" x14ac:dyDescent="0.25">
      <c r="A1903" s="238">
        <v>39654</v>
      </c>
      <c r="B1903" s="239">
        <v>1998.41</v>
      </c>
      <c r="C1903" s="242">
        <f t="shared" si="29"/>
        <v>4.1720005354751325E-3</v>
      </c>
    </row>
    <row r="1904" spans="1:3" x14ac:dyDescent="0.25">
      <c r="A1904" s="238">
        <v>39657</v>
      </c>
      <c r="B1904" s="239">
        <v>1961.23</v>
      </c>
      <c r="C1904" s="242">
        <f t="shared" si="29"/>
        <v>-1.878003694482434E-2</v>
      </c>
    </row>
    <row r="1905" spans="1:3" x14ac:dyDescent="0.25">
      <c r="A1905" s="238">
        <v>39658</v>
      </c>
      <c r="B1905" s="239">
        <v>2007.21</v>
      </c>
      <c r="C1905" s="242">
        <f t="shared" si="29"/>
        <v>2.3173870687198186E-2</v>
      </c>
    </row>
    <row r="1906" spans="1:3" x14ac:dyDescent="0.25">
      <c r="A1906" s="238">
        <v>39659</v>
      </c>
      <c r="B1906" s="239">
        <v>2040.81</v>
      </c>
      <c r="C1906" s="242">
        <f t="shared" si="29"/>
        <v>1.6601089750427043E-2</v>
      </c>
    </row>
    <row r="1907" spans="1:3" x14ac:dyDescent="0.25">
      <c r="A1907" s="238">
        <v>39660</v>
      </c>
      <c r="B1907" s="239">
        <v>2014.39</v>
      </c>
      <c r="C1907" s="242">
        <f t="shared" si="29"/>
        <v>-1.303036783438305E-2</v>
      </c>
    </row>
    <row r="1908" spans="1:3" x14ac:dyDescent="0.25">
      <c r="A1908" s="238">
        <v>39661</v>
      </c>
      <c r="B1908" s="239">
        <v>2003.16</v>
      </c>
      <c r="C1908" s="242">
        <f t="shared" si="29"/>
        <v>-5.5904863651166413E-3</v>
      </c>
    </row>
    <row r="1909" spans="1:3" x14ac:dyDescent="0.25">
      <c r="A1909" s="238">
        <v>39664</v>
      </c>
      <c r="B1909" s="239">
        <v>1985.23</v>
      </c>
      <c r="C1909" s="242">
        <f t="shared" si="29"/>
        <v>-8.991157228670164E-3</v>
      </c>
    </row>
    <row r="1910" spans="1:3" x14ac:dyDescent="0.25">
      <c r="A1910" s="238">
        <v>39665</v>
      </c>
      <c r="B1910" s="239">
        <v>2042.44</v>
      </c>
      <c r="C1910" s="242">
        <f t="shared" si="29"/>
        <v>2.8410395111061033E-2</v>
      </c>
    </row>
    <row r="1911" spans="1:3" x14ac:dyDescent="0.25">
      <c r="A1911" s="238">
        <v>39666</v>
      </c>
      <c r="B1911" s="239">
        <v>2050.23</v>
      </c>
      <c r="C1911" s="242">
        <f t="shared" si="29"/>
        <v>3.8068104233152443E-3</v>
      </c>
    </row>
    <row r="1912" spans="1:3" x14ac:dyDescent="0.25">
      <c r="A1912" s="238">
        <v>39667</v>
      </c>
      <c r="B1912" s="239">
        <v>2013.66</v>
      </c>
      <c r="C1912" s="242">
        <f t="shared" si="29"/>
        <v>-1.7998020205999297E-2</v>
      </c>
    </row>
    <row r="1913" spans="1:3" x14ac:dyDescent="0.25">
      <c r="A1913" s="238">
        <v>39668</v>
      </c>
      <c r="B1913" s="239">
        <v>2061.77</v>
      </c>
      <c r="C1913" s="242">
        <f t="shared" si="29"/>
        <v>2.3610875408561906E-2</v>
      </c>
    </row>
    <row r="1914" spans="1:3" x14ac:dyDescent="0.25">
      <c r="A1914" s="238">
        <v>39671</v>
      </c>
      <c r="B1914" s="239">
        <v>2076.59</v>
      </c>
      <c r="C1914" s="242">
        <f t="shared" si="29"/>
        <v>7.1622881302906083E-3</v>
      </c>
    </row>
    <row r="1915" spans="1:3" x14ac:dyDescent="0.25">
      <c r="A1915" s="238">
        <v>39672</v>
      </c>
      <c r="B1915" s="239">
        <v>2051.66</v>
      </c>
      <c r="C1915" s="242">
        <f t="shared" si="29"/>
        <v>-1.2077903739430613E-2</v>
      </c>
    </row>
    <row r="1916" spans="1:3" x14ac:dyDescent="0.25">
      <c r="A1916" s="238">
        <v>39673</v>
      </c>
      <c r="B1916" s="239">
        <v>2046.3500000000001</v>
      </c>
      <c r="C1916" s="242">
        <f t="shared" si="29"/>
        <v>-2.5915031792407258E-3</v>
      </c>
    </row>
    <row r="1917" spans="1:3" x14ac:dyDescent="0.25">
      <c r="A1917" s="238">
        <v>39674</v>
      </c>
      <c r="B1917" s="239">
        <v>2057.7200000000003</v>
      </c>
      <c r="C1917" s="242">
        <f t="shared" si="29"/>
        <v>5.5408553407990798E-3</v>
      </c>
    </row>
    <row r="1918" spans="1:3" x14ac:dyDescent="0.25">
      <c r="A1918" s="238">
        <v>39675</v>
      </c>
      <c r="B1918" s="239">
        <v>2066.36</v>
      </c>
      <c r="C1918" s="242">
        <f t="shared" si="29"/>
        <v>4.1900315418606946E-3</v>
      </c>
    </row>
    <row r="1919" spans="1:3" x14ac:dyDescent="0.25">
      <c r="A1919" s="238">
        <v>39678</v>
      </c>
      <c r="B1919" s="239">
        <v>2035.3</v>
      </c>
      <c r="C1919" s="242">
        <f t="shared" si="29"/>
        <v>-1.5145377099011202E-2</v>
      </c>
    </row>
    <row r="1920" spans="1:3" x14ac:dyDescent="0.25">
      <c r="A1920" s="238">
        <v>39679</v>
      </c>
      <c r="B1920" s="239">
        <v>2016.52</v>
      </c>
      <c r="C1920" s="242">
        <f t="shared" si="29"/>
        <v>-9.2699747195395879E-3</v>
      </c>
    </row>
    <row r="1921" spans="1:3" x14ac:dyDescent="0.25">
      <c r="A1921" s="238">
        <v>39680</v>
      </c>
      <c r="B1921" s="239">
        <v>2029.15</v>
      </c>
      <c r="C1921" s="242">
        <f t="shared" si="29"/>
        <v>6.2437326973488758E-3</v>
      </c>
    </row>
    <row r="1922" spans="1:3" x14ac:dyDescent="0.25">
      <c r="A1922" s="238">
        <v>39681</v>
      </c>
      <c r="B1922" s="239">
        <v>2034.3500000000001</v>
      </c>
      <c r="C1922" s="242">
        <f t="shared" si="29"/>
        <v>2.5593713983013489E-3</v>
      </c>
    </row>
    <row r="1923" spans="1:3" x14ac:dyDescent="0.25">
      <c r="A1923" s="238">
        <v>39682</v>
      </c>
      <c r="B1923" s="239">
        <v>2057.64</v>
      </c>
      <c r="C1923" s="242">
        <f t="shared" si="29"/>
        <v>1.1383337443816271E-2</v>
      </c>
    </row>
    <row r="1924" spans="1:3" x14ac:dyDescent="0.25">
      <c r="A1924" s="238">
        <v>39685</v>
      </c>
      <c r="B1924" s="239">
        <v>2017.27</v>
      </c>
      <c r="C1924" s="242">
        <f t="shared" si="29"/>
        <v>-1.9814582811747555E-2</v>
      </c>
    </row>
    <row r="1925" spans="1:3" x14ac:dyDescent="0.25">
      <c r="A1925" s="238">
        <v>39686</v>
      </c>
      <c r="B1925" s="239">
        <v>2024.72</v>
      </c>
      <c r="C1925" s="242">
        <f t="shared" ref="C1925:C1988" si="30">LN(B1925/B1924)</f>
        <v>3.6863072082889622E-3</v>
      </c>
    </row>
    <row r="1926" spans="1:3" x14ac:dyDescent="0.25">
      <c r="A1926" s="238">
        <v>39687</v>
      </c>
      <c r="B1926" s="239">
        <v>2041.24</v>
      </c>
      <c r="C1926" s="242">
        <f t="shared" si="30"/>
        <v>8.1260469384020345E-3</v>
      </c>
    </row>
    <row r="1927" spans="1:3" x14ac:dyDescent="0.25">
      <c r="A1927" s="238">
        <v>39688</v>
      </c>
      <c r="B1927" s="239">
        <v>2071.86</v>
      </c>
      <c r="C1927" s="242">
        <f t="shared" si="30"/>
        <v>1.4889288215311455E-2</v>
      </c>
    </row>
    <row r="1928" spans="1:3" x14ac:dyDescent="0.25">
      <c r="A1928" s="238">
        <v>39689</v>
      </c>
      <c r="B1928" s="239">
        <v>2043.53</v>
      </c>
      <c r="C1928" s="242">
        <f t="shared" si="30"/>
        <v>-1.3768049937557385E-2</v>
      </c>
    </row>
    <row r="1929" spans="1:3" x14ac:dyDescent="0.25">
      <c r="A1929" s="238">
        <v>39693</v>
      </c>
      <c r="B1929" s="239">
        <v>2035.24</v>
      </c>
      <c r="C1929" s="242">
        <f t="shared" si="30"/>
        <v>-4.0649565507435877E-3</v>
      </c>
    </row>
    <row r="1930" spans="1:3" x14ac:dyDescent="0.25">
      <c r="A1930" s="238">
        <v>39694</v>
      </c>
      <c r="B1930" s="239">
        <v>2032.13</v>
      </c>
      <c r="C1930" s="242">
        <f t="shared" si="30"/>
        <v>-1.5292440107901395E-3</v>
      </c>
    </row>
    <row r="1931" spans="1:3" x14ac:dyDescent="0.25">
      <c r="A1931" s="238">
        <v>39695</v>
      </c>
      <c r="B1931" s="239">
        <v>1971.3700000000001</v>
      </c>
      <c r="C1931" s="242">
        <f t="shared" si="30"/>
        <v>-3.0355771526224009E-2</v>
      </c>
    </row>
    <row r="1932" spans="1:3" x14ac:dyDescent="0.25">
      <c r="A1932" s="238">
        <v>39696</v>
      </c>
      <c r="B1932" s="239">
        <v>1980.18</v>
      </c>
      <c r="C1932" s="242">
        <f t="shared" si="30"/>
        <v>4.4590171438088667E-3</v>
      </c>
    </row>
    <row r="1933" spans="1:3" x14ac:dyDescent="0.25">
      <c r="A1933" s="238">
        <v>39699</v>
      </c>
      <c r="B1933" s="239">
        <v>2021.13</v>
      </c>
      <c r="C1933" s="242">
        <f t="shared" si="30"/>
        <v>2.0469011279160509E-2</v>
      </c>
    </row>
    <row r="1934" spans="1:3" x14ac:dyDescent="0.25">
      <c r="A1934" s="238">
        <v>39700</v>
      </c>
      <c r="B1934" s="239">
        <v>1952.14</v>
      </c>
      <c r="C1934" s="242">
        <f t="shared" si="30"/>
        <v>-3.4730554214006476E-2</v>
      </c>
    </row>
    <row r="1935" spans="1:3" x14ac:dyDescent="0.25">
      <c r="A1935" s="238">
        <v>39701</v>
      </c>
      <c r="B1935" s="239">
        <v>1964.25</v>
      </c>
      <c r="C1935" s="242">
        <f t="shared" si="30"/>
        <v>6.1842863432680917E-3</v>
      </c>
    </row>
    <row r="1936" spans="1:3" x14ac:dyDescent="0.25">
      <c r="A1936" s="238">
        <v>39702</v>
      </c>
      <c r="B1936" s="239">
        <v>1992</v>
      </c>
      <c r="C1936" s="242">
        <f t="shared" si="30"/>
        <v>1.4028666088612599E-2</v>
      </c>
    </row>
    <row r="1937" spans="1:3" x14ac:dyDescent="0.25">
      <c r="A1937" s="238">
        <v>39703</v>
      </c>
      <c r="B1937" s="239">
        <v>1996.25</v>
      </c>
      <c r="C1937" s="242">
        <f t="shared" si="30"/>
        <v>2.1312613846787283E-3</v>
      </c>
    </row>
    <row r="1938" spans="1:3" x14ac:dyDescent="0.25">
      <c r="A1938" s="238">
        <v>39706</v>
      </c>
      <c r="B1938" s="239">
        <v>1902.17</v>
      </c>
      <c r="C1938" s="242">
        <f t="shared" si="30"/>
        <v>-4.8275080817584429E-2</v>
      </c>
    </row>
    <row r="1939" spans="1:3" x14ac:dyDescent="0.25">
      <c r="A1939" s="238">
        <v>39707</v>
      </c>
      <c r="B1939" s="239">
        <v>1935.49</v>
      </c>
      <c r="C1939" s="242">
        <f t="shared" si="30"/>
        <v>1.7365184669106474E-2</v>
      </c>
    </row>
    <row r="1940" spans="1:3" x14ac:dyDescent="0.25">
      <c r="A1940" s="238">
        <v>39708</v>
      </c>
      <c r="B1940" s="239">
        <v>1844.31</v>
      </c>
      <c r="C1940" s="242">
        <f t="shared" si="30"/>
        <v>-4.8255300595313515E-2</v>
      </c>
    </row>
    <row r="1941" spans="1:3" x14ac:dyDescent="0.25">
      <c r="A1941" s="238">
        <v>39709</v>
      </c>
      <c r="B1941" s="239">
        <v>1924.8500000000001</v>
      </c>
      <c r="C1941" s="242">
        <f t="shared" si="30"/>
        <v>4.2742818822449E-2</v>
      </c>
    </row>
    <row r="1942" spans="1:3" x14ac:dyDescent="0.25">
      <c r="A1942" s="238">
        <v>39710</v>
      </c>
      <c r="B1942" s="239">
        <v>2002.32</v>
      </c>
      <c r="C1942" s="242">
        <f t="shared" si="30"/>
        <v>3.9458465654049035E-2</v>
      </c>
    </row>
    <row r="1943" spans="1:3" x14ac:dyDescent="0.25">
      <c r="A1943" s="238">
        <v>39713</v>
      </c>
      <c r="B1943" s="239">
        <v>1925.8500000000001</v>
      </c>
      <c r="C1943" s="242">
        <f t="shared" si="30"/>
        <v>-3.8939079556726333E-2</v>
      </c>
    </row>
    <row r="1944" spans="1:3" x14ac:dyDescent="0.25">
      <c r="A1944" s="238">
        <v>39714</v>
      </c>
      <c r="B1944" s="239">
        <v>1895.78</v>
      </c>
      <c r="C1944" s="242">
        <f t="shared" si="30"/>
        <v>-1.5737065377946512E-2</v>
      </c>
    </row>
    <row r="1945" spans="1:3" x14ac:dyDescent="0.25">
      <c r="A1945" s="238">
        <v>39715</v>
      </c>
      <c r="B1945" s="239">
        <v>1892.05</v>
      </c>
      <c r="C1945" s="242">
        <f t="shared" si="30"/>
        <v>-1.9694660033101833E-3</v>
      </c>
    </row>
    <row r="1946" spans="1:3" x14ac:dyDescent="0.25">
      <c r="A1946" s="238">
        <v>39716</v>
      </c>
      <c r="B1946" s="239">
        <v>1929.24</v>
      </c>
      <c r="C1946" s="242">
        <f t="shared" si="30"/>
        <v>1.9465245638923125E-2</v>
      </c>
    </row>
    <row r="1947" spans="1:3" x14ac:dyDescent="0.25">
      <c r="A1947" s="238">
        <v>39717</v>
      </c>
      <c r="B1947" s="239">
        <v>1935.79</v>
      </c>
      <c r="C1947" s="242">
        <f t="shared" si="30"/>
        <v>3.389368915860877E-3</v>
      </c>
    </row>
    <row r="1948" spans="1:3" x14ac:dyDescent="0.25">
      <c r="A1948" s="238">
        <v>39720</v>
      </c>
      <c r="B1948" s="239">
        <v>1765.72</v>
      </c>
      <c r="C1948" s="242">
        <f t="shared" si="30"/>
        <v>-9.1956972681643226E-2</v>
      </c>
    </row>
    <row r="1949" spans="1:3" x14ac:dyDescent="0.25">
      <c r="A1949" s="238">
        <v>39721</v>
      </c>
      <c r="B1949" s="239">
        <v>1861.44</v>
      </c>
      <c r="C1949" s="242">
        <f t="shared" si="30"/>
        <v>5.2791842525310245E-2</v>
      </c>
    </row>
    <row r="1950" spans="1:3" x14ac:dyDescent="0.25">
      <c r="A1950" s="238">
        <v>39722</v>
      </c>
      <c r="B1950" s="239">
        <v>1853.26</v>
      </c>
      <c r="C1950" s="242">
        <f t="shared" si="30"/>
        <v>-4.4041312740497156E-3</v>
      </c>
    </row>
    <row r="1951" spans="1:3" x14ac:dyDescent="0.25">
      <c r="A1951" s="238">
        <v>39723</v>
      </c>
      <c r="B1951" s="239">
        <v>1778.9</v>
      </c>
      <c r="C1951" s="242">
        <f t="shared" si="30"/>
        <v>-4.0951054717122869E-2</v>
      </c>
    </row>
    <row r="1952" spans="1:3" x14ac:dyDescent="0.25">
      <c r="A1952" s="238">
        <v>39724</v>
      </c>
      <c r="B1952" s="239">
        <v>1754.91</v>
      </c>
      <c r="C1952" s="242">
        <f t="shared" si="30"/>
        <v>-1.3577622197509348E-2</v>
      </c>
    </row>
    <row r="1953" spans="1:3" x14ac:dyDescent="0.25">
      <c r="A1953" s="238">
        <v>39727</v>
      </c>
      <c r="B1953" s="239">
        <v>1687.33</v>
      </c>
      <c r="C1953" s="242">
        <f t="shared" si="30"/>
        <v>-3.9270175602460003E-2</v>
      </c>
    </row>
    <row r="1954" spans="1:3" x14ac:dyDescent="0.25">
      <c r="A1954" s="238">
        <v>39728</v>
      </c>
      <c r="B1954" s="239">
        <v>1590.51</v>
      </c>
      <c r="C1954" s="242">
        <f t="shared" si="30"/>
        <v>-5.90926784307933E-2</v>
      </c>
    </row>
    <row r="1955" spans="1:3" x14ac:dyDescent="0.25">
      <c r="A1955" s="238">
        <v>39729</v>
      </c>
      <c r="B1955" s="239">
        <v>1573.3400000000001</v>
      </c>
      <c r="C1955" s="242">
        <f t="shared" si="30"/>
        <v>-1.0853971309811845E-2</v>
      </c>
    </row>
    <row r="1956" spans="1:3" x14ac:dyDescent="0.25">
      <c r="A1956" s="238">
        <v>39730</v>
      </c>
      <c r="B1956" s="239">
        <v>1453.52</v>
      </c>
      <c r="C1956" s="242">
        <f t="shared" si="30"/>
        <v>-7.9212547396464716E-2</v>
      </c>
    </row>
    <row r="1957" spans="1:3" x14ac:dyDescent="0.25">
      <c r="A1957" s="238">
        <v>39731</v>
      </c>
      <c r="B1957" s="239">
        <v>1436.56</v>
      </c>
      <c r="C1957" s="242">
        <f t="shared" si="30"/>
        <v>-1.173683406054271E-2</v>
      </c>
    </row>
    <row r="1958" spans="1:3" x14ac:dyDescent="0.25">
      <c r="A1958" s="238">
        <v>39734</v>
      </c>
      <c r="B1958" s="239">
        <v>1602.93</v>
      </c>
      <c r="C1958" s="242">
        <f t="shared" si="30"/>
        <v>0.10958183780015961</v>
      </c>
    </row>
    <row r="1959" spans="1:3" x14ac:dyDescent="0.25">
      <c r="A1959" s="238">
        <v>39735</v>
      </c>
      <c r="B1959" s="239">
        <v>1594.41</v>
      </c>
      <c r="C1959" s="242">
        <f t="shared" si="30"/>
        <v>-5.3294427030542019E-3</v>
      </c>
    </row>
    <row r="1960" spans="1:3" x14ac:dyDescent="0.25">
      <c r="A1960" s="238">
        <v>39736</v>
      </c>
      <c r="B1960" s="239">
        <v>1450.5</v>
      </c>
      <c r="C1960" s="242">
        <f t="shared" si="30"/>
        <v>-9.4595437269289137E-2</v>
      </c>
    </row>
    <row r="1961" spans="1:3" x14ac:dyDescent="0.25">
      <c r="A1961" s="238">
        <v>39737</v>
      </c>
      <c r="B1961" s="239">
        <v>1512.21</v>
      </c>
      <c r="C1961" s="242">
        <f t="shared" si="30"/>
        <v>4.166383242273982E-2</v>
      </c>
    </row>
    <row r="1962" spans="1:3" x14ac:dyDescent="0.25">
      <c r="A1962" s="238">
        <v>39738</v>
      </c>
      <c r="B1962" s="239">
        <v>1502.84</v>
      </c>
      <c r="C1962" s="242">
        <f t="shared" si="30"/>
        <v>-6.2155056569760192E-3</v>
      </c>
    </row>
    <row r="1963" spans="1:3" x14ac:dyDescent="0.25">
      <c r="A1963" s="238">
        <v>39741</v>
      </c>
      <c r="B1963" s="239">
        <v>1574.5</v>
      </c>
      <c r="C1963" s="242">
        <f t="shared" si="30"/>
        <v>4.6581110213856865E-2</v>
      </c>
    </row>
    <row r="1964" spans="1:3" x14ac:dyDescent="0.25">
      <c r="A1964" s="238">
        <v>39742</v>
      </c>
      <c r="B1964" s="239">
        <v>1526.02</v>
      </c>
      <c r="C1964" s="242">
        <f t="shared" si="30"/>
        <v>-3.1274722622666826E-2</v>
      </c>
    </row>
    <row r="1965" spans="1:3" x14ac:dyDescent="0.25">
      <c r="A1965" s="238">
        <v>39743</v>
      </c>
      <c r="B1965" s="239">
        <v>1433.22</v>
      </c>
      <c r="C1965" s="242">
        <f t="shared" si="30"/>
        <v>-6.2739377798489121E-2</v>
      </c>
    </row>
    <row r="1966" spans="1:3" x14ac:dyDescent="0.25">
      <c r="A1966" s="238">
        <v>39744</v>
      </c>
      <c r="B1966" s="239">
        <v>1451.3700000000001</v>
      </c>
      <c r="C1966" s="242">
        <f t="shared" si="30"/>
        <v>1.2584276812269589E-2</v>
      </c>
    </row>
    <row r="1967" spans="1:3" x14ac:dyDescent="0.25">
      <c r="A1967" s="238">
        <v>39745</v>
      </c>
      <c r="B1967" s="239">
        <v>1401.29</v>
      </c>
      <c r="C1967" s="242">
        <f t="shared" si="30"/>
        <v>-3.5114697012127084E-2</v>
      </c>
    </row>
    <row r="1968" spans="1:3" x14ac:dyDescent="0.25">
      <c r="A1968" s="238">
        <v>39748</v>
      </c>
      <c r="B1968" s="239">
        <v>1356.78</v>
      </c>
      <c r="C1968" s="242">
        <f t="shared" si="30"/>
        <v>-3.2278995557108343E-2</v>
      </c>
    </row>
    <row r="1969" spans="1:3" x14ac:dyDescent="0.25">
      <c r="A1969" s="238">
        <v>39749</v>
      </c>
      <c r="B1969" s="239">
        <v>1503.16</v>
      </c>
      <c r="C1969" s="242">
        <f t="shared" si="30"/>
        <v>0.10245531348336601</v>
      </c>
    </row>
    <row r="1970" spans="1:3" x14ac:dyDescent="0.25">
      <c r="A1970" s="238">
        <v>39750</v>
      </c>
      <c r="B1970" s="239">
        <v>1486.73</v>
      </c>
      <c r="C1970" s="242">
        <f t="shared" si="30"/>
        <v>-1.0990481510854961E-2</v>
      </c>
    </row>
    <row r="1971" spans="1:3" x14ac:dyDescent="0.25">
      <c r="A1971" s="238">
        <v>39751</v>
      </c>
      <c r="B1971" s="239">
        <v>1525.3700000000001</v>
      </c>
      <c r="C1971" s="242">
        <f t="shared" si="30"/>
        <v>2.5657926228674764E-2</v>
      </c>
    </row>
    <row r="1972" spans="1:3" x14ac:dyDescent="0.25">
      <c r="A1972" s="238">
        <v>39752</v>
      </c>
      <c r="B1972" s="239">
        <v>1548.81</v>
      </c>
      <c r="C1972" s="242">
        <f t="shared" si="30"/>
        <v>1.5249890548895416E-2</v>
      </c>
    </row>
    <row r="1973" spans="1:3" x14ac:dyDescent="0.25">
      <c r="A1973" s="238">
        <v>39755</v>
      </c>
      <c r="B1973" s="239">
        <v>1544.91</v>
      </c>
      <c r="C1973" s="242">
        <f t="shared" si="30"/>
        <v>-2.5212379051160077E-3</v>
      </c>
    </row>
    <row r="1974" spans="1:3" x14ac:dyDescent="0.25">
      <c r="A1974" s="238">
        <v>39756</v>
      </c>
      <c r="B1974" s="239">
        <v>1608</v>
      </c>
      <c r="C1974" s="242">
        <f t="shared" si="30"/>
        <v>4.00255145309888E-2</v>
      </c>
    </row>
    <row r="1975" spans="1:3" x14ac:dyDescent="0.25">
      <c r="A1975" s="238">
        <v>39757</v>
      </c>
      <c r="B1975" s="239">
        <v>1524.21</v>
      </c>
      <c r="C1975" s="242">
        <f t="shared" si="30"/>
        <v>-5.3514927709626445E-2</v>
      </c>
    </row>
    <row r="1976" spans="1:3" x14ac:dyDescent="0.25">
      <c r="A1976" s="238">
        <v>39758</v>
      </c>
      <c r="B1976" s="239">
        <v>1448.01</v>
      </c>
      <c r="C1976" s="242">
        <f t="shared" si="30"/>
        <v>-5.1286043030122283E-2</v>
      </c>
    </row>
    <row r="1977" spans="1:3" x14ac:dyDescent="0.25">
      <c r="A1977" s="238">
        <v>39759</v>
      </c>
      <c r="B1977" s="239">
        <v>1490.31</v>
      </c>
      <c r="C1977" s="242">
        <f t="shared" si="30"/>
        <v>2.879395199144941E-2</v>
      </c>
    </row>
    <row r="1978" spans="1:3" x14ac:dyDescent="0.25">
      <c r="A1978" s="238">
        <v>39762</v>
      </c>
      <c r="B1978" s="239">
        <v>1471.64</v>
      </c>
      <c r="C1978" s="242">
        <f t="shared" si="30"/>
        <v>-1.2606726830131611E-2</v>
      </c>
    </row>
    <row r="1979" spans="1:3" x14ac:dyDescent="0.25">
      <c r="A1979" s="238">
        <v>39763</v>
      </c>
      <c r="B1979" s="239">
        <v>1439.22</v>
      </c>
      <c r="C1979" s="242">
        <f t="shared" si="30"/>
        <v>-2.2276125011486882E-2</v>
      </c>
    </row>
    <row r="1980" spans="1:3" x14ac:dyDescent="0.25">
      <c r="A1980" s="238">
        <v>39764</v>
      </c>
      <c r="B1980" s="239">
        <v>1365.15</v>
      </c>
      <c r="C1980" s="242">
        <f t="shared" si="30"/>
        <v>-5.2836987457519316E-2</v>
      </c>
    </row>
    <row r="1981" spans="1:3" x14ac:dyDescent="0.25">
      <c r="A1981" s="238">
        <v>39765</v>
      </c>
      <c r="B1981" s="239">
        <v>1459.82</v>
      </c>
      <c r="C1981" s="242">
        <f t="shared" si="30"/>
        <v>6.7048827739125183E-2</v>
      </c>
    </row>
    <row r="1982" spans="1:3" x14ac:dyDescent="0.25">
      <c r="A1982" s="238">
        <v>39766</v>
      </c>
      <c r="B1982" s="239">
        <v>1399.2</v>
      </c>
      <c r="C1982" s="242">
        <f t="shared" si="30"/>
        <v>-4.2412495726207165E-2</v>
      </c>
    </row>
    <row r="1983" spans="1:3" x14ac:dyDescent="0.25">
      <c r="A1983" s="238">
        <v>39769</v>
      </c>
      <c r="B1983" s="239">
        <v>1363.14</v>
      </c>
      <c r="C1983" s="242">
        <f t="shared" si="30"/>
        <v>-2.6109782682496308E-2</v>
      </c>
    </row>
    <row r="1984" spans="1:3" x14ac:dyDescent="0.25">
      <c r="A1984" s="238">
        <v>39770</v>
      </c>
      <c r="B1984" s="239">
        <v>1376.81</v>
      </c>
      <c r="C1984" s="242">
        <f t="shared" si="30"/>
        <v>9.9783670681152393E-3</v>
      </c>
    </row>
    <row r="1985" spans="1:3" x14ac:dyDescent="0.25">
      <c r="A1985" s="238">
        <v>39771</v>
      </c>
      <c r="B1985" s="239">
        <v>1292.76</v>
      </c>
      <c r="C1985" s="242">
        <f t="shared" si="30"/>
        <v>-6.2989761395909796E-2</v>
      </c>
    </row>
    <row r="1986" spans="1:3" x14ac:dyDescent="0.25">
      <c r="A1986" s="238">
        <v>39772</v>
      </c>
      <c r="B1986" s="239">
        <v>1206.04</v>
      </c>
      <c r="C1986" s="242">
        <f t="shared" si="30"/>
        <v>-6.9437202461145958E-2</v>
      </c>
    </row>
    <row r="1987" spans="1:3" x14ac:dyDescent="0.25">
      <c r="A1987" s="238">
        <v>39773</v>
      </c>
      <c r="B1987" s="239">
        <v>1282.5899999999999</v>
      </c>
      <c r="C1987" s="242">
        <f t="shared" si="30"/>
        <v>6.1539205788384545E-2</v>
      </c>
    </row>
    <row r="1988" spans="1:3" x14ac:dyDescent="0.25">
      <c r="A1988" s="238">
        <v>39776</v>
      </c>
      <c r="B1988" s="239">
        <v>1365.63</v>
      </c>
      <c r="C1988" s="242">
        <f t="shared" si="30"/>
        <v>6.2734389583143479E-2</v>
      </c>
    </row>
    <row r="1989" spans="1:3" x14ac:dyDescent="0.25">
      <c r="A1989" s="238">
        <v>39777</v>
      </c>
      <c r="B1989" s="239">
        <v>1374.79</v>
      </c>
      <c r="C1989" s="242">
        <f t="shared" ref="C1989:C2052" si="31">LN(B1989/B1988)</f>
        <v>6.6851315594633641E-3</v>
      </c>
    </row>
    <row r="1990" spans="1:3" x14ac:dyDescent="0.25">
      <c r="A1990" s="238">
        <v>39778</v>
      </c>
      <c r="B1990" s="239">
        <v>1423.9</v>
      </c>
      <c r="C1990" s="242">
        <f t="shared" si="31"/>
        <v>3.5098593623002078E-2</v>
      </c>
    </row>
    <row r="1991" spans="1:3" x14ac:dyDescent="0.25">
      <c r="A1991" s="238">
        <v>39780</v>
      </c>
      <c r="B1991" s="239">
        <v>1437.68</v>
      </c>
      <c r="C1991" s="242">
        <f t="shared" si="31"/>
        <v>9.6311174368176461E-3</v>
      </c>
    </row>
    <row r="1992" spans="1:3" x14ac:dyDescent="0.25">
      <c r="A1992" s="238">
        <v>39783</v>
      </c>
      <c r="B1992" s="239">
        <v>1309.3900000000001</v>
      </c>
      <c r="C1992" s="242">
        <f t="shared" si="31"/>
        <v>-9.3469323331626511E-2</v>
      </c>
    </row>
    <row r="1993" spans="1:3" x14ac:dyDescent="0.25">
      <c r="A1993" s="238">
        <v>39784</v>
      </c>
      <c r="B1993" s="239">
        <v>1361.79</v>
      </c>
      <c r="C1993" s="242">
        <f t="shared" si="31"/>
        <v>3.9238630907558435E-2</v>
      </c>
    </row>
    <row r="1994" spans="1:3" x14ac:dyDescent="0.25">
      <c r="A1994" s="238">
        <v>39785</v>
      </c>
      <c r="B1994" s="239">
        <v>1397.72</v>
      </c>
      <c r="C1994" s="242">
        <f t="shared" si="31"/>
        <v>2.604232681107994E-2</v>
      </c>
    </row>
    <row r="1995" spans="1:3" x14ac:dyDescent="0.25">
      <c r="A1995" s="238">
        <v>39786</v>
      </c>
      <c r="B1995" s="239">
        <v>1356.81</v>
      </c>
      <c r="C1995" s="242">
        <f t="shared" si="31"/>
        <v>-2.9705981317281544E-2</v>
      </c>
    </row>
    <row r="1996" spans="1:3" x14ac:dyDescent="0.25">
      <c r="A1996" s="238">
        <v>39787</v>
      </c>
      <c r="B1996" s="239">
        <v>1406.3600000000001</v>
      </c>
      <c r="C1996" s="242">
        <f t="shared" si="31"/>
        <v>3.5868449822257092E-2</v>
      </c>
    </row>
    <row r="1997" spans="1:3" x14ac:dyDescent="0.25">
      <c r="A1997" s="238">
        <v>39790</v>
      </c>
      <c r="B1997" s="239">
        <v>1460.6000000000001</v>
      </c>
      <c r="C1997" s="242">
        <f t="shared" si="31"/>
        <v>3.7842504070255363E-2</v>
      </c>
    </row>
    <row r="1998" spans="1:3" x14ac:dyDescent="0.25">
      <c r="A1998" s="238">
        <v>39791</v>
      </c>
      <c r="B1998" s="239">
        <v>1426.88</v>
      </c>
      <c r="C1998" s="242">
        <f t="shared" si="31"/>
        <v>-2.3357067746897515E-2</v>
      </c>
    </row>
    <row r="1999" spans="1:3" x14ac:dyDescent="0.25">
      <c r="A1999" s="238">
        <v>39792</v>
      </c>
      <c r="B1999" s="239">
        <v>1444</v>
      </c>
      <c r="C1999" s="242">
        <f t="shared" si="31"/>
        <v>1.1926798013659652E-2</v>
      </c>
    </row>
    <row r="2000" spans="1:3" x14ac:dyDescent="0.25">
      <c r="A2000" s="238">
        <v>39793</v>
      </c>
      <c r="B2000" s="239">
        <v>1403.2</v>
      </c>
      <c r="C2000" s="242">
        <f t="shared" si="31"/>
        <v>-2.8661697834852874E-2</v>
      </c>
    </row>
    <row r="2001" spans="1:3" x14ac:dyDescent="0.25">
      <c r="A2001" s="238">
        <v>39794</v>
      </c>
      <c r="B2001" s="239">
        <v>1413.07</v>
      </c>
      <c r="C2001" s="242">
        <f t="shared" si="31"/>
        <v>7.0092998253900212E-3</v>
      </c>
    </row>
    <row r="2002" spans="1:3" x14ac:dyDescent="0.25">
      <c r="A2002" s="238">
        <v>39797</v>
      </c>
      <c r="B2002" s="239">
        <v>1395.21</v>
      </c>
      <c r="C2002" s="242">
        <f t="shared" si="31"/>
        <v>-1.2719700883086608E-2</v>
      </c>
    </row>
    <row r="2003" spans="1:3" x14ac:dyDescent="0.25">
      <c r="A2003" s="238">
        <v>39798</v>
      </c>
      <c r="B2003" s="239">
        <v>1466.8700000000001</v>
      </c>
      <c r="C2003" s="242">
        <f t="shared" si="31"/>
        <v>5.0085937432524728E-2</v>
      </c>
    </row>
    <row r="2004" spans="1:3" x14ac:dyDescent="0.25">
      <c r="A2004" s="238">
        <v>39799</v>
      </c>
      <c r="B2004" s="239">
        <v>1452.88</v>
      </c>
      <c r="C2004" s="242">
        <f t="shared" si="31"/>
        <v>-9.5830855825035106E-3</v>
      </c>
    </row>
    <row r="2005" spans="1:3" x14ac:dyDescent="0.25">
      <c r="A2005" s="238">
        <v>39800</v>
      </c>
      <c r="B2005" s="239">
        <v>1422.19</v>
      </c>
      <c r="C2005" s="242">
        <f t="shared" si="31"/>
        <v>-2.1349856345410666E-2</v>
      </c>
    </row>
    <row r="2006" spans="1:3" x14ac:dyDescent="0.25">
      <c r="A2006" s="238">
        <v>39801</v>
      </c>
      <c r="B2006" s="239">
        <v>1426.39</v>
      </c>
      <c r="C2006" s="242">
        <f t="shared" si="31"/>
        <v>2.9488398033260138E-3</v>
      </c>
    </row>
    <row r="2007" spans="1:3" x14ac:dyDescent="0.25">
      <c r="A2007" s="238">
        <v>39804</v>
      </c>
      <c r="B2007" s="239">
        <v>1400.42</v>
      </c>
      <c r="C2007" s="242">
        <f t="shared" si="31"/>
        <v>-1.8374585255810507E-2</v>
      </c>
    </row>
    <row r="2008" spans="1:3" x14ac:dyDescent="0.25">
      <c r="A2008" s="238">
        <v>39805</v>
      </c>
      <c r="B2008" s="239">
        <v>1387.08</v>
      </c>
      <c r="C2008" s="242">
        <f t="shared" si="31"/>
        <v>-9.5713735181718537E-3</v>
      </c>
    </row>
    <row r="2009" spans="1:3" x14ac:dyDescent="0.25">
      <c r="A2009" s="238">
        <v>39806</v>
      </c>
      <c r="B2009" s="239">
        <v>1395.75</v>
      </c>
      <c r="C2009" s="242">
        <f t="shared" si="31"/>
        <v>6.2310870962937115E-3</v>
      </c>
    </row>
    <row r="2010" spans="1:3" x14ac:dyDescent="0.25">
      <c r="A2010" s="238">
        <v>39808</v>
      </c>
      <c r="B2010" s="239">
        <v>1403.22</v>
      </c>
      <c r="C2010" s="242">
        <f t="shared" si="31"/>
        <v>5.3376904615636232E-3</v>
      </c>
    </row>
    <row r="2011" spans="1:3" x14ac:dyDescent="0.25">
      <c r="A2011" s="238">
        <v>39811</v>
      </c>
      <c r="B2011" s="239">
        <v>1398.25</v>
      </c>
      <c r="C2011" s="242">
        <f t="shared" si="31"/>
        <v>-3.5481409503361062E-3</v>
      </c>
    </row>
    <row r="2012" spans="1:3" x14ac:dyDescent="0.25">
      <c r="A2012" s="238">
        <v>39812</v>
      </c>
      <c r="B2012" s="239">
        <v>1432.65</v>
      </c>
      <c r="C2012" s="242">
        <f t="shared" si="31"/>
        <v>2.4304421447159028E-2</v>
      </c>
    </row>
    <row r="2013" spans="1:3" x14ac:dyDescent="0.25">
      <c r="A2013" s="238">
        <v>39813</v>
      </c>
      <c r="B2013" s="239">
        <v>1452.98</v>
      </c>
      <c r="C2013" s="242">
        <f t="shared" si="31"/>
        <v>1.4090743701779342E-2</v>
      </c>
    </row>
    <row r="2014" spans="1:3" x14ac:dyDescent="0.25">
      <c r="A2014" s="238">
        <v>39815</v>
      </c>
      <c r="B2014" s="239">
        <v>1499.17</v>
      </c>
      <c r="C2014" s="242">
        <f t="shared" si="31"/>
        <v>3.1295001760947405E-2</v>
      </c>
    </row>
    <row r="2015" spans="1:3" x14ac:dyDescent="0.25">
      <c r="A2015" s="238">
        <v>39818</v>
      </c>
      <c r="B2015" s="239">
        <v>1492.21</v>
      </c>
      <c r="C2015" s="242">
        <f t="shared" si="31"/>
        <v>-4.6533790820817546E-3</v>
      </c>
    </row>
    <row r="2016" spans="1:3" x14ac:dyDescent="0.25">
      <c r="A2016" s="238">
        <v>39819</v>
      </c>
      <c r="B2016" s="239">
        <v>1503.8700000000001</v>
      </c>
      <c r="C2016" s="242">
        <f t="shared" si="31"/>
        <v>7.7835430742502695E-3</v>
      </c>
    </row>
    <row r="2017" spans="1:3" x14ac:dyDescent="0.25">
      <c r="A2017" s="238">
        <v>39820</v>
      </c>
      <c r="B2017" s="239">
        <v>1459.58</v>
      </c>
      <c r="C2017" s="242">
        <f t="shared" si="31"/>
        <v>-2.9893062519552212E-2</v>
      </c>
    </row>
    <row r="2018" spans="1:3" x14ac:dyDescent="0.25">
      <c r="A2018" s="238">
        <v>39821</v>
      </c>
      <c r="B2018" s="239">
        <v>1464.6000000000001</v>
      </c>
      <c r="C2018" s="242">
        <f t="shared" si="31"/>
        <v>3.4334445427702822E-3</v>
      </c>
    </row>
    <row r="2019" spans="1:3" x14ac:dyDescent="0.25">
      <c r="A2019" s="238">
        <v>39822</v>
      </c>
      <c r="B2019" s="239">
        <v>1433.41</v>
      </c>
      <c r="C2019" s="242">
        <f t="shared" si="31"/>
        <v>-2.1525946671784299E-2</v>
      </c>
    </row>
    <row r="2020" spans="1:3" x14ac:dyDescent="0.25">
      <c r="A2020" s="238">
        <v>39825</v>
      </c>
      <c r="B2020" s="239">
        <v>1401.07</v>
      </c>
      <c r="C2020" s="242">
        <f t="shared" si="31"/>
        <v>-2.2819990555146618E-2</v>
      </c>
    </row>
    <row r="2021" spans="1:3" x14ac:dyDescent="0.25">
      <c r="A2021" s="238">
        <v>39826</v>
      </c>
      <c r="B2021" s="239">
        <v>1403.63</v>
      </c>
      <c r="C2021" s="242">
        <f t="shared" si="31"/>
        <v>1.8255076913244888E-3</v>
      </c>
    </row>
    <row r="2022" spans="1:3" x14ac:dyDescent="0.25">
      <c r="A2022" s="238">
        <v>39827</v>
      </c>
      <c r="B2022" s="239">
        <v>1356.79</v>
      </c>
      <c r="C2022" s="242">
        <f t="shared" si="31"/>
        <v>-3.3940122363904049E-2</v>
      </c>
    </row>
    <row r="2023" spans="1:3" x14ac:dyDescent="0.25">
      <c r="A2023" s="238">
        <v>39828</v>
      </c>
      <c r="B2023" s="239">
        <v>1358.64</v>
      </c>
      <c r="C2023" s="242">
        <f t="shared" si="31"/>
        <v>1.3625836690551107E-3</v>
      </c>
    </row>
    <row r="2024" spans="1:3" x14ac:dyDescent="0.25">
      <c r="A2024" s="238">
        <v>39829</v>
      </c>
      <c r="B2024" s="239">
        <v>1368.92</v>
      </c>
      <c r="C2024" s="242">
        <f t="shared" si="31"/>
        <v>7.5379083692438641E-3</v>
      </c>
    </row>
    <row r="2025" spans="1:3" x14ac:dyDescent="0.25">
      <c r="A2025" s="238">
        <v>39833</v>
      </c>
      <c r="B2025" s="239">
        <v>1296.6300000000001</v>
      </c>
      <c r="C2025" s="242">
        <f t="shared" si="31"/>
        <v>-5.4253516856157091E-2</v>
      </c>
    </row>
    <row r="2026" spans="1:3" x14ac:dyDescent="0.25">
      <c r="A2026" s="238">
        <v>39834</v>
      </c>
      <c r="B2026" s="239">
        <v>1353.33</v>
      </c>
      <c r="C2026" s="242">
        <f t="shared" si="31"/>
        <v>4.2799630960847046E-2</v>
      </c>
    </row>
    <row r="2027" spans="1:3" x14ac:dyDescent="0.25">
      <c r="A2027" s="238">
        <v>39835</v>
      </c>
      <c r="B2027" s="239">
        <v>1332.84</v>
      </c>
      <c r="C2027" s="242">
        <f t="shared" si="31"/>
        <v>-1.5256217903419212E-2</v>
      </c>
    </row>
    <row r="2028" spans="1:3" x14ac:dyDescent="0.25">
      <c r="A2028" s="238">
        <v>39836</v>
      </c>
      <c r="B2028" s="239">
        <v>1340.02</v>
      </c>
      <c r="C2028" s="242">
        <f t="shared" si="31"/>
        <v>5.3725352396802638E-3</v>
      </c>
    </row>
    <row r="2029" spans="1:3" x14ac:dyDescent="0.25">
      <c r="A2029" s="238">
        <v>39839</v>
      </c>
      <c r="B2029" s="239">
        <v>1347.47</v>
      </c>
      <c r="C2029" s="242">
        <f t="shared" si="31"/>
        <v>5.5442208777739732E-3</v>
      </c>
    </row>
    <row r="2030" spans="1:3" x14ac:dyDescent="0.25">
      <c r="A2030" s="238">
        <v>39840</v>
      </c>
      <c r="B2030" s="239">
        <v>1362.18</v>
      </c>
      <c r="C2030" s="242">
        <f t="shared" si="31"/>
        <v>1.0857597483105809E-2</v>
      </c>
    </row>
    <row r="2031" spans="1:3" x14ac:dyDescent="0.25">
      <c r="A2031" s="238">
        <v>39841</v>
      </c>
      <c r="B2031" s="239">
        <v>1408.07</v>
      </c>
      <c r="C2031" s="242">
        <f t="shared" si="31"/>
        <v>3.3133614823694743E-2</v>
      </c>
    </row>
    <row r="2032" spans="1:3" x14ac:dyDescent="0.25">
      <c r="A2032" s="238">
        <v>39842</v>
      </c>
      <c r="B2032" s="239">
        <v>1361.54</v>
      </c>
      <c r="C2032" s="242">
        <f t="shared" si="31"/>
        <v>-3.3603560348035494E-2</v>
      </c>
    </row>
    <row r="2033" spans="1:3" x14ac:dyDescent="0.25">
      <c r="A2033" s="238">
        <v>39843</v>
      </c>
      <c r="B2033" s="239">
        <v>1330.51</v>
      </c>
      <c r="C2033" s="242">
        <f t="shared" si="31"/>
        <v>-2.3054084682309781E-2</v>
      </c>
    </row>
    <row r="2034" spans="1:3" x14ac:dyDescent="0.25">
      <c r="A2034" s="238">
        <v>39846</v>
      </c>
      <c r="B2034" s="239">
        <v>1329.81</v>
      </c>
      <c r="C2034" s="242">
        <f t="shared" si="31"/>
        <v>-5.2625249304970474E-4</v>
      </c>
    </row>
    <row r="2035" spans="1:3" x14ac:dyDescent="0.25">
      <c r="A2035" s="238">
        <v>39847</v>
      </c>
      <c r="B2035" s="239">
        <v>1350.88</v>
      </c>
      <c r="C2035" s="242">
        <f t="shared" si="31"/>
        <v>1.5720157053301147E-2</v>
      </c>
    </row>
    <row r="2036" spans="1:3" x14ac:dyDescent="0.25">
      <c r="A2036" s="238">
        <v>39848</v>
      </c>
      <c r="B2036" s="239">
        <v>1341.77</v>
      </c>
      <c r="C2036" s="242">
        <f t="shared" si="31"/>
        <v>-6.7665940688781635E-3</v>
      </c>
    </row>
    <row r="2037" spans="1:3" x14ac:dyDescent="0.25">
      <c r="A2037" s="238">
        <v>39849</v>
      </c>
      <c r="B2037" s="239">
        <v>1363.82</v>
      </c>
      <c r="C2037" s="242">
        <f t="shared" si="31"/>
        <v>1.6299948033589886E-2</v>
      </c>
    </row>
    <row r="2038" spans="1:3" x14ac:dyDescent="0.25">
      <c r="A2038" s="238">
        <v>39850</v>
      </c>
      <c r="B2038" s="239">
        <v>1401.06</v>
      </c>
      <c r="C2038" s="242">
        <f t="shared" si="31"/>
        <v>2.6939507086537296E-2</v>
      </c>
    </row>
    <row r="2039" spans="1:3" x14ac:dyDescent="0.25">
      <c r="A2039" s="238">
        <v>39853</v>
      </c>
      <c r="B2039" s="239">
        <v>1403.19</v>
      </c>
      <c r="C2039" s="242">
        <f t="shared" si="31"/>
        <v>1.5191230522406212E-3</v>
      </c>
    </row>
    <row r="2040" spans="1:3" x14ac:dyDescent="0.25">
      <c r="A2040" s="238">
        <v>39854</v>
      </c>
      <c r="B2040" s="239">
        <v>1334.3</v>
      </c>
      <c r="C2040" s="242">
        <f t="shared" si="31"/>
        <v>-5.0341406276304679E-2</v>
      </c>
    </row>
    <row r="2041" spans="1:3" x14ac:dyDescent="0.25">
      <c r="A2041" s="238">
        <v>39855</v>
      </c>
      <c r="B2041" s="239">
        <v>1345.5</v>
      </c>
      <c r="C2041" s="242">
        <f t="shared" si="31"/>
        <v>8.3588814185855311E-3</v>
      </c>
    </row>
    <row r="2042" spans="1:3" x14ac:dyDescent="0.25">
      <c r="A2042" s="238">
        <v>39856</v>
      </c>
      <c r="B2042" s="239">
        <v>1348.15</v>
      </c>
      <c r="C2042" s="242">
        <f t="shared" si="31"/>
        <v>1.9675910789727262E-3</v>
      </c>
    </row>
    <row r="2043" spans="1:3" x14ac:dyDescent="0.25">
      <c r="A2043" s="238">
        <v>39857</v>
      </c>
      <c r="B2043" s="239">
        <v>1334.83</v>
      </c>
      <c r="C2043" s="242">
        <f t="shared" si="31"/>
        <v>-9.9293393440844785E-3</v>
      </c>
    </row>
    <row r="2044" spans="1:3" x14ac:dyDescent="0.25">
      <c r="A2044" s="238">
        <v>39861</v>
      </c>
      <c r="B2044" s="239">
        <v>1274.26</v>
      </c>
      <c r="C2044" s="242">
        <f t="shared" si="31"/>
        <v>-4.6438324958910489E-2</v>
      </c>
    </row>
    <row r="2045" spans="1:3" x14ac:dyDescent="0.25">
      <c r="A2045" s="238">
        <v>39862</v>
      </c>
      <c r="B2045" s="239">
        <v>1273.29</v>
      </c>
      <c r="C2045" s="242">
        <f t="shared" si="31"/>
        <v>-7.6151600312128226E-4</v>
      </c>
    </row>
    <row r="2046" spans="1:3" x14ac:dyDescent="0.25">
      <c r="A2046" s="238">
        <v>39863</v>
      </c>
      <c r="B2046" s="239">
        <v>1258.82</v>
      </c>
      <c r="C2046" s="242">
        <f t="shared" si="31"/>
        <v>-1.142932772833846E-2</v>
      </c>
    </row>
    <row r="2047" spans="1:3" x14ac:dyDescent="0.25">
      <c r="A2047" s="238">
        <v>39864</v>
      </c>
      <c r="B2047" s="239">
        <v>1244.72</v>
      </c>
      <c r="C2047" s="242">
        <f t="shared" si="31"/>
        <v>-1.1264169204771104E-2</v>
      </c>
    </row>
    <row r="2048" spans="1:3" x14ac:dyDescent="0.25">
      <c r="A2048" s="238">
        <v>39867</v>
      </c>
      <c r="B2048" s="239">
        <v>1201.56</v>
      </c>
      <c r="C2048" s="242">
        <f t="shared" si="31"/>
        <v>-3.528989249899564E-2</v>
      </c>
    </row>
    <row r="2049" spans="1:3" x14ac:dyDescent="0.25">
      <c r="A2049" s="238">
        <v>39868</v>
      </c>
      <c r="B2049" s="239">
        <v>1249.76</v>
      </c>
      <c r="C2049" s="242">
        <f t="shared" si="31"/>
        <v>3.9330820354275514E-2</v>
      </c>
    </row>
    <row r="2050" spans="1:3" x14ac:dyDescent="0.25">
      <c r="A2050" s="238">
        <v>39869</v>
      </c>
      <c r="B2050" s="239">
        <v>1236.74</v>
      </c>
      <c r="C2050" s="242">
        <f t="shared" si="31"/>
        <v>-1.0472647495368869E-2</v>
      </c>
    </row>
    <row r="2051" spans="1:3" x14ac:dyDescent="0.25">
      <c r="A2051" s="238">
        <v>39870</v>
      </c>
      <c r="B2051" s="239">
        <v>1217.49</v>
      </c>
      <c r="C2051" s="242">
        <f t="shared" si="31"/>
        <v>-1.5687522995966218E-2</v>
      </c>
    </row>
    <row r="2052" spans="1:3" x14ac:dyDescent="0.25">
      <c r="A2052" s="238">
        <v>39871</v>
      </c>
      <c r="B2052" s="239">
        <v>1188.8399999999999</v>
      </c>
      <c r="C2052" s="242">
        <f t="shared" si="31"/>
        <v>-2.3813320597712906E-2</v>
      </c>
    </row>
    <row r="2053" spans="1:3" x14ac:dyDescent="0.25">
      <c r="A2053" s="238">
        <v>39874</v>
      </c>
      <c r="B2053" s="239">
        <v>1133.43</v>
      </c>
      <c r="C2053" s="242">
        <f t="shared" ref="C2053:C2116" si="32">LN(B2053/B2052)</f>
        <v>-4.772960835648532E-2</v>
      </c>
    </row>
    <row r="2054" spans="1:3" x14ac:dyDescent="0.25">
      <c r="A2054" s="238">
        <v>39875</v>
      </c>
      <c r="B2054" s="239">
        <v>1126.18</v>
      </c>
      <c r="C2054" s="242">
        <f t="shared" si="32"/>
        <v>-6.4170585886459616E-3</v>
      </c>
    </row>
    <row r="2055" spans="1:3" x14ac:dyDescent="0.25">
      <c r="A2055" s="238">
        <v>39876</v>
      </c>
      <c r="B2055" s="239">
        <v>1153.3500000000001</v>
      </c>
      <c r="C2055" s="242">
        <f t="shared" si="32"/>
        <v>2.383937631849178E-2</v>
      </c>
    </row>
    <row r="2056" spans="1:3" x14ac:dyDescent="0.25">
      <c r="A2056" s="238">
        <v>39877</v>
      </c>
      <c r="B2056" s="239">
        <v>1104.3800000000001</v>
      </c>
      <c r="C2056" s="242">
        <f t="shared" si="32"/>
        <v>-4.3386659634936181E-2</v>
      </c>
    </row>
    <row r="2057" spans="1:3" x14ac:dyDescent="0.25">
      <c r="A2057" s="238">
        <v>39878</v>
      </c>
      <c r="B2057" s="239">
        <v>1106</v>
      </c>
      <c r="C2057" s="242">
        <f t="shared" si="32"/>
        <v>1.4658115709166746E-3</v>
      </c>
    </row>
    <row r="2058" spans="1:3" x14ac:dyDescent="0.25">
      <c r="A2058" s="238">
        <v>39881</v>
      </c>
      <c r="B2058" s="239">
        <v>1095.04</v>
      </c>
      <c r="C2058" s="242">
        <f t="shared" si="32"/>
        <v>-9.9590108185061837E-3</v>
      </c>
    </row>
    <row r="2059" spans="1:3" x14ac:dyDescent="0.25">
      <c r="A2059" s="238">
        <v>39882</v>
      </c>
      <c r="B2059" s="239">
        <v>1164.83</v>
      </c>
      <c r="C2059" s="242">
        <f t="shared" si="32"/>
        <v>6.1784261341485888E-2</v>
      </c>
    </row>
    <row r="2060" spans="1:3" x14ac:dyDescent="0.25">
      <c r="A2060" s="238">
        <v>39883</v>
      </c>
      <c r="B2060" s="239">
        <v>1168.07</v>
      </c>
      <c r="C2060" s="242">
        <f t="shared" si="32"/>
        <v>2.7776604939406574E-3</v>
      </c>
    </row>
    <row r="2061" spans="1:3" x14ac:dyDescent="0.25">
      <c r="A2061" s="238">
        <v>39884</v>
      </c>
      <c r="B2061" s="239">
        <v>1215.8700000000001</v>
      </c>
      <c r="C2061" s="242">
        <f t="shared" si="32"/>
        <v>4.0107055817118681E-2</v>
      </c>
    </row>
    <row r="2062" spans="1:3" x14ac:dyDescent="0.25">
      <c r="A2062" s="238">
        <v>39885</v>
      </c>
      <c r="B2062" s="239">
        <v>1225.32</v>
      </c>
      <c r="C2062" s="242">
        <f t="shared" si="32"/>
        <v>7.7421644391274923E-3</v>
      </c>
    </row>
    <row r="2063" spans="1:3" x14ac:dyDescent="0.25">
      <c r="A2063" s="238">
        <v>39888</v>
      </c>
      <c r="B2063" s="239">
        <v>1221.03</v>
      </c>
      <c r="C2063" s="242">
        <f t="shared" si="32"/>
        <v>-3.5072695220102375E-3</v>
      </c>
    </row>
    <row r="2064" spans="1:3" x14ac:dyDescent="0.25">
      <c r="A2064" s="238">
        <v>39889</v>
      </c>
      <c r="B2064" s="239">
        <v>1260.29</v>
      </c>
      <c r="C2064" s="242">
        <f t="shared" si="32"/>
        <v>3.1647088359788612E-2</v>
      </c>
    </row>
    <row r="2065" spans="1:3" x14ac:dyDescent="0.25">
      <c r="A2065" s="238">
        <v>39890</v>
      </c>
      <c r="B2065" s="239">
        <v>1286.6200000000001</v>
      </c>
      <c r="C2065" s="242">
        <f t="shared" si="32"/>
        <v>2.06767715097382E-2</v>
      </c>
    </row>
    <row r="2066" spans="1:3" x14ac:dyDescent="0.25">
      <c r="A2066" s="238">
        <v>39891</v>
      </c>
      <c r="B2066" s="239">
        <v>1269.92</v>
      </c>
      <c r="C2066" s="242">
        <f t="shared" si="32"/>
        <v>-1.3064718360397933E-2</v>
      </c>
    </row>
    <row r="2067" spans="1:3" x14ac:dyDescent="0.25">
      <c r="A2067" s="238">
        <v>39892</v>
      </c>
      <c r="B2067" s="239">
        <v>1244.8500000000001</v>
      </c>
      <c r="C2067" s="242">
        <f t="shared" si="32"/>
        <v>-1.9938865629998727E-2</v>
      </c>
    </row>
    <row r="2068" spans="1:3" x14ac:dyDescent="0.25">
      <c r="A2068" s="238">
        <v>39895</v>
      </c>
      <c r="B2068" s="239">
        <v>1333.21</v>
      </c>
      <c r="C2068" s="242">
        <f t="shared" si="32"/>
        <v>6.857452744296233E-2</v>
      </c>
    </row>
    <row r="2069" spans="1:3" x14ac:dyDescent="0.25">
      <c r="A2069" s="238">
        <v>39896</v>
      </c>
      <c r="B2069" s="239">
        <v>1306.03</v>
      </c>
      <c r="C2069" s="242">
        <f t="shared" si="32"/>
        <v>-2.0597566679457814E-2</v>
      </c>
    </row>
    <row r="2070" spans="1:3" x14ac:dyDescent="0.25">
      <c r="A2070" s="238">
        <v>39897</v>
      </c>
      <c r="B2070" s="239">
        <v>1318.6100000000001</v>
      </c>
      <c r="C2070" s="242">
        <f t="shared" si="32"/>
        <v>9.5861499753721498E-3</v>
      </c>
    </row>
    <row r="2071" spans="1:3" x14ac:dyDescent="0.25">
      <c r="A2071" s="238">
        <v>39898</v>
      </c>
      <c r="B2071" s="239">
        <v>1349.3700000000001</v>
      </c>
      <c r="C2071" s="242">
        <f t="shared" si="32"/>
        <v>2.3059665391587752E-2</v>
      </c>
    </row>
    <row r="2072" spans="1:3" x14ac:dyDescent="0.25">
      <c r="A2072" s="238">
        <v>39899</v>
      </c>
      <c r="B2072" s="239">
        <v>1322.19</v>
      </c>
      <c r="C2072" s="242">
        <f t="shared" si="32"/>
        <v>-2.0348364124476138E-2</v>
      </c>
    </row>
    <row r="2073" spans="1:3" x14ac:dyDescent="0.25">
      <c r="A2073" s="238">
        <v>39902</v>
      </c>
      <c r="B2073" s="239">
        <v>1276.22</v>
      </c>
      <c r="C2073" s="242">
        <f t="shared" si="32"/>
        <v>-3.5386868882266234E-2</v>
      </c>
    </row>
    <row r="2074" spans="1:3" x14ac:dyDescent="0.25">
      <c r="A2074" s="238">
        <v>39903</v>
      </c>
      <c r="B2074" s="239">
        <v>1292.98</v>
      </c>
      <c r="C2074" s="242">
        <f t="shared" si="32"/>
        <v>1.3047047911840323E-2</v>
      </c>
    </row>
    <row r="2075" spans="1:3" x14ac:dyDescent="0.25">
      <c r="A2075" s="238">
        <v>39904</v>
      </c>
      <c r="B2075" s="239">
        <v>1314.63</v>
      </c>
      <c r="C2075" s="242">
        <f t="shared" si="32"/>
        <v>1.6605625450809462E-2</v>
      </c>
    </row>
    <row r="2076" spans="1:3" x14ac:dyDescent="0.25">
      <c r="A2076" s="238">
        <v>39905</v>
      </c>
      <c r="B2076" s="239">
        <v>1352.47</v>
      </c>
      <c r="C2076" s="242">
        <f t="shared" si="32"/>
        <v>2.8377293129666775E-2</v>
      </c>
    </row>
    <row r="2077" spans="1:3" x14ac:dyDescent="0.25">
      <c r="A2077" s="238">
        <v>39906</v>
      </c>
      <c r="B2077" s="239">
        <v>1365.66</v>
      </c>
      <c r="C2077" s="242">
        <f t="shared" si="32"/>
        <v>9.7052779175427588E-3</v>
      </c>
    </row>
    <row r="2078" spans="1:3" x14ac:dyDescent="0.25">
      <c r="A2078" s="238">
        <v>39909</v>
      </c>
      <c r="B2078" s="239">
        <v>1354.3600000000001</v>
      </c>
      <c r="C2078" s="242">
        <f t="shared" si="32"/>
        <v>-8.3088102360523962E-3</v>
      </c>
    </row>
    <row r="2079" spans="1:3" x14ac:dyDescent="0.25">
      <c r="A2079" s="238">
        <v>39910</v>
      </c>
      <c r="B2079" s="239">
        <v>1322.91</v>
      </c>
      <c r="C2079" s="242">
        <f t="shared" si="32"/>
        <v>-2.349516241998011E-2</v>
      </c>
    </row>
    <row r="2080" spans="1:3" x14ac:dyDescent="0.25">
      <c r="A2080" s="238">
        <v>39911</v>
      </c>
      <c r="B2080" s="239">
        <v>1338.53</v>
      </c>
      <c r="C2080" s="242">
        <f t="shared" si="32"/>
        <v>1.1738141268168023E-2</v>
      </c>
    </row>
    <row r="2081" spans="1:3" x14ac:dyDescent="0.25">
      <c r="A2081" s="238">
        <v>39912</v>
      </c>
      <c r="B2081" s="239">
        <v>1389.49</v>
      </c>
      <c r="C2081" s="242">
        <f t="shared" si="32"/>
        <v>3.7364776464984116E-2</v>
      </c>
    </row>
    <row r="2082" spans="1:3" x14ac:dyDescent="0.25">
      <c r="A2082" s="238">
        <v>39916</v>
      </c>
      <c r="B2082" s="239">
        <v>1393.13</v>
      </c>
      <c r="C2082" s="242">
        <f t="shared" si="32"/>
        <v>2.6162408638120745E-3</v>
      </c>
    </row>
    <row r="2083" spans="1:3" x14ac:dyDescent="0.25">
      <c r="A2083" s="238">
        <v>39917</v>
      </c>
      <c r="B2083" s="239">
        <v>1365.2</v>
      </c>
      <c r="C2083" s="242">
        <f t="shared" si="32"/>
        <v>-2.0252076154527916E-2</v>
      </c>
    </row>
    <row r="2084" spans="1:3" x14ac:dyDescent="0.25">
      <c r="A2084" s="238">
        <v>39918</v>
      </c>
      <c r="B2084" s="239">
        <v>1382.3600000000001</v>
      </c>
      <c r="C2084" s="242">
        <f t="shared" si="32"/>
        <v>1.249124541342345E-2</v>
      </c>
    </row>
    <row r="2085" spans="1:3" x14ac:dyDescent="0.25">
      <c r="A2085" s="238">
        <v>39919</v>
      </c>
      <c r="B2085" s="239">
        <v>1403.89</v>
      </c>
      <c r="C2085" s="242">
        <f t="shared" si="32"/>
        <v>1.5454771492101499E-2</v>
      </c>
    </row>
    <row r="2086" spans="1:3" x14ac:dyDescent="0.25">
      <c r="A2086" s="238">
        <v>39920</v>
      </c>
      <c r="B2086" s="239">
        <v>1410.8500000000001</v>
      </c>
      <c r="C2086" s="242">
        <f t="shared" si="32"/>
        <v>4.9454046804111099E-3</v>
      </c>
    </row>
    <row r="2087" spans="1:3" x14ac:dyDescent="0.25">
      <c r="A2087" s="238">
        <v>39923</v>
      </c>
      <c r="B2087" s="239">
        <v>1350.52</v>
      </c>
      <c r="C2087" s="242">
        <f t="shared" si="32"/>
        <v>-4.3702656165597202E-2</v>
      </c>
    </row>
    <row r="2088" spans="1:3" x14ac:dyDescent="0.25">
      <c r="A2088" s="238">
        <v>39924</v>
      </c>
      <c r="B2088" s="239">
        <v>1379.22</v>
      </c>
      <c r="C2088" s="242">
        <f t="shared" si="32"/>
        <v>2.1028418511489698E-2</v>
      </c>
    </row>
    <row r="2089" spans="1:3" x14ac:dyDescent="0.25">
      <c r="A2089" s="238">
        <v>39925</v>
      </c>
      <c r="B2089" s="239">
        <v>1368.92</v>
      </c>
      <c r="C2089" s="242">
        <f t="shared" si="32"/>
        <v>-7.4960141986225009E-3</v>
      </c>
    </row>
    <row r="2090" spans="1:3" x14ac:dyDescent="0.25">
      <c r="A2090" s="238">
        <v>39926</v>
      </c>
      <c r="B2090" s="239">
        <v>1382.52</v>
      </c>
      <c r="C2090" s="242">
        <f t="shared" si="32"/>
        <v>9.8858130722042706E-3</v>
      </c>
    </row>
    <row r="2091" spans="1:3" x14ac:dyDescent="0.25">
      <c r="A2091" s="238">
        <v>39927</v>
      </c>
      <c r="B2091" s="239">
        <v>1405.74</v>
      </c>
      <c r="C2091" s="242">
        <f t="shared" si="32"/>
        <v>1.6655933668641165E-2</v>
      </c>
    </row>
    <row r="2092" spans="1:3" x14ac:dyDescent="0.25">
      <c r="A2092" s="238">
        <v>39930</v>
      </c>
      <c r="B2092" s="239">
        <v>1391.58</v>
      </c>
      <c r="C2092" s="242">
        <f t="shared" si="32"/>
        <v>-1.0124062278055507E-2</v>
      </c>
    </row>
    <row r="2093" spans="1:3" x14ac:dyDescent="0.25">
      <c r="A2093" s="238">
        <v>39931</v>
      </c>
      <c r="B2093" s="239">
        <v>1387.82</v>
      </c>
      <c r="C2093" s="242">
        <f t="shared" si="32"/>
        <v>-2.7056215684833651E-3</v>
      </c>
    </row>
    <row r="2094" spans="1:3" x14ac:dyDescent="0.25">
      <c r="A2094" s="238">
        <v>39932</v>
      </c>
      <c r="B2094" s="239">
        <v>1417.99</v>
      </c>
      <c r="C2094" s="242">
        <f t="shared" si="32"/>
        <v>2.1506205220963682E-2</v>
      </c>
    </row>
    <row r="2095" spans="1:3" x14ac:dyDescent="0.25">
      <c r="A2095" s="238">
        <v>39933</v>
      </c>
      <c r="B2095" s="239">
        <v>1416.73</v>
      </c>
      <c r="C2095" s="242">
        <f t="shared" si="32"/>
        <v>-8.8897674760072274E-4</v>
      </c>
    </row>
    <row r="2096" spans="1:3" x14ac:dyDescent="0.25">
      <c r="A2096" s="238">
        <v>39934</v>
      </c>
      <c r="B2096" s="239">
        <v>1424.41</v>
      </c>
      <c r="C2096" s="242">
        <f t="shared" si="32"/>
        <v>5.4062937454111776E-3</v>
      </c>
    </row>
    <row r="2097" spans="1:3" x14ac:dyDescent="0.25">
      <c r="A2097" s="238">
        <v>39937</v>
      </c>
      <c r="B2097" s="239">
        <v>1472.64</v>
      </c>
      <c r="C2097" s="242">
        <f t="shared" si="32"/>
        <v>3.3299015528107691E-2</v>
      </c>
    </row>
    <row r="2098" spans="1:3" x14ac:dyDescent="0.25">
      <c r="A2098" s="238">
        <v>39938</v>
      </c>
      <c r="B2098" s="239">
        <v>1467.25</v>
      </c>
      <c r="C2098" s="242">
        <f t="shared" si="32"/>
        <v>-3.6668079685025215E-3</v>
      </c>
    </row>
    <row r="2099" spans="1:3" x14ac:dyDescent="0.25">
      <c r="A2099" s="238">
        <v>39939</v>
      </c>
      <c r="B2099" s="239">
        <v>1493.31</v>
      </c>
      <c r="C2099" s="242">
        <f t="shared" si="32"/>
        <v>1.760523218040573E-2</v>
      </c>
    </row>
    <row r="2100" spans="1:3" x14ac:dyDescent="0.25">
      <c r="A2100" s="238">
        <v>39940</v>
      </c>
      <c r="B2100" s="239">
        <v>1473.66</v>
      </c>
      <c r="C2100" s="242">
        <f t="shared" si="32"/>
        <v>-1.3246030334327957E-2</v>
      </c>
    </row>
    <row r="2101" spans="1:3" x14ac:dyDescent="0.25">
      <c r="A2101" s="238">
        <v>39941</v>
      </c>
      <c r="B2101" s="239">
        <v>1509.14</v>
      </c>
      <c r="C2101" s="242">
        <f t="shared" si="32"/>
        <v>2.379084985313169E-2</v>
      </c>
    </row>
    <row r="2102" spans="1:3" x14ac:dyDescent="0.25">
      <c r="A2102" s="238">
        <v>39944</v>
      </c>
      <c r="B2102" s="239">
        <v>1477.2</v>
      </c>
      <c r="C2102" s="242">
        <f t="shared" si="32"/>
        <v>-2.1391548159244933E-2</v>
      </c>
    </row>
    <row r="2103" spans="1:3" x14ac:dyDescent="0.25">
      <c r="A2103" s="238">
        <v>39945</v>
      </c>
      <c r="B2103" s="239">
        <v>1475.83</v>
      </c>
      <c r="C2103" s="242">
        <f t="shared" si="32"/>
        <v>-9.2786060303427927E-4</v>
      </c>
    </row>
    <row r="2104" spans="1:3" x14ac:dyDescent="0.25">
      <c r="A2104" s="238">
        <v>39946</v>
      </c>
      <c r="B2104" s="239">
        <v>1436.74</v>
      </c>
      <c r="C2104" s="242">
        <f t="shared" si="32"/>
        <v>-2.6843885164868412E-2</v>
      </c>
    </row>
    <row r="2105" spans="1:3" x14ac:dyDescent="0.25">
      <c r="A2105" s="238">
        <v>39947</v>
      </c>
      <c r="B2105" s="239">
        <v>1451.79</v>
      </c>
      <c r="C2105" s="242">
        <f t="shared" si="32"/>
        <v>1.0420619615410109E-2</v>
      </c>
    </row>
    <row r="2106" spans="1:3" x14ac:dyDescent="0.25">
      <c r="A2106" s="238">
        <v>39948</v>
      </c>
      <c r="B2106" s="239">
        <v>1435.48</v>
      </c>
      <c r="C2106" s="242">
        <f t="shared" si="32"/>
        <v>-1.1297989789579757E-2</v>
      </c>
    </row>
    <row r="2107" spans="1:3" x14ac:dyDescent="0.25">
      <c r="A2107" s="238">
        <v>39951</v>
      </c>
      <c r="B2107" s="239">
        <v>1479.24</v>
      </c>
      <c r="C2107" s="242">
        <f t="shared" si="32"/>
        <v>3.0029154315092458E-2</v>
      </c>
    </row>
    <row r="2108" spans="1:3" x14ac:dyDescent="0.25">
      <c r="A2108" s="238">
        <v>39952</v>
      </c>
      <c r="B2108" s="239">
        <v>1476.94</v>
      </c>
      <c r="C2108" s="242">
        <f t="shared" si="32"/>
        <v>-1.55606252940503E-3</v>
      </c>
    </row>
    <row r="2109" spans="1:3" x14ac:dyDescent="0.25">
      <c r="A2109" s="238">
        <v>39953</v>
      </c>
      <c r="B2109" s="239">
        <v>1469.47</v>
      </c>
      <c r="C2109" s="242">
        <f t="shared" si="32"/>
        <v>-5.070588278621775E-3</v>
      </c>
    </row>
    <row r="2110" spans="1:3" x14ac:dyDescent="0.25">
      <c r="A2110" s="238">
        <v>39954</v>
      </c>
      <c r="B2110" s="239">
        <v>1445.28</v>
      </c>
      <c r="C2110" s="242">
        <f t="shared" si="32"/>
        <v>-1.65987171418682E-2</v>
      </c>
    </row>
    <row r="2111" spans="1:3" x14ac:dyDescent="0.25">
      <c r="A2111" s="238">
        <v>39955</v>
      </c>
      <c r="B2111" s="239">
        <v>1443.14</v>
      </c>
      <c r="C2111" s="242">
        <f t="shared" si="32"/>
        <v>-1.4817792367875686E-3</v>
      </c>
    </row>
    <row r="2112" spans="1:3" x14ac:dyDescent="0.25">
      <c r="A2112" s="238">
        <v>39959</v>
      </c>
      <c r="B2112" s="239">
        <v>1481.1000000000001</v>
      </c>
      <c r="C2112" s="242">
        <f t="shared" si="32"/>
        <v>2.5963759768181063E-2</v>
      </c>
    </row>
    <row r="2113" spans="1:3" x14ac:dyDescent="0.25">
      <c r="A2113" s="238">
        <v>39960</v>
      </c>
      <c r="B2113" s="239">
        <v>1453.28</v>
      </c>
      <c r="C2113" s="242">
        <f t="shared" si="32"/>
        <v>-1.8961984179023592E-2</v>
      </c>
    </row>
    <row r="2114" spans="1:3" x14ac:dyDescent="0.25">
      <c r="A2114" s="238">
        <v>39961</v>
      </c>
      <c r="B2114" s="239">
        <v>1475.94</v>
      </c>
      <c r="C2114" s="242">
        <f t="shared" si="32"/>
        <v>1.547200417376028E-2</v>
      </c>
    </row>
    <row r="2115" spans="1:3" x14ac:dyDescent="0.25">
      <c r="A2115" s="238">
        <v>39962</v>
      </c>
      <c r="B2115" s="239">
        <v>1495.97</v>
      </c>
      <c r="C2115" s="242">
        <f t="shared" si="32"/>
        <v>1.3479750929749595E-2</v>
      </c>
    </row>
    <row r="2116" spans="1:3" x14ac:dyDescent="0.25">
      <c r="A2116" s="238">
        <v>39965</v>
      </c>
      <c r="B2116" s="239">
        <v>1534.65</v>
      </c>
      <c r="C2116" s="242">
        <f t="shared" si="32"/>
        <v>2.5527516135645523E-2</v>
      </c>
    </row>
    <row r="2117" spans="1:3" x14ac:dyDescent="0.25">
      <c r="A2117" s="238">
        <v>39966</v>
      </c>
      <c r="B2117" s="239">
        <v>1537.69</v>
      </c>
      <c r="C2117" s="242">
        <f t="shared" ref="C2117:C2180" si="33">LN(B2117/B2116)</f>
        <v>1.9789482883489527E-3</v>
      </c>
    </row>
    <row r="2118" spans="1:3" x14ac:dyDescent="0.25">
      <c r="A2118" s="238">
        <v>39967</v>
      </c>
      <c r="B2118" s="239">
        <v>1516.88</v>
      </c>
      <c r="C2118" s="242">
        <f t="shared" si="33"/>
        <v>-1.3625696555459392E-2</v>
      </c>
    </row>
    <row r="2119" spans="1:3" x14ac:dyDescent="0.25">
      <c r="A2119" s="238">
        <v>39968</v>
      </c>
      <c r="B2119" s="239">
        <v>1534.5900000000001</v>
      </c>
      <c r="C2119" s="242">
        <f t="shared" si="33"/>
        <v>1.1607650640331325E-2</v>
      </c>
    </row>
    <row r="2120" spans="1:3" x14ac:dyDescent="0.25">
      <c r="A2120" s="238">
        <v>39969</v>
      </c>
      <c r="B2120" s="239">
        <v>1530.82</v>
      </c>
      <c r="C2120" s="242">
        <f t="shared" si="33"/>
        <v>-2.4597048360609644E-3</v>
      </c>
    </row>
    <row r="2121" spans="1:3" x14ac:dyDescent="0.25">
      <c r="A2121" s="238">
        <v>39972</v>
      </c>
      <c r="B2121" s="239">
        <v>1529.5900000000001</v>
      </c>
      <c r="C2121" s="242">
        <f t="shared" si="33"/>
        <v>-8.0381391135621132E-4</v>
      </c>
    </row>
    <row r="2122" spans="1:3" x14ac:dyDescent="0.25">
      <c r="A2122" s="238">
        <v>39973</v>
      </c>
      <c r="B2122" s="239">
        <v>1535.03</v>
      </c>
      <c r="C2122" s="242">
        <f t="shared" si="33"/>
        <v>3.5501991853952343E-3</v>
      </c>
    </row>
    <row r="2123" spans="1:3" x14ac:dyDescent="0.25">
      <c r="A2123" s="238">
        <v>39974</v>
      </c>
      <c r="B2123" s="239">
        <v>1529.76</v>
      </c>
      <c r="C2123" s="242">
        <f t="shared" si="33"/>
        <v>-3.4390644671219847E-3</v>
      </c>
    </row>
    <row r="2124" spans="1:3" x14ac:dyDescent="0.25">
      <c r="A2124" s="238">
        <v>39975</v>
      </c>
      <c r="B2124" s="239">
        <v>1539.5</v>
      </c>
      <c r="C2124" s="242">
        <f t="shared" si="33"/>
        <v>6.3468280274191578E-3</v>
      </c>
    </row>
    <row r="2125" spans="1:3" x14ac:dyDescent="0.25">
      <c r="A2125" s="238">
        <v>39976</v>
      </c>
      <c r="B2125" s="239">
        <v>1541.7</v>
      </c>
      <c r="C2125" s="242">
        <f t="shared" si="33"/>
        <v>1.428015301738683E-3</v>
      </c>
    </row>
    <row r="2126" spans="1:3" x14ac:dyDescent="0.25">
      <c r="A2126" s="238">
        <v>39979</v>
      </c>
      <c r="B2126" s="239">
        <v>1505.06</v>
      </c>
      <c r="C2126" s="242">
        <f t="shared" si="33"/>
        <v>-2.405293916835511E-2</v>
      </c>
    </row>
    <row r="2127" spans="1:3" x14ac:dyDescent="0.25">
      <c r="A2127" s="238">
        <v>39980</v>
      </c>
      <c r="B2127" s="239">
        <v>1485.92</v>
      </c>
      <c r="C2127" s="242">
        <f t="shared" si="33"/>
        <v>-1.2798655470240259E-2</v>
      </c>
    </row>
    <row r="2128" spans="1:3" x14ac:dyDescent="0.25">
      <c r="A2128" s="238">
        <v>39981</v>
      </c>
      <c r="B2128" s="239">
        <v>1483.9</v>
      </c>
      <c r="C2128" s="242">
        <f t="shared" si="33"/>
        <v>-1.3603520156174878E-3</v>
      </c>
    </row>
    <row r="2129" spans="1:3" x14ac:dyDescent="0.25">
      <c r="A2129" s="238">
        <v>39982</v>
      </c>
      <c r="B2129" s="239">
        <v>1496.59</v>
      </c>
      <c r="C2129" s="242">
        <f t="shared" si="33"/>
        <v>8.5154297997465482E-3</v>
      </c>
    </row>
    <row r="2130" spans="1:3" x14ac:dyDescent="0.25">
      <c r="A2130" s="238">
        <v>39983</v>
      </c>
      <c r="B2130" s="239">
        <v>1501.25</v>
      </c>
      <c r="C2130" s="242">
        <f t="shared" si="33"/>
        <v>3.1089075823659937E-3</v>
      </c>
    </row>
    <row r="2131" spans="1:3" x14ac:dyDescent="0.25">
      <c r="A2131" s="238">
        <v>39986</v>
      </c>
      <c r="B2131" s="239">
        <v>1455.54</v>
      </c>
      <c r="C2131" s="242">
        <f t="shared" si="33"/>
        <v>-3.0921128621177223E-2</v>
      </c>
    </row>
    <row r="2132" spans="1:3" x14ac:dyDescent="0.25">
      <c r="A2132" s="238">
        <v>39987</v>
      </c>
      <c r="B2132" s="239">
        <v>1458.92</v>
      </c>
      <c r="C2132" s="242">
        <f t="shared" si="33"/>
        <v>2.3194701696713314E-3</v>
      </c>
    </row>
    <row r="2133" spans="1:3" x14ac:dyDescent="0.25">
      <c r="A2133" s="238">
        <v>39988</v>
      </c>
      <c r="B2133" s="239">
        <v>1468.48</v>
      </c>
      <c r="C2133" s="242">
        <f t="shared" si="33"/>
        <v>6.5314162637811089E-3</v>
      </c>
    </row>
    <row r="2134" spans="1:3" x14ac:dyDescent="0.25">
      <c r="A2134" s="238">
        <v>39989</v>
      </c>
      <c r="B2134" s="239">
        <v>1499.98</v>
      </c>
      <c r="C2134" s="242">
        <f t="shared" si="33"/>
        <v>2.1223922461609777E-2</v>
      </c>
    </row>
    <row r="2135" spans="1:3" x14ac:dyDescent="0.25">
      <c r="A2135" s="238">
        <v>39990</v>
      </c>
      <c r="B2135" s="239">
        <v>1498.08</v>
      </c>
      <c r="C2135" s="242">
        <f t="shared" si="33"/>
        <v>-1.2674864774995438E-3</v>
      </c>
    </row>
    <row r="2136" spans="1:3" x14ac:dyDescent="0.25">
      <c r="A2136" s="238">
        <v>39993</v>
      </c>
      <c r="B2136" s="239">
        <v>1511.7</v>
      </c>
      <c r="C2136" s="242">
        <f t="shared" si="33"/>
        <v>9.0505571640831489E-3</v>
      </c>
    </row>
    <row r="2137" spans="1:3" x14ac:dyDescent="0.25">
      <c r="A2137" s="238">
        <v>39994</v>
      </c>
      <c r="B2137" s="239">
        <v>1498.94</v>
      </c>
      <c r="C2137" s="242">
        <f t="shared" si="33"/>
        <v>-8.4766537376097552E-3</v>
      </c>
    </row>
    <row r="2138" spans="1:3" x14ac:dyDescent="0.25">
      <c r="A2138" s="238">
        <v>39995</v>
      </c>
      <c r="B2138" s="239">
        <v>1505.64</v>
      </c>
      <c r="C2138" s="242">
        <f t="shared" si="33"/>
        <v>4.4598653425565156E-3</v>
      </c>
    </row>
    <row r="2139" spans="1:3" x14ac:dyDescent="0.25">
      <c r="A2139" s="238">
        <v>39996</v>
      </c>
      <c r="B2139" s="239">
        <v>1461.8</v>
      </c>
      <c r="C2139" s="242">
        <f t="shared" si="33"/>
        <v>-2.9549503913317416E-2</v>
      </c>
    </row>
    <row r="2140" spans="1:3" x14ac:dyDescent="0.25">
      <c r="A2140" s="238">
        <v>40000</v>
      </c>
      <c r="B2140" s="239">
        <v>1465.58</v>
      </c>
      <c r="C2140" s="242">
        <f t="shared" si="33"/>
        <v>2.5825154922533211E-3</v>
      </c>
    </row>
    <row r="2141" spans="1:3" x14ac:dyDescent="0.25">
      <c r="A2141" s="238">
        <v>40001</v>
      </c>
      <c r="B2141" s="239">
        <v>1436.74</v>
      </c>
      <c r="C2141" s="242">
        <f t="shared" si="33"/>
        <v>-1.9874410328039164E-2</v>
      </c>
    </row>
    <row r="2142" spans="1:3" x14ac:dyDescent="0.25">
      <c r="A2142" s="238">
        <v>40002</v>
      </c>
      <c r="B2142" s="239">
        <v>1435.2</v>
      </c>
      <c r="C2142" s="242">
        <f t="shared" si="33"/>
        <v>-1.0724459059738166E-3</v>
      </c>
    </row>
    <row r="2143" spans="1:3" x14ac:dyDescent="0.25">
      <c r="A2143" s="238">
        <v>40003</v>
      </c>
      <c r="B2143" s="239">
        <v>1440.3</v>
      </c>
      <c r="C2143" s="242">
        <f t="shared" si="33"/>
        <v>3.547212900472589E-3</v>
      </c>
    </row>
    <row r="2144" spans="1:3" x14ac:dyDescent="0.25">
      <c r="A2144" s="238">
        <v>40004</v>
      </c>
      <c r="B2144" s="239">
        <v>1434.5</v>
      </c>
      <c r="C2144" s="242">
        <f t="shared" si="33"/>
        <v>-4.0350687835848846E-3</v>
      </c>
    </row>
    <row r="2145" spans="1:3" x14ac:dyDescent="0.25">
      <c r="A2145" s="238">
        <v>40007</v>
      </c>
      <c r="B2145" s="239">
        <v>1470.43</v>
      </c>
      <c r="C2145" s="242">
        <f t="shared" si="33"/>
        <v>2.4738518583407015E-2</v>
      </c>
    </row>
    <row r="2146" spans="1:3" x14ac:dyDescent="0.25">
      <c r="A2146" s="238">
        <v>40008</v>
      </c>
      <c r="B2146" s="239">
        <v>1478.24</v>
      </c>
      <c r="C2146" s="242">
        <f t="shared" si="33"/>
        <v>5.2973159176085416E-3</v>
      </c>
    </row>
    <row r="2147" spans="1:3" x14ac:dyDescent="0.25">
      <c r="A2147" s="238">
        <v>40009</v>
      </c>
      <c r="B2147" s="239">
        <v>1522.09</v>
      </c>
      <c r="C2147" s="242">
        <f t="shared" si="33"/>
        <v>2.9232199471030819E-2</v>
      </c>
    </row>
    <row r="2148" spans="1:3" x14ac:dyDescent="0.25">
      <c r="A2148" s="238">
        <v>40010</v>
      </c>
      <c r="B2148" s="239">
        <v>1535.3</v>
      </c>
      <c r="C2148" s="242">
        <f t="shared" si="33"/>
        <v>8.641411271387572E-3</v>
      </c>
    </row>
    <row r="2149" spans="1:3" x14ac:dyDescent="0.25">
      <c r="A2149" s="238">
        <v>40011</v>
      </c>
      <c r="B2149" s="239">
        <v>1534.7</v>
      </c>
      <c r="C2149" s="242">
        <f t="shared" si="33"/>
        <v>-3.9087948380407282E-4</v>
      </c>
    </row>
    <row r="2150" spans="1:3" x14ac:dyDescent="0.25">
      <c r="A2150" s="238">
        <v>40014</v>
      </c>
      <c r="B2150" s="239">
        <v>1552.26</v>
      </c>
      <c r="C2150" s="242">
        <f t="shared" si="33"/>
        <v>1.1377011304435266E-2</v>
      </c>
    </row>
    <row r="2151" spans="1:3" x14ac:dyDescent="0.25">
      <c r="A2151" s="238">
        <v>40015</v>
      </c>
      <c r="B2151" s="239">
        <v>1557.91</v>
      </c>
      <c r="C2151" s="242">
        <f t="shared" si="33"/>
        <v>3.6332459095307673E-3</v>
      </c>
    </row>
    <row r="2152" spans="1:3" x14ac:dyDescent="0.25">
      <c r="A2152" s="238">
        <v>40016</v>
      </c>
      <c r="B2152" s="239">
        <v>1557.3700000000001</v>
      </c>
      <c r="C2152" s="242">
        <f t="shared" si="33"/>
        <v>-3.466783116820054E-4</v>
      </c>
    </row>
    <row r="2153" spans="1:3" x14ac:dyDescent="0.25">
      <c r="A2153" s="238">
        <v>40017</v>
      </c>
      <c r="B2153" s="239">
        <v>1593.65</v>
      </c>
      <c r="C2153" s="242">
        <f t="shared" si="33"/>
        <v>2.3028481756807571E-2</v>
      </c>
    </row>
    <row r="2154" spans="1:3" x14ac:dyDescent="0.25">
      <c r="A2154" s="238">
        <v>40018</v>
      </c>
      <c r="B2154" s="239">
        <v>1598.5</v>
      </c>
      <c r="C2154" s="242">
        <f t="shared" si="33"/>
        <v>3.0387066597549863E-3</v>
      </c>
    </row>
    <row r="2155" spans="1:3" x14ac:dyDescent="0.25">
      <c r="A2155" s="238">
        <v>40021</v>
      </c>
      <c r="B2155" s="239">
        <v>1603.26</v>
      </c>
      <c r="C2155" s="242">
        <f t="shared" si="33"/>
        <v>2.9733668400467646E-3</v>
      </c>
    </row>
    <row r="2156" spans="1:3" x14ac:dyDescent="0.25">
      <c r="A2156" s="238">
        <v>40022</v>
      </c>
      <c r="B2156" s="239">
        <v>1599.0900000000001</v>
      </c>
      <c r="C2156" s="242">
        <f t="shared" si="33"/>
        <v>-2.6043389117032631E-3</v>
      </c>
    </row>
    <row r="2157" spans="1:3" x14ac:dyDescent="0.25">
      <c r="A2157" s="238">
        <v>40023</v>
      </c>
      <c r="B2157" s="239">
        <v>1592</v>
      </c>
      <c r="C2157" s="242">
        <f t="shared" si="33"/>
        <v>-4.4436300239111609E-3</v>
      </c>
    </row>
    <row r="2158" spans="1:3" x14ac:dyDescent="0.25">
      <c r="A2158" s="238">
        <v>40024</v>
      </c>
      <c r="B2158" s="239">
        <v>1611.14</v>
      </c>
      <c r="C2158" s="242">
        <f t="shared" si="33"/>
        <v>1.1950915541841814E-2</v>
      </c>
    </row>
    <row r="2159" spans="1:3" x14ac:dyDescent="0.25">
      <c r="A2159" s="238">
        <v>40025</v>
      </c>
      <c r="B2159" s="239">
        <v>1612.31</v>
      </c>
      <c r="C2159" s="242">
        <f t="shared" si="33"/>
        <v>7.2593032395713711E-4</v>
      </c>
    </row>
    <row r="2160" spans="1:3" x14ac:dyDescent="0.25">
      <c r="A2160" s="238">
        <v>40028</v>
      </c>
      <c r="B2160" s="239">
        <v>1637.06</v>
      </c>
      <c r="C2160" s="242">
        <f t="shared" si="33"/>
        <v>1.5234016842274871E-2</v>
      </c>
    </row>
    <row r="2161" spans="1:3" x14ac:dyDescent="0.25">
      <c r="A2161" s="238">
        <v>40029</v>
      </c>
      <c r="B2161" s="239">
        <v>1642.03</v>
      </c>
      <c r="C2161" s="242">
        <f t="shared" si="33"/>
        <v>3.0313311350185263E-3</v>
      </c>
    </row>
    <row r="2162" spans="1:3" x14ac:dyDescent="0.25">
      <c r="A2162" s="238">
        <v>40030</v>
      </c>
      <c r="B2162" s="239">
        <v>1637.81</v>
      </c>
      <c r="C2162" s="242">
        <f t="shared" si="33"/>
        <v>-2.573297678354724E-3</v>
      </c>
    </row>
    <row r="2163" spans="1:3" x14ac:dyDescent="0.25">
      <c r="A2163" s="238">
        <v>40031</v>
      </c>
      <c r="B2163" s="239">
        <v>1628.82</v>
      </c>
      <c r="C2163" s="242">
        <f t="shared" si="33"/>
        <v>-5.5041573098592823E-3</v>
      </c>
    </row>
    <row r="2164" spans="1:3" x14ac:dyDescent="0.25">
      <c r="A2164" s="238">
        <v>40032</v>
      </c>
      <c r="B2164" s="239">
        <v>1650.73</v>
      </c>
      <c r="C2164" s="242">
        <f t="shared" si="33"/>
        <v>1.3361788037095829E-2</v>
      </c>
    </row>
    <row r="2165" spans="1:3" x14ac:dyDescent="0.25">
      <c r="A2165" s="238">
        <v>40035</v>
      </c>
      <c r="B2165" s="239">
        <v>1645.26</v>
      </c>
      <c r="C2165" s="242">
        <f t="shared" si="33"/>
        <v>-3.3191878749138973E-3</v>
      </c>
    </row>
    <row r="2166" spans="1:3" x14ac:dyDescent="0.25">
      <c r="A2166" s="238">
        <v>40036</v>
      </c>
      <c r="B2166" s="239">
        <v>1624.91</v>
      </c>
      <c r="C2166" s="242">
        <f t="shared" si="33"/>
        <v>-1.2445996806719744E-2</v>
      </c>
    </row>
    <row r="2167" spans="1:3" x14ac:dyDescent="0.25">
      <c r="A2167" s="238">
        <v>40037</v>
      </c>
      <c r="B2167" s="239">
        <v>1644.23</v>
      </c>
      <c r="C2167" s="242">
        <f t="shared" si="33"/>
        <v>1.1819759892388681E-2</v>
      </c>
    </row>
    <row r="2168" spans="1:3" x14ac:dyDescent="0.25">
      <c r="A2168" s="238">
        <v>40038</v>
      </c>
      <c r="B2168" s="239">
        <v>1655.66</v>
      </c>
      <c r="C2168" s="242">
        <f t="shared" si="33"/>
        <v>6.9275313486791149E-3</v>
      </c>
    </row>
    <row r="2169" spans="1:3" x14ac:dyDescent="0.25">
      <c r="A2169" s="238">
        <v>40039</v>
      </c>
      <c r="B2169" s="239">
        <v>1641.54</v>
      </c>
      <c r="C2169" s="242">
        <f t="shared" si="33"/>
        <v>-8.5648952548453318E-3</v>
      </c>
    </row>
    <row r="2170" spans="1:3" x14ac:dyDescent="0.25">
      <c r="A2170" s="238">
        <v>40042</v>
      </c>
      <c r="B2170" s="239">
        <v>1602.06</v>
      </c>
      <c r="C2170" s="242">
        <f t="shared" si="33"/>
        <v>-2.4344524490419114E-2</v>
      </c>
    </row>
    <row r="2171" spans="1:3" x14ac:dyDescent="0.25">
      <c r="A2171" s="238">
        <v>40043</v>
      </c>
      <c r="B2171" s="239">
        <v>1618.6000000000001</v>
      </c>
      <c r="C2171" s="242">
        <f t="shared" si="33"/>
        <v>1.0271276951129562E-2</v>
      </c>
    </row>
    <row r="2172" spans="1:3" x14ac:dyDescent="0.25">
      <c r="A2172" s="238">
        <v>40044</v>
      </c>
      <c r="B2172" s="239">
        <v>1629.92</v>
      </c>
      <c r="C2172" s="242">
        <f t="shared" si="33"/>
        <v>6.9693557801547455E-3</v>
      </c>
    </row>
    <row r="2173" spans="1:3" x14ac:dyDescent="0.25">
      <c r="A2173" s="238">
        <v>40045</v>
      </c>
      <c r="B2173" s="239">
        <v>1647.8500000000001</v>
      </c>
      <c r="C2173" s="242">
        <f t="shared" si="33"/>
        <v>1.0940474067666449E-2</v>
      </c>
    </row>
    <row r="2174" spans="1:3" x14ac:dyDescent="0.25">
      <c r="A2174" s="238">
        <v>40046</v>
      </c>
      <c r="B2174" s="239">
        <v>1678.8400000000001</v>
      </c>
      <c r="C2174" s="242">
        <f t="shared" si="33"/>
        <v>1.8631670808934141E-2</v>
      </c>
    </row>
    <row r="2175" spans="1:3" x14ac:dyDescent="0.25">
      <c r="A2175" s="238">
        <v>40049</v>
      </c>
      <c r="B2175" s="239">
        <v>1677.94</v>
      </c>
      <c r="C2175" s="242">
        <f t="shared" si="33"/>
        <v>-5.3622818389382381E-4</v>
      </c>
    </row>
    <row r="2176" spans="1:3" x14ac:dyDescent="0.25">
      <c r="A2176" s="238">
        <v>40050</v>
      </c>
      <c r="B2176" s="239">
        <v>1681.92</v>
      </c>
      <c r="C2176" s="242">
        <f t="shared" si="33"/>
        <v>2.3691474416185059E-3</v>
      </c>
    </row>
    <row r="2177" spans="1:3" x14ac:dyDescent="0.25">
      <c r="A2177" s="238">
        <v>40051</v>
      </c>
      <c r="B2177" s="239">
        <v>1682.29</v>
      </c>
      <c r="C2177" s="242">
        <f t="shared" si="33"/>
        <v>2.1996248836527371E-4</v>
      </c>
    </row>
    <row r="2178" spans="1:3" x14ac:dyDescent="0.25">
      <c r="A2178" s="238">
        <v>40052</v>
      </c>
      <c r="B2178" s="239">
        <v>1687.16</v>
      </c>
      <c r="C2178" s="242">
        <f t="shared" si="33"/>
        <v>2.8906815006359845E-3</v>
      </c>
    </row>
    <row r="2179" spans="1:3" x14ac:dyDescent="0.25">
      <c r="A2179" s="238">
        <v>40053</v>
      </c>
      <c r="B2179" s="239">
        <v>1684.05</v>
      </c>
      <c r="C2179" s="242">
        <f t="shared" si="33"/>
        <v>-1.845035392184891E-3</v>
      </c>
    </row>
    <row r="2180" spans="1:3" x14ac:dyDescent="0.25">
      <c r="A2180" s="238">
        <v>40056</v>
      </c>
      <c r="B2180" s="239">
        <v>1670.52</v>
      </c>
      <c r="C2180" s="242">
        <f t="shared" si="33"/>
        <v>-8.066651384421912E-3</v>
      </c>
    </row>
    <row r="2181" spans="1:3" x14ac:dyDescent="0.25">
      <c r="A2181" s="238">
        <v>40057</v>
      </c>
      <c r="B2181" s="239">
        <v>1633.63</v>
      </c>
      <c r="C2181" s="242">
        <f t="shared" ref="C2181:C2244" si="34">LN(B2181/B2180)</f>
        <v>-2.2330422598019772E-2</v>
      </c>
    </row>
    <row r="2182" spans="1:3" x14ac:dyDescent="0.25">
      <c r="A2182" s="238">
        <v>40058</v>
      </c>
      <c r="B2182" s="239">
        <v>1628.66</v>
      </c>
      <c r="C2182" s="242">
        <f t="shared" si="34"/>
        <v>-3.0469417771334397E-3</v>
      </c>
    </row>
    <row r="2183" spans="1:3" x14ac:dyDescent="0.25">
      <c r="A2183" s="238">
        <v>40059</v>
      </c>
      <c r="B2183" s="239">
        <v>1642.68</v>
      </c>
      <c r="C2183" s="242">
        <f t="shared" si="34"/>
        <v>8.571463582098383E-3</v>
      </c>
    </row>
    <row r="2184" spans="1:3" x14ac:dyDescent="0.25">
      <c r="A2184" s="238">
        <v>40060</v>
      </c>
      <c r="B2184" s="239">
        <v>1664.3400000000001</v>
      </c>
      <c r="C2184" s="242">
        <f t="shared" si="34"/>
        <v>1.309959403690699E-2</v>
      </c>
    </row>
    <row r="2185" spans="1:3" x14ac:dyDescent="0.25">
      <c r="A2185" s="238">
        <v>40064</v>
      </c>
      <c r="B2185" s="239">
        <v>1679.32</v>
      </c>
      <c r="C2185" s="242">
        <f t="shared" si="34"/>
        <v>8.9603011220036246E-3</v>
      </c>
    </row>
    <row r="2186" spans="1:3" x14ac:dyDescent="0.25">
      <c r="A2186" s="238">
        <v>40065</v>
      </c>
      <c r="B2186" s="239">
        <v>1692.48</v>
      </c>
      <c r="C2186" s="242">
        <f t="shared" si="34"/>
        <v>7.805959323283233E-3</v>
      </c>
    </row>
    <row r="2187" spans="1:3" x14ac:dyDescent="0.25">
      <c r="A2187" s="238">
        <v>40066</v>
      </c>
      <c r="B2187" s="239">
        <v>1710.14</v>
      </c>
      <c r="C2187" s="242">
        <f t="shared" si="34"/>
        <v>1.0380329612844047E-2</v>
      </c>
    </row>
    <row r="2188" spans="1:3" x14ac:dyDescent="0.25">
      <c r="A2188" s="238">
        <v>40067</v>
      </c>
      <c r="B2188" s="239">
        <v>1708.19</v>
      </c>
      <c r="C2188" s="242">
        <f t="shared" si="34"/>
        <v>-1.1409081109907948E-3</v>
      </c>
    </row>
    <row r="2189" spans="1:3" x14ac:dyDescent="0.25">
      <c r="A2189" s="238">
        <v>40070</v>
      </c>
      <c r="B2189" s="239">
        <v>1719.04</v>
      </c>
      <c r="C2189" s="242">
        <f t="shared" si="34"/>
        <v>6.3316650752949155E-3</v>
      </c>
    </row>
    <row r="2190" spans="1:3" x14ac:dyDescent="0.25">
      <c r="A2190" s="238">
        <v>40071</v>
      </c>
      <c r="B2190" s="239">
        <v>1724.45</v>
      </c>
      <c r="C2190" s="242">
        <f t="shared" si="34"/>
        <v>3.1421635905220587E-3</v>
      </c>
    </row>
    <row r="2191" spans="1:3" x14ac:dyDescent="0.25">
      <c r="A2191" s="238">
        <v>40072</v>
      </c>
      <c r="B2191" s="239">
        <v>1750.91</v>
      </c>
      <c r="C2191" s="242">
        <f t="shared" si="34"/>
        <v>1.5227493719125386E-2</v>
      </c>
    </row>
    <row r="2192" spans="1:3" x14ac:dyDescent="0.25">
      <c r="A2192" s="238">
        <v>40073</v>
      </c>
      <c r="B2192" s="239">
        <v>1745.8</v>
      </c>
      <c r="C2192" s="242">
        <f t="shared" si="34"/>
        <v>-2.9227494631614871E-3</v>
      </c>
    </row>
    <row r="2193" spans="1:3" x14ac:dyDescent="0.25">
      <c r="A2193" s="238">
        <v>40074</v>
      </c>
      <c r="B2193" s="239">
        <v>1750.43</v>
      </c>
      <c r="C2193" s="242">
        <f t="shared" si="34"/>
        <v>2.6485687192138122E-3</v>
      </c>
    </row>
    <row r="2194" spans="1:3" x14ac:dyDescent="0.25">
      <c r="A2194" s="238">
        <v>40077</v>
      </c>
      <c r="B2194" s="239">
        <v>1744.47</v>
      </c>
      <c r="C2194" s="242">
        <f t="shared" si="34"/>
        <v>-3.4106874460599441E-3</v>
      </c>
    </row>
    <row r="2195" spans="1:3" x14ac:dyDescent="0.25">
      <c r="A2195" s="238">
        <v>40078</v>
      </c>
      <c r="B2195" s="239">
        <v>1755.99</v>
      </c>
      <c r="C2195" s="242">
        <f t="shared" si="34"/>
        <v>6.5820158436234386E-3</v>
      </c>
    </row>
    <row r="2196" spans="1:3" x14ac:dyDescent="0.25">
      <c r="A2196" s="238">
        <v>40079</v>
      </c>
      <c r="B2196" s="239">
        <v>1738.32</v>
      </c>
      <c r="C2196" s="242">
        <f t="shared" si="34"/>
        <v>-1.0113670862846395E-2</v>
      </c>
    </row>
    <row r="2197" spans="1:3" x14ac:dyDescent="0.25">
      <c r="A2197" s="238">
        <v>40080</v>
      </c>
      <c r="B2197" s="239">
        <v>1722.02</v>
      </c>
      <c r="C2197" s="242">
        <f t="shared" si="34"/>
        <v>-9.4211092330925457E-3</v>
      </c>
    </row>
    <row r="2198" spans="1:3" x14ac:dyDescent="0.25">
      <c r="A2198" s="238">
        <v>40081</v>
      </c>
      <c r="B2198" s="239">
        <v>1711.53</v>
      </c>
      <c r="C2198" s="242">
        <f t="shared" si="34"/>
        <v>-6.1103130216836957E-3</v>
      </c>
    </row>
    <row r="2199" spans="1:3" x14ac:dyDescent="0.25">
      <c r="A2199" s="238">
        <v>40084</v>
      </c>
      <c r="B2199" s="239">
        <v>1742.32</v>
      </c>
      <c r="C2199" s="242">
        <f t="shared" si="34"/>
        <v>1.7829851141949241E-2</v>
      </c>
    </row>
    <row r="2200" spans="1:3" x14ac:dyDescent="0.25">
      <c r="A2200" s="238">
        <v>40085</v>
      </c>
      <c r="B2200" s="239">
        <v>1738.48</v>
      </c>
      <c r="C2200" s="242">
        <f t="shared" si="34"/>
        <v>-2.206390230872404E-3</v>
      </c>
    </row>
    <row r="2201" spans="1:3" x14ac:dyDescent="0.25">
      <c r="A2201" s="238">
        <v>40086</v>
      </c>
      <c r="B2201" s="239">
        <v>1732.8600000000001</v>
      </c>
      <c r="C2201" s="242">
        <f t="shared" si="34"/>
        <v>-3.2379455254408955E-3</v>
      </c>
    </row>
    <row r="2202" spans="1:3" x14ac:dyDescent="0.25">
      <c r="A2202" s="238">
        <v>40087</v>
      </c>
      <c r="B2202" s="239">
        <v>1688.24</v>
      </c>
      <c r="C2202" s="242">
        <f t="shared" si="34"/>
        <v>-2.6086656541982559E-2</v>
      </c>
    </row>
    <row r="2203" spans="1:3" x14ac:dyDescent="0.25">
      <c r="A2203" s="238">
        <v>40088</v>
      </c>
      <c r="B2203" s="239">
        <v>1680.7</v>
      </c>
      <c r="C2203" s="242">
        <f t="shared" si="34"/>
        <v>-4.4761928615365716E-3</v>
      </c>
    </row>
    <row r="2204" spans="1:3" x14ac:dyDescent="0.25">
      <c r="A2204" s="238">
        <v>40091</v>
      </c>
      <c r="B2204" s="239">
        <v>1705.73</v>
      </c>
      <c r="C2204" s="242">
        <f t="shared" si="34"/>
        <v>1.4782798296640172E-2</v>
      </c>
    </row>
    <row r="2205" spans="1:3" x14ac:dyDescent="0.25">
      <c r="A2205" s="238">
        <v>40092</v>
      </c>
      <c r="B2205" s="239">
        <v>1729.14</v>
      </c>
      <c r="C2205" s="242">
        <f t="shared" si="34"/>
        <v>1.3631003486020542E-2</v>
      </c>
    </row>
    <row r="2206" spans="1:3" x14ac:dyDescent="0.25">
      <c r="A2206" s="238">
        <v>40093</v>
      </c>
      <c r="B2206" s="239">
        <v>1734.74</v>
      </c>
      <c r="C2206" s="242">
        <f t="shared" si="34"/>
        <v>3.2333711784785523E-3</v>
      </c>
    </row>
    <row r="2207" spans="1:3" x14ac:dyDescent="0.25">
      <c r="A2207" s="238">
        <v>40094</v>
      </c>
      <c r="B2207" s="239">
        <v>1747.7</v>
      </c>
      <c r="C2207" s="242">
        <f t="shared" si="34"/>
        <v>7.4430915286553493E-3</v>
      </c>
    </row>
    <row r="2208" spans="1:3" x14ac:dyDescent="0.25">
      <c r="A2208" s="238">
        <v>40095</v>
      </c>
      <c r="B2208" s="239">
        <v>1757.6000000000001</v>
      </c>
      <c r="C2208" s="242">
        <f t="shared" si="34"/>
        <v>5.6486042980851414E-3</v>
      </c>
    </row>
    <row r="2209" spans="1:3" x14ac:dyDescent="0.25">
      <c r="A2209" s="238">
        <v>40098</v>
      </c>
      <c r="B2209" s="239">
        <v>1765.31</v>
      </c>
      <c r="C2209" s="242">
        <f t="shared" si="34"/>
        <v>4.3770702683230186E-3</v>
      </c>
    </row>
    <row r="2210" spans="1:3" x14ac:dyDescent="0.25">
      <c r="A2210" s="238">
        <v>40099</v>
      </c>
      <c r="B2210" s="239">
        <v>1760.51</v>
      </c>
      <c r="C2210" s="242">
        <f t="shared" si="34"/>
        <v>-2.7227725552612823E-3</v>
      </c>
    </row>
    <row r="2211" spans="1:3" x14ac:dyDescent="0.25">
      <c r="A2211" s="238">
        <v>40100</v>
      </c>
      <c r="B2211" s="239">
        <v>1791.47</v>
      </c>
      <c r="C2211" s="242">
        <f t="shared" si="34"/>
        <v>1.7432972077544566E-2</v>
      </c>
    </row>
    <row r="2212" spans="1:3" x14ac:dyDescent="0.25">
      <c r="A2212" s="238">
        <v>40101</v>
      </c>
      <c r="B2212" s="239">
        <v>1798.91</v>
      </c>
      <c r="C2212" s="242">
        <f t="shared" si="34"/>
        <v>4.1444140448761218E-3</v>
      </c>
    </row>
    <row r="2213" spans="1:3" x14ac:dyDescent="0.25">
      <c r="A2213" s="238">
        <v>40102</v>
      </c>
      <c r="B2213" s="239">
        <v>1784.3500000000001</v>
      </c>
      <c r="C2213" s="242">
        <f t="shared" si="34"/>
        <v>-8.1267226675368082E-3</v>
      </c>
    </row>
    <row r="2214" spans="1:3" x14ac:dyDescent="0.25">
      <c r="A2214" s="238">
        <v>40105</v>
      </c>
      <c r="B2214" s="239">
        <v>1801.1200000000001</v>
      </c>
      <c r="C2214" s="242">
        <f t="shared" si="34"/>
        <v>9.3544903681477918E-3</v>
      </c>
    </row>
    <row r="2215" spans="1:3" x14ac:dyDescent="0.25">
      <c r="A2215" s="238">
        <v>40106</v>
      </c>
      <c r="B2215" s="239">
        <v>1789.93</v>
      </c>
      <c r="C2215" s="242">
        <f t="shared" si="34"/>
        <v>-6.232180681609893E-3</v>
      </c>
    </row>
    <row r="2216" spans="1:3" x14ac:dyDescent="0.25">
      <c r="A2216" s="238">
        <v>40107</v>
      </c>
      <c r="B2216" s="239">
        <v>1774.33</v>
      </c>
      <c r="C2216" s="242">
        <f t="shared" si="34"/>
        <v>-8.7536260618658081E-3</v>
      </c>
    </row>
    <row r="2217" spans="1:3" x14ac:dyDescent="0.25">
      <c r="A2217" s="238">
        <v>40108</v>
      </c>
      <c r="B2217" s="239">
        <v>1793.3400000000001</v>
      </c>
      <c r="C2217" s="242">
        <f t="shared" si="34"/>
        <v>1.0656916089911336E-2</v>
      </c>
    </row>
    <row r="2218" spans="1:3" x14ac:dyDescent="0.25">
      <c r="A2218" s="238">
        <v>40109</v>
      </c>
      <c r="B2218" s="239">
        <v>1771.5</v>
      </c>
      <c r="C2218" s="242">
        <f t="shared" si="34"/>
        <v>-1.2253157647403017E-2</v>
      </c>
    </row>
    <row r="2219" spans="1:3" x14ac:dyDescent="0.25">
      <c r="A2219" s="238">
        <v>40112</v>
      </c>
      <c r="B2219" s="239">
        <v>1750.75</v>
      </c>
      <c r="C2219" s="242">
        <f t="shared" si="34"/>
        <v>-1.1782377769899618E-2</v>
      </c>
    </row>
    <row r="2220" spans="1:3" x14ac:dyDescent="0.25">
      <c r="A2220" s="238">
        <v>40113</v>
      </c>
      <c r="B2220" s="239">
        <v>1744.95</v>
      </c>
      <c r="C2220" s="242">
        <f t="shared" si="34"/>
        <v>-3.3183656047419872E-3</v>
      </c>
    </row>
    <row r="2221" spans="1:3" x14ac:dyDescent="0.25">
      <c r="A2221" s="238">
        <v>40114</v>
      </c>
      <c r="B2221" s="239">
        <v>1711.0900000000001</v>
      </c>
      <c r="C2221" s="242">
        <f t="shared" si="34"/>
        <v>-1.9595307603831092E-2</v>
      </c>
    </row>
    <row r="2222" spans="1:3" x14ac:dyDescent="0.25">
      <c r="A2222" s="238">
        <v>40115</v>
      </c>
      <c r="B2222" s="239">
        <v>1749.76</v>
      </c>
      <c r="C2222" s="242">
        <f t="shared" si="34"/>
        <v>2.2348041328421449E-2</v>
      </c>
    </row>
    <row r="2223" spans="1:3" x14ac:dyDescent="0.25">
      <c r="A2223" s="238">
        <v>40116</v>
      </c>
      <c r="B2223" s="239">
        <v>1700.67</v>
      </c>
      <c r="C2223" s="242">
        <f t="shared" si="34"/>
        <v>-2.8456344608069006E-2</v>
      </c>
    </row>
    <row r="2224" spans="1:3" x14ac:dyDescent="0.25">
      <c r="A2224" s="238">
        <v>40119</v>
      </c>
      <c r="B2224" s="239">
        <v>1711.65</v>
      </c>
      <c r="C2224" s="242">
        <f t="shared" si="34"/>
        <v>6.4355265013919718E-3</v>
      </c>
    </row>
    <row r="2225" spans="1:3" x14ac:dyDescent="0.25">
      <c r="A2225" s="238">
        <v>40120</v>
      </c>
      <c r="B2225" s="239">
        <v>1715.81</v>
      </c>
      <c r="C2225" s="242">
        <f t="shared" si="34"/>
        <v>2.427454758185833E-3</v>
      </c>
    </row>
    <row r="2226" spans="1:3" x14ac:dyDescent="0.25">
      <c r="A2226" s="238">
        <v>40121</v>
      </c>
      <c r="B2226" s="239">
        <v>1718.21</v>
      </c>
      <c r="C2226" s="242">
        <f t="shared" si="34"/>
        <v>1.3977789242679156E-3</v>
      </c>
    </row>
    <row r="2227" spans="1:3" x14ac:dyDescent="0.25">
      <c r="A2227" s="238">
        <v>40122</v>
      </c>
      <c r="B2227" s="239">
        <v>1751.45</v>
      </c>
      <c r="C2227" s="242">
        <f t="shared" si="34"/>
        <v>1.9160965039068431E-2</v>
      </c>
    </row>
    <row r="2228" spans="1:3" x14ac:dyDescent="0.25">
      <c r="A2228" s="238">
        <v>40123</v>
      </c>
      <c r="B2228" s="239">
        <v>1756.07</v>
      </c>
      <c r="C2228" s="242">
        <f t="shared" si="34"/>
        <v>2.6343414559605056E-3</v>
      </c>
    </row>
    <row r="2229" spans="1:3" x14ac:dyDescent="0.25">
      <c r="A2229" s="238">
        <v>40126</v>
      </c>
      <c r="B2229" s="239">
        <v>1795.56</v>
      </c>
      <c r="C2229" s="242">
        <f t="shared" si="34"/>
        <v>2.2238593257047197E-2</v>
      </c>
    </row>
    <row r="2230" spans="1:3" x14ac:dyDescent="0.25">
      <c r="A2230" s="238">
        <v>40127</v>
      </c>
      <c r="B2230" s="239">
        <v>1795.9</v>
      </c>
      <c r="C2230" s="242">
        <f t="shared" si="34"/>
        <v>1.8933804136254042E-4</v>
      </c>
    </row>
    <row r="2231" spans="1:3" x14ac:dyDescent="0.25">
      <c r="A2231" s="238">
        <v>40128</v>
      </c>
      <c r="B2231" s="239">
        <v>1804.93</v>
      </c>
      <c r="C2231" s="242">
        <f t="shared" si="34"/>
        <v>5.0155208268468591E-3</v>
      </c>
    </row>
    <row r="2232" spans="1:3" x14ac:dyDescent="0.25">
      <c r="A2232" s="238">
        <v>40129</v>
      </c>
      <c r="B2232" s="239">
        <v>1786.66</v>
      </c>
      <c r="C2232" s="242">
        <f t="shared" si="34"/>
        <v>-1.0173854805044685E-2</v>
      </c>
    </row>
    <row r="2233" spans="1:3" x14ac:dyDescent="0.25">
      <c r="A2233" s="238">
        <v>40130</v>
      </c>
      <c r="B2233" s="239">
        <v>1796.93</v>
      </c>
      <c r="C2233" s="242">
        <f t="shared" si="34"/>
        <v>5.731698166438026E-3</v>
      </c>
    </row>
    <row r="2234" spans="1:3" x14ac:dyDescent="0.25">
      <c r="A2234" s="238">
        <v>40133</v>
      </c>
      <c r="B2234" s="239">
        <v>1823.29</v>
      </c>
      <c r="C2234" s="242">
        <f t="shared" si="34"/>
        <v>1.4562908256226709E-2</v>
      </c>
    </row>
    <row r="2235" spans="1:3" x14ac:dyDescent="0.25">
      <c r="A2235" s="238">
        <v>40134</v>
      </c>
      <c r="B2235" s="239">
        <v>1825.18</v>
      </c>
      <c r="C2235" s="242">
        <f t="shared" si="34"/>
        <v>1.0360508207883144E-3</v>
      </c>
    </row>
    <row r="2236" spans="1:3" x14ac:dyDescent="0.25">
      <c r="A2236" s="238">
        <v>40135</v>
      </c>
      <c r="B2236" s="239">
        <v>1824.6100000000001</v>
      </c>
      <c r="C2236" s="242">
        <f t="shared" si="34"/>
        <v>-3.1234674029691364E-4</v>
      </c>
    </row>
    <row r="2237" spans="1:3" x14ac:dyDescent="0.25">
      <c r="A2237" s="238">
        <v>40136</v>
      </c>
      <c r="B2237" s="239">
        <v>1800.1200000000001</v>
      </c>
      <c r="C2237" s="242">
        <f t="shared" si="34"/>
        <v>-1.3512936220849802E-2</v>
      </c>
    </row>
    <row r="2238" spans="1:3" x14ac:dyDescent="0.25">
      <c r="A2238" s="238">
        <v>40137</v>
      </c>
      <c r="B2238" s="239">
        <v>1794.65</v>
      </c>
      <c r="C2238" s="242">
        <f t="shared" si="34"/>
        <v>-3.0433124910990536E-3</v>
      </c>
    </row>
    <row r="2239" spans="1:3" x14ac:dyDescent="0.25">
      <c r="A2239" s="238">
        <v>40140</v>
      </c>
      <c r="B2239" s="239">
        <v>1819.17</v>
      </c>
      <c r="C2239" s="242">
        <f t="shared" si="34"/>
        <v>1.3570336257425694E-2</v>
      </c>
    </row>
    <row r="2240" spans="1:3" x14ac:dyDescent="0.25">
      <c r="A2240" s="238">
        <v>40141</v>
      </c>
      <c r="B2240" s="239">
        <v>1818.31</v>
      </c>
      <c r="C2240" s="242">
        <f t="shared" si="34"/>
        <v>-4.7285484237667984E-4</v>
      </c>
    </row>
    <row r="2241" spans="1:3" x14ac:dyDescent="0.25">
      <c r="A2241" s="238">
        <v>40142</v>
      </c>
      <c r="B2241" s="239">
        <v>1826.74</v>
      </c>
      <c r="C2241" s="242">
        <f t="shared" si="34"/>
        <v>4.6254592007752785E-3</v>
      </c>
    </row>
    <row r="2242" spans="1:3" x14ac:dyDescent="0.25">
      <c r="A2242" s="238">
        <v>40144</v>
      </c>
      <c r="B2242" s="239">
        <v>1795.7</v>
      </c>
      <c r="C2242" s="242">
        <f t="shared" si="34"/>
        <v>-1.7138039405672274E-2</v>
      </c>
    </row>
    <row r="2243" spans="1:3" x14ac:dyDescent="0.25">
      <c r="A2243" s="238">
        <v>40147</v>
      </c>
      <c r="B2243" s="239">
        <v>1802.68</v>
      </c>
      <c r="C2243" s="242">
        <f t="shared" si="34"/>
        <v>3.8795284291886756E-3</v>
      </c>
    </row>
    <row r="2244" spans="1:3" x14ac:dyDescent="0.25">
      <c r="A2244" s="238">
        <v>40148</v>
      </c>
      <c r="B2244" s="239">
        <v>1824.54</v>
      </c>
      <c r="C2244" s="242">
        <f t="shared" si="34"/>
        <v>1.2053453973881792E-2</v>
      </c>
    </row>
    <row r="2245" spans="1:3" x14ac:dyDescent="0.25">
      <c r="A2245" s="238">
        <v>40149</v>
      </c>
      <c r="B2245" s="239">
        <v>1825.4</v>
      </c>
      <c r="C2245" s="242">
        <f t="shared" ref="C2245:C2308" si="35">LN(B2245/B2244)</f>
        <v>4.7124063185420085E-4</v>
      </c>
    </row>
    <row r="2246" spans="1:3" x14ac:dyDescent="0.25">
      <c r="A2246" s="238">
        <v>40150</v>
      </c>
      <c r="B2246" s="239">
        <v>1810.13</v>
      </c>
      <c r="C2246" s="242">
        <f t="shared" si="35"/>
        <v>-8.4004751976484802E-3</v>
      </c>
    </row>
    <row r="2247" spans="1:3" x14ac:dyDescent="0.25">
      <c r="A2247" s="238">
        <v>40151</v>
      </c>
      <c r="B2247" s="239">
        <v>1820.1100000000001</v>
      </c>
      <c r="C2247" s="242">
        <f t="shared" si="35"/>
        <v>5.4982729197555133E-3</v>
      </c>
    </row>
    <row r="2248" spans="1:3" x14ac:dyDescent="0.25">
      <c r="A2248" s="238">
        <v>40154</v>
      </c>
      <c r="B2248" s="239">
        <v>1815.7</v>
      </c>
      <c r="C2248" s="242">
        <f t="shared" si="35"/>
        <v>-2.4258705282627149E-3</v>
      </c>
    </row>
    <row r="2249" spans="1:3" x14ac:dyDescent="0.25">
      <c r="A2249" s="238">
        <v>40155</v>
      </c>
      <c r="B2249" s="239">
        <v>1797.31</v>
      </c>
      <c r="C2249" s="242">
        <f t="shared" si="35"/>
        <v>-1.0179965632703245E-2</v>
      </c>
    </row>
    <row r="2250" spans="1:3" x14ac:dyDescent="0.25">
      <c r="A2250" s="238">
        <v>40156</v>
      </c>
      <c r="B2250" s="239">
        <v>1804.1000000000001</v>
      </c>
      <c r="C2250" s="242">
        <f t="shared" si="35"/>
        <v>3.7707498148392164E-3</v>
      </c>
    </row>
    <row r="2251" spans="1:3" x14ac:dyDescent="0.25">
      <c r="A2251" s="238">
        <v>40157</v>
      </c>
      <c r="B2251" s="239">
        <v>1814.81</v>
      </c>
      <c r="C2251" s="242">
        <f t="shared" si="35"/>
        <v>5.9189265649331902E-3</v>
      </c>
    </row>
    <row r="2252" spans="1:3" x14ac:dyDescent="0.25">
      <c r="A2252" s="238">
        <v>40158</v>
      </c>
      <c r="B2252" s="239">
        <v>1821.8</v>
      </c>
      <c r="C2252" s="242">
        <f t="shared" si="35"/>
        <v>3.8442442870186395E-3</v>
      </c>
    </row>
    <row r="2253" spans="1:3" x14ac:dyDescent="0.25">
      <c r="A2253" s="238">
        <v>40161</v>
      </c>
      <c r="B2253" s="239">
        <v>1834.55</v>
      </c>
      <c r="C2253" s="242">
        <f t="shared" si="35"/>
        <v>6.9741964961442396E-3</v>
      </c>
    </row>
    <row r="2254" spans="1:3" x14ac:dyDescent="0.25">
      <c r="A2254" s="238">
        <v>40162</v>
      </c>
      <c r="B2254" s="239">
        <v>1824.3700000000001</v>
      </c>
      <c r="C2254" s="242">
        <f t="shared" si="35"/>
        <v>-5.5644978668411369E-3</v>
      </c>
    </row>
    <row r="2255" spans="1:3" x14ac:dyDescent="0.25">
      <c r="A2255" s="238">
        <v>40163</v>
      </c>
      <c r="B2255" s="239">
        <v>1826.45</v>
      </c>
      <c r="C2255" s="242">
        <f t="shared" si="35"/>
        <v>1.1394701601584031E-3</v>
      </c>
    </row>
    <row r="2256" spans="1:3" x14ac:dyDescent="0.25">
      <c r="A2256" s="238">
        <v>40164</v>
      </c>
      <c r="B2256" s="239">
        <v>1804.96</v>
      </c>
      <c r="C2256" s="242">
        <f t="shared" si="35"/>
        <v>-1.1835761243560597E-2</v>
      </c>
    </row>
    <row r="2257" spans="1:3" x14ac:dyDescent="0.25">
      <c r="A2257" s="238">
        <v>40165</v>
      </c>
      <c r="B2257" s="239">
        <v>1815.5</v>
      </c>
      <c r="C2257" s="242">
        <f t="shared" si="35"/>
        <v>5.8224809977802314E-3</v>
      </c>
    </row>
    <row r="2258" spans="1:3" x14ac:dyDescent="0.25">
      <c r="A2258" s="238">
        <v>40168</v>
      </c>
      <c r="B2258" s="239">
        <v>1834.5900000000001</v>
      </c>
      <c r="C2258" s="242">
        <f t="shared" si="35"/>
        <v>1.0460111426847772E-2</v>
      </c>
    </row>
    <row r="2259" spans="1:3" x14ac:dyDescent="0.25">
      <c r="A2259" s="238">
        <v>40169</v>
      </c>
      <c r="B2259" s="239">
        <v>1841.17</v>
      </c>
      <c r="C2259" s="242">
        <f t="shared" si="35"/>
        <v>3.5802158076181276E-3</v>
      </c>
    </row>
    <row r="2260" spans="1:3" x14ac:dyDescent="0.25">
      <c r="A2260" s="238">
        <v>40170</v>
      </c>
      <c r="B2260" s="239">
        <v>1845.8</v>
      </c>
      <c r="C2260" s="242">
        <f t="shared" si="35"/>
        <v>2.5115487426200316E-3</v>
      </c>
    </row>
    <row r="2261" spans="1:3" x14ac:dyDescent="0.25">
      <c r="A2261" s="238">
        <v>40171</v>
      </c>
      <c r="B2261" s="239">
        <v>1855.5</v>
      </c>
      <c r="C2261" s="242">
        <f t="shared" si="35"/>
        <v>5.2414136691759155E-3</v>
      </c>
    </row>
    <row r="2262" spans="1:3" x14ac:dyDescent="0.25">
      <c r="A2262" s="238">
        <v>40175</v>
      </c>
      <c r="B2262" s="239">
        <v>1857.89</v>
      </c>
      <c r="C2262" s="242">
        <f t="shared" si="35"/>
        <v>1.28723367597446E-3</v>
      </c>
    </row>
    <row r="2263" spans="1:3" x14ac:dyDescent="0.25">
      <c r="A2263" s="238">
        <v>40176</v>
      </c>
      <c r="B2263" s="239">
        <v>1855.6100000000001</v>
      </c>
      <c r="C2263" s="242">
        <f t="shared" si="35"/>
        <v>-1.2279522210823922E-3</v>
      </c>
    </row>
    <row r="2264" spans="1:3" x14ac:dyDescent="0.25">
      <c r="A2264" s="238">
        <v>40177</v>
      </c>
      <c r="B2264" s="239">
        <v>1856.14</v>
      </c>
      <c r="C2264" s="242">
        <f t="shared" si="35"/>
        <v>2.8557958030676959E-4</v>
      </c>
    </row>
    <row r="2265" spans="1:3" x14ac:dyDescent="0.25">
      <c r="A2265" s="238">
        <v>40178</v>
      </c>
      <c r="B2265" s="239">
        <v>1837.5</v>
      </c>
      <c r="C2265" s="242">
        <f t="shared" si="35"/>
        <v>-1.0093110448859549E-2</v>
      </c>
    </row>
    <row r="2266" spans="1:3" x14ac:dyDescent="0.25">
      <c r="A2266" s="238">
        <v>40182</v>
      </c>
      <c r="B2266" s="239">
        <v>1867.06</v>
      </c>
      <c r="C2266" s="242">
        <f t="shared" si="35"/>
        <v>1.5959049056716485E-2</v>
      </c>
    </row>
    <row r="2267" spans="1:3" x14ac:dyDescent="0.25">
      <c r="A2267" s="238">
        <v>40183</v>
      </c>
      <c r="B2267" s="239">
        <v>1872.9</v>
      </c>
      <c r="C2267" s="242">
        <f t="shared" si="35"/>
        <v>3.1230305921000141E-3</v>
      </c>
    </row>
    <row r="2268" spans="1:3" x14ac:dyDescent="0.25">
      <c r="A2268" s="238">
        <v>40184</v>
      </c>
      <c r="B2268" s="239">
        <v>1874.73</v>
      </c>
      <c r="C2268" s="242">
        <f t="shared" si="35"/>
        <v>9.7661729970754561E-4</v>
      </c>
    </row>
    <row r="2269" spans="1:3" x14ac:dyDescent="0.25">
      <c r="A2269" s="238">
        <v>40185</v>
      </c>
      <c r="B2269" s="239">
        <v>1882.3400000000001</v>
      </c>
      <c r="C2269" s="242">
        <f t="shared" si="35"/>
        <v>4.0510346664988641E-3</v>
      </c>
    </row>
    <row r="2270" spans="1:3" x14ac:dyDescent="0.25">
      <c r="A2270" s="238">
        <v>40186</v>
      </c>
      <c r="B2270" s="239">
        <v>1887.77</v>
      </c>
      <c r="C2270" s="242">
        <f t="shared" si="35"/>
        <v>2.8805545486263111E-3</v>
      </c>
    </row>
    <row r="2271" spans="1:3" x14ac:dyDescent="0.25">
      <c r="A2271" s="238">
        <v>40189</v>
      </c>
      <c r="B2271" s="239">
        <v>1891.06</v>
      </c>
      <c r="C2271" s="242">
        <f t="shared" si="35"/>
        <v>1.7412801482410462E-3</v>
      </c>
    </row>
    <row r="2272" spans="1:3" x14ac:dyDescent="0.25">
      <c r="A2272" s="238">
        <v>40190</v>
      </c>
      <c r="B2272" s="239">
        <v>1873.32</v>
      </c>
      <c r="C2272" s="242">
        <f t="shared" si="35"/>
        <v>-9.4252606423064402E-3</v>
      </c>
    </row>
    <row r="2273" spans="1:3" x14ac:dyDescent="0.25">
      <c r="A2273" s="238">
        <v>40191</v>
      </c>
      <c r="B2273" s="239">
        <v>1889.1000000000001</v>
      </c>
      <c r="C2273" s="242">
        <f t="shared" si="35"/>
        <v>8.3882674062311924E-3</v>
      </c>
    </row>
    <row r="2274" spans="1:3" x14ac:dyDescent="0.25">
      <c r="A2274" s="238">
        <v>40192</v>
      </c>
      <c r="B2274" s="239">
        <v>1893.72</v>
      </c>
      <c r="C2274" s="242">
        <f t="shared" si="35"/>
        <v>2.442623385234943E-3</v>
      </c>
    </row>
    <row r="2275" spans="1:3" x14ac:dyDescent="0.25">
      <c r="A2275" s="238">
        <v>40193</v>
      </c>
      <c r="B2275" s="239">
        <v>1873.3</v>
      </c>
      <c r="C2275" s="242">
        <f t="shared" si="35"/>
        <v>-1.0841567081028526E-2</v>
      </c>
    </row>
    <row r="2276" spans="1:3" x14ac:dyDescent="0.25">
      <c r="A2276" s="238">
        <v>40197</v>
      </c>
      <c r="B2276" s="239">
        <v>1896.72</v>
      </c>
      <c r="C2276" s="242">
        <f t="shared" si="35"/>
        <v>1.2424497097816367E-2</v>
      </c>
    </row>
    <row r="2277" spans="1:3" x14ac:dyDescent="0.25">
      <c r="A2277" s="238">
        <v>40198</v>
      </c>
      <c r="B2277" s="239">
        <v>1876.9</v>
      </c>
      <c r="C2277" s="242">
        <f t="shared" si="35"/>
        <v>-1.0504598902625364E-2</v>
      </c>
    </row>
    <row r="2278" spans="1:3" x14ac:dyDescent="0.25">
      <c r="A2278" s="238">
        <v>40199</v>
      </c>
      <c r="B2278" s="239">
        <v>1841.39</v>
      </c>
      <c r="C2278" s="242">
        <f t="shared" si="35"/>
        <v>-1.9100758473796602E-2</v>
      </c>
    </row>
    <row r="2279" spans="1:3" x14ac:dyDescent="0.25">
      <c r="A2279" s="238">
        <v>40200</v>
      </c>
      <c r="B2279" s="239">
        <v>1800.6100000000001</v>
      </c>
      <c r="C2279" s="242">
        <f t="shared" si="35"/>
        <v>-2.2395224825132037E-2</v>
      </c>
    </row>
    <row r="2280" spans="1:3" x14ac:dyDescent="0.25">
      <c r="A2280" s="238">
        <v>40203</v>
      </c>
      <c r="B2280" s="239">
        <v>1808.93</v>
      </c>
      <c r="C2280" s="242">
        <f t="shared" si="35"/>
        <v>4.610013871503095E-3</v>
      </c>
    </row>
    <row r="2281" spans="1:3" x14ac:dyDescent="0.25">
      <c r="A2281" s="238">
        <v>40204</v>
      </c>
      <c r="B2281" s="239">
        <v>1801.3400000000001</v>
      </c>
      <c r="C2281" s="242">
        <f t="shared" si="35"/>
        <v>-4.2046778673971068E-3</v>
      </c>
    </row>
    <row r="2282" spans="1:3" x14ac:dyDescent="0.25">
      <c r="A2282" s="238">
        <v>40205</v>
      </c>
      <c r="B2282" s="239">
        <v>1810.21</v>
      </c>
      <c r="C2282" s="242">
        <f t="shared" si="35"/>
        <v>4.9120282618942794E-3</v>
      </c>
    </row>
    <row r="2283" spans="1:3" x14ac:dyDescent="0.25">
      <c r="A2283" s="238">
        <v>40206</v>
      </c>
      <c r="B2283" s="239">
        <v>1788.97</v>
      </c>
      <c r="C2283" s="242">
        <f t="shared" si="35"/>
        <v>-1.1802825405933829E-2</v>
      </c>
    </row>
    <row r="2284" spans="1:3" x14ac:dyDescent="0.25">
      <c r="A2284" s="238">
        <v>40207</v>
      </c>
      <c r="B2284" s="239">
        <v>1771.4</v>
      </c>
      <c r="C2284" s="242">
        <f t="shared" si="35"/>
        <v>-9.8698408478592077E-3</v>
      </c>
    </row>
    <row r="2285" spans="1:3" x14ac:dyDescent="0.25">
      <c r="A2285" s="238">
        <v>40210</v>
      </c>
      <c r="B2285" s="239">
        <v>1796.67</v>
      </c>
      <c r="C2285" s="242">
        <f t="shared" si="35"/>
        <v>1.4164757145298936E-2</v>
      </c>
    </row>
    <row r="2286" spans="1:3" x14ac:dyDescent="0.25">
      <c r="A2286" s="238">
        <v>40211</v>
      </c>
      <c r="B2286" s="239">
        <v>1819.99</v>
      </c>
      <c r="C2286" s="242">
        <f t="shared" si="35"/>
        <v>1.2896055029469946E-2</v>
      </c>
    </row>
    <row r="2287" spans="1:3" x14ac:dyDescent="0.25">
      <c r="A2287" s="238">
        <v>40212</v>
      </c>
      <c r="B2287" s="239">
        <v>1810.64</v>
      </c>
      <c r="C2287" s="242">
        <f t="shared" si="35"/>
        <v>-5.1506326287812983E-3</v>
      </c>
    </row>
    <row r="2288" spans="1:3" x14ac:dyDescent="0.25">
      <c r="A2288" s="238">
        <v>40213</v>
      </c>
      <c r="B2288" s="239">
        <v>1754.3</v>
      </c>
      <c r="C2288" s="242">
        <f t="shared" si="35"/>
        <v>-3.161045698633138E-2</v>
      </c>
    </row>
    <row r="2289" spans="1:3" x14ac:dyDescent="0.25">
      <c r="A2289" s="238">
        <v>40214</v>
      </c>
      <c r="B2289" s="239">
        <v>1759.38</v>
      </c>
      <c r="C2289" s="242">
        <f t="shared" si="35"/>
        <v>2.8915573071727481E-3</v>
      </c>
    </row>
    <row r="2290" spans="1:3" x14ac:dyDescent="0.25">
      <c r="A2290" s="238">
        <v>40217</v>
      </c>
      <c r="B2290" s="239">
        <v>1744.3700000000001</v>
      </c>
      <c r="C2290" s="242">
        <f t="shared" si="35"/>
        <v>-8.5680153119778949E-3</v>
      </c>
    </row>
    <row r="2291" spans="1:3" x14ac:dyDescent="0.25">
      <c r="A2291" s="238">
        <v>40218</v>
      </c>
      <c r="B2291" s="239">
        <v>1767.18</v>
      </c>
      <c r="C2291" s="242">
        <f t="shared" si="35"/>
        <v>1.2991596773369817E-2</v>
      </c>
    </row>
    <row r="2292" spans="1:3" x14ac:dyDescent="0.25">
      <c r="A2292" s="238">
        <v>40219</v>
      </c>
      <c r="B2292" s="239">
        <v>1763.69</v>
      </c>
      <c r="C2292" s="242">
        <f t="shared" si="35"/>
        <v>-1.9768505419676258E-3</v>
      </c>
    </row>
    <row r="2293" spans="1:3" x14ac:dyDescent="0.25">
      <c r="A2293" s="238">
        <v>40220</v>
      </c>
      <c r="B2293" s="239">
        <v>1781.01</v>
      </c>
      <c r="C2293" s="242">
        <f t="shared" si="35"/>
        <v>9.7724139352953661E-3</v>
      </c>
    </row>
    <row r="2294" spans="1:3" x14ac:dyDescent="0.25">
      <c r="A2294" s="238">
        <v>40221</v>
      </c>
      <c r="B2294" s="239">
        <v>1776.5</v>
      </c>
      <c r="C2294" s="242">
        <f t="shared" si="35"/>
        <v>-2.5354826359498782E-3</v>
      </c>
    </row>
    <row r="2295" spans="1:3" x14ac:dyDescent="0.25">
      <c r="A2295" s="238">
        <v>40225</v>
      </c>
      <c r="B2295" s="239">
        <v>1808.72</v>
      </c>
      <c r="C2295" s="242">
        <f t="shared" si="35"/>
        <v>1.7974276306979127E-2</v>
      </c>
    </row>
    <row r="2296" spans="1:3" x14ac:dyDescent="0.25">
      <c r="A2296" s="238">
        <v>40226</v>
      </c>
      <c r="B2296" s="239">
        <v>1816.7</v>
      </c>
      <c r="C2296" s="242">
        <f t="shared" si="35"/>
        <v>4.4022556766385905E-3</v>
      </c>
    </row>
    <row r="2297" spans="1:3" x14ac:dyDescent="0.25">
      <c r="A2297" s="238">
        <v>40227</v>
      </c>
      <c r="B2297" s="239">
        <v>1828.81</v>
      </c>
      <c r="C2297" s="242">
        <f t="shared" si="35"/>
        <v>6.6438136473885821E-3</v>
      </c>
    </row>
    <row r="2298" spans="1:3" x14ac:dyDescent="0.25">
      <c r="A2298" s="238">
        <v>40228</v>
      </c>
      <c r="B2298" s="239">
        <v>1833.0900000000001</v>
      </c>
      <c r="C2298" s="242">
        <f t="shared" si="35"/>
        <v>2.3375853785934761E-3</v>
      </c>
    </row>
    <row r="2299" spans="1:3" x14ac:dyDescent="0.25">
      <c r="A2299" s="238">
        <v>40231</v>
      </c>
      <c r="B2299" s="239">
        <v>1831.21</v>
      </c>
      <c r="C2299" s="242">
        <f t="shared" si="35"/>
        <v>-1.0261169472788481E-3</v>
      </c>
    </row>
    <row r="2300" spans="1:3" x14ac:dyDescent="0.25">
      <c r="A2300" s="238">
        <v>40232</v>
      </c>
      <c r="B2300" s="239">
        <v>1809.05</v>
      </c>
      <c r="C2300" s="242">
        <f t="shared" si="35"/>
        <v>-1.2175104930195295E-2</v>
      </c>
    </row>
    <row r="2301" spans="1:3" x14ac:dyDescent="0.25">
      <c r="A2301" s="238">
        <v>40233</v>
      </c>
      <c r="B2301" s="239">
        <v>1826.98</v>
      </c>
      <c r="C2301" s="242">
        <f t="shared" si="35"/>
        <v>9.8624848173829213E-3</v>
      </c>
    </row>
    <row r="2302" spans="1:3" x14ac:dyDescent="0.25">
      <c r="A2302" s="238">
        <v>40234</v>
      </c>
      <c r="B2302" s="239">
        <v>1823.64</v>
      </c>
      <c r="C2302" s="242">
        <f t="shared" si="35"/>
        <v>-1.829826677076116E-3</v>
      </c>
    </row>
    <row r="2303" spans="1:3" x14ac:dyDescent="0.25">
      <c r="A2303" s="238">
        <v>40235</v>
      </c>
      <c r="B2303" s="239">
        <v>1826.27</v>
      </c>
      <c r="C2303" s="242">
        <f t="shared" si="35"/>
        <v>1.4411316745774625E-3</v>
      </c>
    </row>
    <row r="2304" spans="1:3" x14ac:dyDescent="0.25">
      <c r="A2304" s="238">
        <v>40238</v>
      </c>
      <c r="B2304" s="239">
        <v>1844.8700000000001</v>
      </c>
      <c r="C2304" s="242">
        <f t="shared" si="35"/>
        <v>1.0133178879456953E-2</v>
      </c>
    </row>
    <row r="2305" spans="1:3" x14ac:dyDescent="0.25">
      <c r="A2305" s="238">
        <v>40239</v>
      </c>
      <c r="B2305" s="239">
        <v>1849.17</v>
      </c>
      <c r="C2305" s="242">
        <f t="shared" si="35"/>
        <v>2.3280754632560709E-3</v>
      </c>
    </row>
    <row r="2306" spans="1:3" x14ac:dyDescent="0.25">
      <c r="A2306" s="238">
        <v>40240</v>
      </c>
      <c r="B2306" s="239">
        <v>1850.24</v>
      </c>
      <c r="C2306" s="242">
        <f t="shared" si="35"/>
        <v>5.784706371219743E-4</v>
      </c>
    </row>
    <row r="2307" spans="1:3" x14ac:dyDescent="0.25">
      <c r="A2307" s="238">
        <v>40241</v>
      </c>
      <c r="B2307" s="239">
        <v>1857.2</v>
      </c>
      <c r="C2307" s="242">
        <f t="shared" si="35"/>
        <v>3.7546167578400812E-3</v>
      </c>
    </row>
    <row r="2308" spans="1:3" x14ac:dyDescent="0.25">
      <c r="A2308" s="238">
        <v>40242</v>
      </c>
      <c r="B2308" s="239">
        <v>1883.28</v>
      </c>
      <c r="C2308" s="242">
        <f t="shared" si="35"/>
        <v>1.3944960341560687E-2</v>
      </c>
    </row>
    <row r="2309" spans="1:3" x14ac:dyDescent="0.25">
      <c r="A2309" s="238">
        <v>40245</v>
      </c>
      <c r="B2309" s="239">
        <v>1883.29</v>
      </c>
      <c r="C2309" s="242">
        <f t="shared" ref="C2309:C2372" si="36">LN(B2309/B2308)</f>
        <v>5.3098707843990267E-6</v>
      </c>
    </row>
    <row r="2310" spans="1:3" x14ac:dyDescent="0.25">
      <c r="A2310" s="238">
        <v>40246</v>
      </c>
      <c r="B2310" s="239">
        <v>1886.6000000000001</v>
      </c>
      <c r="C2310" s="242">
        <f t="shared" si="36"/>
        <v>1.7560198576411841E-3</v>
      </c>
    </row>
    <row r="2311" spans="1:3" x14ac:dyDescent="0.25">
      <c r="A2311" s="238">
        <v>40247</v>
      </c>
      <c r="B2311" s="239">
        <v>1895.38</v>
      </c>
      <c r="C2311" s="242">
        <f t="shared" si="36"/>
        <v>4.6430789022667085E-3</v>
      </c>
    </row>
    <row r="2312" spans="1:3" x14ac:dyDescent="0.25">
      <c r="A2312" s="238">
        <v>40248</v>
      </c>
      <c r="B2312" s="239">
        <v>1903.68</v>
      </c>
      <c r="C2312" s="242">
        <f t="shared" si="36"/>
        <v>4.3695088815212321E-3</v>
      </c>
    </row>
    <row r="2313" spans="1:3" x14ac:dyDescent="0.25">
      <c r="A2313" s="238">
        <v>40249</v>
      </c>
      <c r="B2313" s="239">
        <v>1903.29</v>
      </c>
      <c r="C2313" s="242">
        <f t="shared" si="36"/>
        <v>-2.0488735207499625E-4</v>
      </c>
    </row>
    <row r="2314" spans="1:3" x14ac:dyDescent="0.25">
      <c r="A2314" s="238">
        <v>40252</v>
      </c>
      <c r="B2314" s="239">
        <v>1904.19</v>
      </c>
      <c r="C2314" s="242">
        <f t="shared" si="36"/>
        <v>4.7275364112874359E-4</v>
      </c>
    </row>
    <row r="2315" spans="1:3" x14ac:dyDescent="0.25">
      <c r="A2315" s="238">
        <v>40253</v>
      </c>
      <c r="B2315" s="239">
        <v>1919.02</v>
      </c>
      <c r="C2315" s="242">
        <f t="shared" si="36"/>
        <v>7.7579177596367836E-3</v>
      </c>
    </row>
    <row r="2316" spans="1:3" x14ac:dyDescent="0.25">
      <c r="A2316" s="238">
        <v>40254</v>
      </c>
      <c r="B2316" s="239">
        <v>1930.22</v>
      </c>
      <c r="C2316" s="242">
        <f t="shared" si="36"/>
        <v>5.8193469916806035E-3</v>
      </c>
    </row>
    <row r="2317" spans="1:3" x14ac:dyDescent="0.25">
      <c r="A2317" s="238">
        <v>40255</v>
      </c>
      <c r="B2317" s="239">
        <v>1929.63</v>
      </c>
      <c r="C2317" s="242">
        <f t="shared" si="36"/>
        <v>-3.0571136422138294E-4</v>
      </c>
    </row>
    <row r="2318" spans="1:3" x14ac:dyDescent="0.25">
      <c r="A2318" s="238">
        <v>40256</v>
      </c>
      <c r="B2318" s="239">
        <v>1919.8</v>
      </c>
      <c r="C2318" s="242">
        <f t="shared" si="36"/>
        <v>-5.1072607462540097E-3</v>
      </c>
    </row>
    <row r="2319" spans="1:3" x14ac:dyDescent="0.25">
      <c r="A2319" s="238">
        <v>40259</v>
      </c>
      <c r="B2319" s="239">
        <v>1929.64</v>
      </c>
      <c r="C2319" s="242">
        <f t="shared" si="36"/>
        <v>5.112443073481754E-3</v>
      </c>
    </row>
    <row r="2320" spans="1:3" x14ac:dyDescent="0.25">
      <c r="A2320" s="238">
        <v>40260</v>
      </c>
      <c r="B2320" s="239">
        <v>1943.7</v>
      </c>
      <c r="C2320" s="242">
        <f t="shared" si="36"/>
        <v>7.2599161211031396E-3</v>
      </c>
    </row>
    <row r="2321" spans="1:3" x14ac:dyDescent="0.25">
      <c r="A2321" s="238">
        <v>40261</v>
      </c>
      <c r="B2321" s="239">
        <v>1933.04</v>
      </c>
      <c r="C2321" s="242">
        <f t="shared" si="36"/>
        <v>-5.4994799068226932E-3</v>
      </c>
    </row>
    <row r="2322" spans="1:3" x14ac:dyDescent="0.25">
      <c r="A2322" s="238">
        <v>40262</v>
      </c>
      <c r="B2322" s="239">
        <v>1929.75</v>
      </c>
      <c r="C2322" s="242">
        <f t="shared" si="36"/>
        <v>-1.7034323872353325E-3</v>
      </c>
    </row>
    <row r="2323" spans="1:3" x14ac:dyDescent="0.25">
      <c r="A2323" s="238">
        <v>40263</v>
      </c>
      <c r="B2323" s="239">
        <v>1931.18</v>
      </c>
      <c r="C2323" s="242">
        <f t="shared" si="36"/>
        <v>7.4075420449939587E-4</v>
      </c>
    </row>
    <row r="2324" spans="1:3" x14ac:dyDescent="0.25">
      <c r="A2324" s="238">
        <v>40266</v>
      </c>
      <c r="B2324" s="239">
        <v>1942.51</v>
      </c>
      <c r="C2324" s="242">
        <f t="shared" si="36"/>
        <v>5.849736199236893E-3</v>
      </c>
    </row>
    <row r="2325" spans="1:3" x14ac:dyDescent="0.25">
      <c r="A2325" s="238">
        <v>40267</v>
      </c>
      <c r="B2325" s="239">
        <v>1942.81</v>
      </c>
      <c r="C2325" s="242">
        <f t="shared" si="36"/>
        <v>1.5442743485539258E-4</v>
      </c>
    </row>
    <row r="2326" spans="1:3" x14ac:dyDescent="0.25">
      <c r="A2326" s="238">
        <v>40268</v>
      </c>
      <c r="B2326" s="239">
        <v>1936.48</v>
      </c>
      <c r="C2326" s="242">
        <f t="shared" si="36"/>
        <v>-3.2634866782612452E-3</v>
      </c>
    </row>
    <row r="2327" spans="1:3" x14ac:dyDescent="0.25">
      <c r="A2327" s="238">
        <v>40269</v>
      </c>
      <c r="B2327" s="239">
        <v>1950.91</v>
      </c>
      <c r="C2327" s="242">
        <f t="shared" si="36"/>
        <v>7.4240383791412323E-3</v>
      </c>
    </row>
    <row r="2328" spans="1:3" x14ac:dyDescent="0.25">
      <c r="A2328" s="238">
        <v>40273</v>
      </c>
      <c r="B2328" s="239">
        <v>1966.44</v>
      </c>
      <c r="C2328" s="242">
        <f t="shared" si="36"/>
        <v>7.9288709766980655E-3</v>
      </c>
    </row>
    <row r="2329" spans="1:3" x14ac:dyDescent="0.25">
      <c r="A2329" s="238">
        <v>40274</v>
      </c>
      <c r="B2329" s="239">
        <v>1969.76</v>
      </c>
      <c r="C2329" s="242">
        <f t="shared" si="36"/>
        <v>1.6869065531718392E-3</v>
      </c>
    </row>
    <row r="2330" spans="1:3" x14ac:dyDescent="0.25">
      <c r="A2330" s="238">
        <v>40275</v>
      </c>
      <c r="B2330" s="239">
        <v>1959.04</v>
      </c>
      <c r="C2330" s="242">
        <f t="shared" si="36"/>
        <v>-5.4571505823118446E-3</v>
      </c>
    </row>
    <row r="2331" spans="1:3" x14ac:dyDescent="0.25">
      <c r="A2331" s="238">
        <v>40276</v>
      </c>
      <c r="B2331" s="239">
        <v>1965.72</v>
      </c>
      <c r="C2331" s="242">
        <f t="shared" si="36"/>
        <v>3.4040330875474128E-3</v>
      </c>
    </row>
    <row r="2332" spans="1:3" x14ac:dyDescent="0.25">
      <c r="A2332" s="238">
        <v>40277</v>
      </c>
      <c r="B2332" s="239">
        <v>1978.8600000000001</v>
      </c>
      <c r="C2332" s="242">
        <f t="shared" si="36"/>
        <v>6.6623308962419966E-3</v>
      </c>
    </row>
    <row r="2333" spans="1:3" x14ac:dyDescent="0.25">
      <c r="A2333" s="238">
        <v>40280</v>
      </c>
      <c r="B2333" s="239">
        <v>1982.4</v>
      </c>
      <c r="C2333" s="242">
        <f t="shared" si="36"/>
        <v>1.7873105740956587E-3</v>
      </c>
    </row>
    <row r="2334" spans="1:3" x14ac:dyDescent="0.25">
      <c r="A2334" s="238">
        <v>40281</v>
      </c>
      <c r="B2334" s="239">
        <v>1983.91</v>
      </c>
      <c r="C2334" s="242">
        <f t="shared" si="36"/>
        <v>7.6141303778662654E-4</v>
      </c>
    </row>
    <row r="2335" spans="1:3" x14ac:dyDescent="0.25">
      <c r="A2335" s="238">
        <v>40282</v>
      </c>
      <c r="B2335" s="239">
        <v>2006.06</v>
      </c>
      <c r="C2335" s="242">
        <f t="shared" si="36"/>
        <v>1.110295443110524E-2</v>
      </c>
    </row>
    <row r="2336" spans="1:3" x14ac:dyDescent="0.25">
      <c r="A2336" s="238">
        <v>40283</v>
      </c>
      <c r="B2336" s="239">
        <v>2007.74</v>
      </c>
      <c r="C2336" s="242">
        <f t="shared" si="36"/>
        <v>8.3711201260943746E-4</v>
      </c>
    </row>
    <row r="2337" spans="1:3" x14ac:dyDescent="0.25">
      <c r="A2337" s="238">
        <v>40284</v>
      </c>
      <c r="B2337" s="239">
        <v>1975.3600000000001</v>
      </c>
      <c r="C2337" s="242">
        <f t="shared" si="36"/>
        <v>-1.6259051150848417E-2</v>
      </c>
    </row>
    <row r="2338" spans="1:3" x14ac:dyDescent="0.25">
      <c r="A2338" s="238">
        <v>40287</v>
      </c>
      <c r="B2338" s="239">
        <v>1984.32</v>
      </c>
      <c r="C2338" s="242">
        <f t="shared" si="36"/>
        <v>4.5256259559820419E-3</v>
      </c>
    </row>
    <row r="2339" spans="1:3" x14ac:dyDescent="0.25">
      <c r="A2339" s="238">
        <v>40288</v>
      </c>
      <c r="B2339" s="239">
        <v>2000.3300000000002</v>
      </c>
      <c r="C2339" s="242">
        <f t="shared" si="36"/>
        <v>8.0358807695665915E-3</v>
      </c>
    </row>
    <row r="2340" spans="1:3" x14ac:dyDescent="0.25">
      <c r="A2340" s="238">
        <v>40289</v>
      </c>
      <c r="B2340" s="239">
        <v>1998.31</v>
      </c>
      <c r="C2340" s="242">
        <f t="shared" si="36"/>
        <v>-1.0103436027418923E-3</v>
      </c>
    </row>
    <row r="2341" spans="1:3" x14ac:dyDescent="0.25">
      <c r="A2341" s="238">
        <v>40290</v>
      </c>
      <c r="B2341" s="239">
        <v>2002.93</v>
      </c>
      <c r="C2341" s="242">
        <f t="shared" si="36"/>
        <v>2.3092851481676282E-3</v>
      </c>
    </row>
    <row r="2342" spans="1:3" x14ac:dyDescent="0.25">
      <c r="A2342" s="238">
        <v>40291</v>
      </c>
      <c r="B2342" s="239">
        <v>2017.19</v>
      </c>
      <c r="C2342" s="242">
        <f t="shared" si="36"/>
        <v>7.0943453471301885E-3</v>
      </c>
    </row>
    <row r="2343" spans="1:3" x14ac:dyDescent="0.25">
      <c r="A2343" s="238">
        <v>40294</v>
      </c>
      <c r="B2343" s="239">
        <v>2008.55</v>
      </c>
      <c r="C2343" s="242">
        <f t="shared" si="36"/>
        <v>-4.2923851345027823E-3</v>
      </c>
    </row>
    <row r="2344" spans="1:3" x14ac:dyDescent="0.25">
      <c r="A2344" s="238">
        <v>40295</v>
      </c>
      <c r="B2344" s="239">
        <v>1961.6000000000001</v>
      </c>
      <c r="C2344" s="242">
        <f t="shared" si="36"/>
        <v>-2.3652601947240601E-2</v>
      </c>
    </row>
    <row r="2345" spans="1:3" x14ac:dyDescent="0.25">
      <c r="A2345" s="238">
        <v>40296</v>
      </c>
      <c r="B2345" s="239">
        <v>1974.63</v>
      </c>
      <c r="C2345" s="242">
        <f t="shared" si="36"/>
        <v>6.620572270516354E-3</v>
      </c>
    </row>
    <row r="2346" spans="1:3" x14ac:dyDescent="0.25">
      <c r="A2346" s="238">
        <v>40297</v>
      </c>
      <c r="B2346" s="239">
        <v>2000.3400000000001</v>
      </c>
      <c r="C2346" s="242">
        <f t="shared" si="36"/>
        <v>1.2936127081311343E-2</v>
      </c>
    </row>
    <row r="2347" spans="1:3" x14ac:dyDescent="0.25">
      <c r="A2347" s="238">
        <v>40298</v>
      </c>
      <c r="B2347" s="239">
        <v>1967.05</v>
      </c>
      <c r="C2347" s="242">
        <f t="shared" si="36"/>
        <v>-1.6782207607291662E-2</v>
      </c>
    </row>
    <row r="2348" spans="1:3" x14ac:dyDescent="0.25">
      <c r="A2348" s="238">
        <v>40301</v>
      </c>
      <c r="B2348" s="239">
        <v>1992.8700000000001</v>
      </c>
      <c r="C2348" s="242">
        <f t="shared" si="36"/>
        <v>1.3040852299861863E-2</v>
      </c>
    </row>
    <row r="2349" spans="1:3" x14ac:dyDescent="0.25">
      <c r="A2349" s="238">
        <v>40302</v>
      </c>
      <c r="B2349" s="239">
        <v>1945.3700000000001</v>
      </c>
      <c r="C2349" s="242">
        <f t="shared" si="36"/>
        <v>-2.4123620462966722E-2</v>
      </c>
    </row>
    <row r="2350" spans="1:3" x14ac:dyDescent="0.25">
      <c r="A2350" s="238">
        <v>40303</v>
      </c>
      <c r="B2350" s="239">
        <v>1933.25</v>
      </c>
      <c r="C2350" s="242">
        <f t="shared" si="36"/>
        <v>-6.2496658341784804E-3</v>
      </c>
    </row>
    <row r="2351" spans="1:3" x14ac:dyDescent="0.25">
      <c r="A2351" s="238">
        <v>40304</v>
      </c>
      <c r="B2351" s="239">
        <v>1870.95</v>
      </c>
      <c r="C2351" s="242">
        <f t="shared" si="36"/>
        <v>-3.2756201249316969E-2</v>
      </c>
    </row>
    <row r="2352" spans="1:3" x14ac:dyDescent="0.25">
      <c r="A2352" s="238">
        <v>40305</v>
      </c>
      <c r="B2352" s="239">
        <v>1842.32</v>
      </c>
      <c r="C2352" s="242">
        <f t="shared" si="36"/>
        <v>-1.5420676300067127E-2</v>
      </c>
    </row>
    <row r="2353" spans="1:3" x14ac:dyDescent="0.25">
      <c r="A2353" s="238">
        <v>40308</v>
      </c>
      <c r="B2353" s="239">
        <v>1923.39</v>
      </c>
      <c r="C2353" s="242">
        <f t="shared" si="36"/>
        <v>4.3063607198558548E-2</v>
      </c>
    </row>
    <row r="2354" spans="1:3" x14ac:dyDescent="0.25">
      <c r="A2354" s="238">
        <v>40309</v>
      </c>
      <c r="B2354" s="239">
        <v>1917.25</v>
      </c>
      <c r="C2354" s="242">
        <f t="shared" si="36"/>
        <v>-3.1973864933506221E-3</v>
      </c>
    </row>
    <row r="2355" spans="1:3" x14ac:dyDescent="0.25">
      <c r="A2355" s="238">
        <v>40310</v>
      </c>
      <c r="B2355" s="239">
        <v>1944.25</v>
      </c>
      <c r="C2355" s="242">
        <f t="shared" si="36"/>
        <v>1.3984430930084051E-2</v>
      </c>
    </row>
    <row r="2356" spans="1:3" x14ac:dyDescent="0.25">
      <c r="A2356" s="238">
        <v>40311</v>
      </c>
      <c r="B2356" s="239">
        <v>1920.76</v>
      </c>
      <c r="C2356" s="242">
        <f t="shared" si="36"/>
        <v>-1.2155357541238589E-2</v>
      </c>
    </row>
    <row r="2357" spans="1:3" x14ac:dyDescent="0.25">
      <c r="A2357" s="238">
        <v>40312</v>
      </c>
      <c r="B2357" s="239">
        <v>1884.67</v>
      </c>
      <c r="C2357" s="242">
        <f t="shared" si="36"/>
        <v>-1.896820179059595E-2</v>
      </c>
    </row>
    <row r="2358" spans="1:3" x14ac:dyDescent="0.25">
      <c r="A2358" s="238">
        <v>40315</v>
      </c>
      <c r="B2358" s="239">
        <v>1887.1100000000001</v>
      </c>
      <c r="C2358" s="242">
        <f t="shared" si="36"/>
        <v>1.2938190140323674E-3</v>
      </c>
    </row>
    <row r="2359" spans="1:3" x14ac:dyDescent="0.25">
      <c r="A2359" s="238">
        <v>40316</v>
      </c>
      <c r="B2359" s="239">
        <v>1860.65</v>
      </c>
      <c r="C2359" s="242">
        <f t="shared" si="36"/>
        <v>-1.412066923216241E-2</v>
      </c>
    </row>
    <row r="2360" spans="1:3" x14ac:dyDescent="0.25">
      <c r="A2360" s="238">
        <v>40317</v>
      </c>
      <c r="B2360" s="239">
        <v>1851.28</v>
      </c>
      <c r="C2360" s="242">
        <f t="shared" si="36"/>
        <v>-5.0485973076718005E-3</v>
      </c>
    </row>
    <row r="2361" spans="1:3" x14ac:dyDescent="0.25">
      <c r="A2361" s="238">
        <v>40318</v>
      </c>
      <c r="B2361" s="239">
        <v>1779.3</v>
      </c>
      <c r="C2361" s="242">
        <f t="shared" si="36"/>
        <v>-3.9657263204625717E-2</v>
      </c>
    </row>
    <row r="2362" spans="1:3" x14ac:dyDescent="0.25">
      <c r="A2362" s="238">
        <v>40319</v>
      </c>
      <c r="B2362" s="239">
        <v>1806.04</v>
      </c>
      <c r="C2362" s="242">
        <f t="shared" si="36"/>
        <v>1.4916574613109494E-2</v>
      </c>
    </row>
    <row r="2363" spans="1:3" x14ac:dyDescent="0.25">
      <c r="A2363" s="238">
        <v>40322</v>
      </c>
      <c r="B2363" s="239">
        <v>1782.76</v>
      </c>
      <c r="C2363" s="242">
        <f t="shared" si="36"/>
        <v>-1.2973877921762158E-2</v>
      </c>
    </row>
    <row r="2364" spans="1:3" x14ac:dyDescent="0.25">
      <c r="A2364" s="238">
        <v>40323</v>
      </c>
      <c r="B2364" s="239">
        <v>1783.39</v>
      </c>
      <c r="C2364" s="242">
        <f t="shared" si="36"/>
        <v>3.5332221390249136E-4</v>
      </c>
    </row>
    <row r="2365" spans="1:3" x14ac:dyDescent="0.25">
      <c r="A2365" s="238">
        <v>40324</v>
      </c>
      <c r="B2365" s="239">
        <v>1773.64</v>
      </c>
      <c r="C2365" s="242">
        <f t="shared" si="36"/>
        <v>-5.4821153707046953E-3</v>
      </c>
    </row>
    <row r="2366" spans="1:3" x14ac:dyDescent="0.25">
      <c r="A2366" s="238">
        <v>40325</v>
      </c>
      <c r="B2366" s="239">
        <v>1832.6000000000001</v>
      </c>
      <c r="C2366" s="242">
        <f t="shared" si="36"/>
        <v>3.2701791483777332E-2</v>
      </c>
    </row>
    <row r="2367" spans="1:3" x14ac:dyDescent="0.25">
      <c r="A2367" s="238">
        <v>40326</v>
      </c>
      <c r="B2367" s="239">
        <v>1809.97</v>
      </c>
      <c r="C2367" s="242">
        <f t="shared" si="36"/>
        <v>-1.2425452994236792E-2</v>
      </c>
    </row>
    <row r="2368" spans="1:3" x14ac:dyDescent="0.25">
      <c r="A2368" s="238">
        <v>40330</v>
      </c>
      <c r="B2368" s="239">
        <v>1778.99</v>
      </c>
      <c r="C2368" s="242">
        <f t="shared" si="36"/>
        <v>-1.7264483022308982E-2</v>
      </c>
    </row>
    <row r="2369" spans="1:3" x14ac:dyDescent="0.25">
      <c r="A2369" s="238">
        <v>40331</v>
      </c>
      <c r="B2369" s="239">
        <v>1825.25</v>
      </c>
      <c r="C2369" s="242">
        <f t="shared" si="36"/>
        <v>2.5671176421628063E-2</v>
      </c>
    </row>
    <row r="2370" spans="1:3" x14ac:dyDescent="0.25">
      <c r="A2370" s="238">
        <v>40332</v>
      </c>
      <c r="B2370" s="239">
        <v>1832.72</v>
      </c>
      <c r="C2370" s="242">
        <f t="shared" si="36"/>
        <v>4.0842381888975647E-3</v>
      </c>
    </row>
    <row r="2371" spans="1:3" x14ac:dyDescent="0.25">
      <c r="A2371" s="238">
        <v>40333</v>
      </c>
      <c r="B2371" s="239">
        <v>1769.71</v>
      </c>
      <c r="C2371" s="242">
        <f t="shared" si="36"/>
        <v>-3.4985510788662591E-2</v>
      </c>
    </row>
    <row r="2372" spans="1:3" x14ac:dyDescent="0.25">
      <c r="A2372" s="238">
        <v>40336</v>
      </c>
      <c r="B2372" s="239">
        <v>1745.8700000000001</v>
      </c>
      <c r="C2372" s="242">
        <f t="shared" si="36"/>
        <v>-1.3562692608058681E-2</v>
      </c>
    </row>
    <row r="2373" spans="1:3" x14ac:dyDescent="0.25">
      <c r="A2373" s="238">
        <v>40337</v>
      </c>
      <c r="B2373" s="239">
        <v>1765.28</v>
      </c>
      <c r="C2373" s="242">
        <f t="shared" ref="C2373:C2436" si="37">LN(B2373/B2372)</f>
        <v>1.1056319283624544E-2</v>
      </c>
    </row>
    <row r="2374" spans="1:3" x14ac:dyDescent="0.25">
      <c r="A2374" s="238">
        <v>40338</v>
      </c>
      <c r="B2374" s="239">
        <v>1754.9</v>
      </c>
      <c r="C2374" s="242">
        <f t="shared" si="37"/>
        <v>-5.8974427924349173E-3</v>
      </c>
    </row>
    <row r="2375" spans="1:3" x14ac:dyDescent="0.25">
      <c r="A2375" s="238">
        <v>40339</v>
      </c>
      <c r="B2375" s="239">
        <v>1806.69</v>
      </c>
      <c r="C2375" s="242">
        <f t="shared" si="37"/>
        <v>2.9084566591772866E-2</v>
      </c>
    </row>
    <row r="2376" spans="1:3" x14ac:dyDescent="0.25">
      <c r="A2376" s="238">
        <v>40340</v>
      </c>
      <c r="B2376" s="239">
        <v>1815.25</v>
      </c>
      <c r="C2376" s="242">
        <f t="shared" si="37"/>
        <v>4.7267574490221283E-3</v>
      </c>
    </row>
    <row r="2377" spans="1:3" x14ac:dyDescent="0.25">
      <c r="A2377" s="238">
        <v>40343</v>
      </c>
      <c r="B2377" s="239">
        <v>1812.02</v>
      </c>
      <c r="C2377" s="242">
        <f t="shared" si="37"/>
        <v>-1.7809541907507175E-3</v>
      </c>
    </row>
    <row r="2378" spans="1:3" x14ac:dyDescent="0.25">
      <c r="A2378" s="238">
        <v>40344</v>
      </c>
      <c r="B2378" s="239">
        <v>1854.6100000000001</v>
      </c>
      <c r="C2378" s="242">
        <f t="shared" si="37"/>
        <v>2.32321862802581E-2</v>
      </c>
    </row>
    <row r="2379" spans="1:3" x14ac:dyDescent="0.25">
      <c r="A2379" s="238">
        <v>40345</v>
      </c>
      <c r="B2379" s="239">
        <v>1853.6200000000001</v>
      </c>
      <c r="C2379" s="242">
        <f t="shared" si="37"/>
        <v>-5.3394747549144049E-4</v>
      </c>
    </row>
    <row r="2380" spans="1:3" x14ac:dyDescent="0.25">
      <c r="A2380" s="238">
        <v>40346</v>
      </c>
      <c r="B2380" s="239">
        <v>1856.24</v>
      </c>
      <c r="C2380" s="242">
        <f t="shared" si="37"/>
        <v>1.4124524567395119E-3</v>
      </c>
    </row>
    <row r="2381" spans="1:3" x14ac:dyDescent="0.25">
      <c r="A2381" s="238">
        <v>40347</v>
      </c>
      <c r="B2381" s="239">
        <v>1858.7</v>
      </c>
      <c r="C2381" s="242">
        <f t="shared" si="37"/>
        <v>1.3243822831958765E-3</v>
      </c>
    </row>
    <row r="2382" spans="1:3" x14ac:dyDescent="0.25">
      <c r="A2382" s="238">
        <v>40350</v>
      </c>
      <c r="B2382" s="239">
        <v>1851.54</v>
      </c>
      <c r="C2382" s="242">
        <f t="shared" si="37"/>
        <v>-3.8595933892253765E-3</v>
      </c>
    </row>
    <row r="2383" spans="1:3" x14ac:dyDescent="0.25">
      <c r="A2383" s="238">
        <v>40351</v>
      </c>
      <c r="B2383" s="239">
        <v>1822.04</v>
      </c>
      <c r="C2383" s="242">
        <f t="shared" si="37"/>
        <v>-1.6060972749344978E-2</v>
      </c>
    </row>
    <row r="2384" spans="1:3" x14ac:dyDescent="0.25">
      <c r="A2384" s="238">
        <v>40352</v>
      </c>
      <c r="B2384" s="239">
        <v>1816.64</v>
      </c>
      <c r="C2384" s="242">
        <f t="shared" si="37"/>
        <v>-2.9681114933756167E-3</v>
      </c>
    </row>
    <row r="2385" spans="1:3" x14ac:dyDescent="0.25">
      <c r="A2385" s="238">
        <v>40353</v>
      </c>
      <c r="B2385" s="239">
        <v>1786.13</v>
      </c>
      <c r="C2385" s="242">
        <f t="shared" si="37"/>
        <v>-1.6937372840997396E-2</v>
      </c>
    </row>
    <row r="2386" spans="1:3" x14ac:dyDescent="0.25">
      <c r="A2386" s="238">
        <v>40354</v>
      </c>
      <c r="B2386" s="239">
        <v>1791.24</v>
      </c>
      <c r="C2386" s="242">
        <f t="shared" si="37"/>
        <v>2.8568492917845144E-3</v>
      </c>
    </row>
    <row r="2387" spans="1:3" x14ac:dyDescent="0.25">
      <c r="A2387" s="238">
        <v>40357</v>
      </c>
      <c r="B2387" s="239">
        <v>1787.94</v>
      </c>
      <c r="C2387" s="242">
        <f t="shared" si="37"/>
        <v>-1.8439983097193683E-3</v>
      </c>
    </row>
    <row r="2388" spans="1:3" x14ac:dyDescent="0.25">
      <c r="A2388" s="238">
        <v>40358</v>
      </c>
      <c r="B2388" s="239">
        <v>1732.55</v>
      </c>
      <c r="C2388" s="242">
        <f t="shared" si="37"/>
        <v>-3.1469807446953664E-2</v>
      </c>
    </row>
    <row r="2389" spans="1:3" x14ac:dyDescent="0.25">
      <c r="A2389" s="238">
        <v>40359</v>
      </c>
      <c r="B2389" s="239">
        <v>1715.22</v>
      </c>
      <c r="C2389" s="242">
        <f t="shared" si="37"/>
        <v>-1.0052959420214119E-2</v>
      </c>
    </row>
    <row r="2390" spans="1:3" x14ac:dyDescent="0.25">
      <c r="A2390" s="238">
        <v>40360</v>
      </c>
      <c r="B2390" s="239">
        <v>1709.77</v>
      </c>
      <c r="C2390" s="242">
        <f t="shared" si="37"/>
        <v>-3.1824937298621215E-3</v>
      </c>
    </row>
    <row r="2391" spans="1:3" x14ac:dyDescent="0.25">
      <c r="A2391" s="238">
        <v>40361</v>
      </c>
      <c r="B2391" s="239">
        <v>1701.8500000000001</v>
      </c>
      <c r="C2391" s="242">
        <f t="shared" si="37"/>
        <v>-4.6429638867691676E-3</v>
      </c>
    </row>
    <row r="2392" spans="1:3" x14ac:dyDescent="0.25">
      <c r="A2392" s="238">
        <v>40365</v>
      </c>
      <c r="B2392" s="239">
        <v>1710.97</v>
      </c>
      <c r="C2392" s="242">
        <f t="shared" si="37"/>
        <v>5.3445664927695181E-3</v>
      </c>
    </row>
    <row r="2393" spans="1:3" x14ac:dyDescent="0.25">
      <c r="A2393" s="238">
        <v>40366</v>
      </c>
      <c r="B2393" s="239">
        <v>1765.42</v>
      </c>
      <c r="C2393" s="242">
        <f t="shared" si="37"/>
        <v>3.1328161266869776E-2</v>
      </c>
    </row>
    <row r="2394" spans="1:3" x14ac:dyDescent="0.25">
      <c r="A2394" s="238">
        <v>40367</v>
      </c>
      <c r="B2394" s="239">
        <v>1782.0900000000001</v>
      </c>
      <c r="C2394" s="242">
        <f t="shared" si="37"/>
        <v>9.3982104066530729E-3</v>
      </c>
    </row>
    <row r="2395" spans="1:3" x14ac:dyDescent="0.25">
      <c r="A2395" s="238">
        <v>40368</v>
      </c>
      <c r="B2395" s="239">
        <v>1794.93</v>
      </c>
      <c r="C2395" s="242">
        <f t="shared" si="37"/>
        <v>7.1791911415608001E-3</v>
      </c>
    </row>
    <row r="2396" spans="1:3" x14ac:dyDescent="0.25">
      <c r="A2396" s="238">
        <v>40371</v>
      </c>
      <c r="B2396" s="239">
        <v>1796.29</v>
      </c>
      <c r="C2396" s="242">
        <f t="shared" si="37"/>
        <v>7.5740281297986801E-4</v>
      </c>
    </row>
    <row r="2397" spans="1:3" x14ac:dyDescent="0.25">
      <c r="A2397" s="238">
        <v>40372</v>
      </c>
      <c r="B2397" s="239">
        <v>1824.07</v>
      </c>
      <c r="C2397" s="242">
        <f t="shared" si="37"/>
        <v>1.5346841330410362E-2</v>
      </c>
    </row>
    <row r="2398" spans="1:3" x14ac:dyDescent="0.25">
      <c r="A2398" s="238">
        <v>40373</v>
      </c>
      <c r="B2398" s="239">
        <v>1823.82</v>
      </c>
      <c r="C2398" s="242">
        <f t="shared" si="37"/>
        <v>-1.3706553673016893E-4</v>
      </c>
    </row>
    <row r="2399" spans="1:3" x14ac:dyDescent="0.25">
      <c r="A2399" s="238">
        <v>40374</v>
      </c>
      <c r="B2399" s="239">
        <v>1825.99</v>
      </c>
      <c r="C2399" s="242">
        <f t="shared" si="37"/>
        <v>1.1891031345150924E-3</v>
      </c>
    </row>
    <row r="2400" spans="1:3" x14ac:dyDescent="0.25">
      <c r="A2400" s="238">
        <v>40375</v>
      </c>
      <c r="B2400" s="239">
        <v>1773.42</v>
      </c>
      <c r="C2400" s="242">
        <f t="shared" si="37"/>
        <v>-2.921242003483299E-2</v>
      </c>
    </row>
    <row r="2401" spans="1:3" x14ac:dyDescent="0.25">
      <c r="A2401" s="238">
        <v>40378</v>
      </c>
      <c r="B2401" s="239">
        <v>1784.06</v>
      </c>
      <c r="C2401" s="242">
        <f t="shared" si="37"/>
        <v>5.9817802075719777E-3</v>
      </c>
    </row>
    <row r="2402" spans="1:3" x14ac:dyDescent="0.25">
      <c r="A2402" s="238">
        <v>40379</v>
      </c>
      <c r="B2402" s="239">
        <v>1804.47</v>
      </c>
      <c r="C2402" s="242">
        <f t="shared" si="37"/>
        <v>1.1375253979340321E-2</v>
      </c>
    </row>
    <row r="2403" spans="1:3" x14ac:dyDescent="0.25">
      <c r="A2403" s="238">
        <v>40380</v>
      </c>
      <c r="B2403" s="239">
        <v>1781.5900000000001</v>
      </c>
      <c r="C2403" s="242">
        <f t="shared" si="37"/>
        <v>-1.2760695845528179E-2</v>
      </c>
    </row>
    <row r="2404" spans="1:3" x14ac:dyDescent="0.25">
      <c r="A2404" s="238">
        <v>40381</v>
      </c>
      <c r="B2404" s="239">
        <v>1821.75</v>
      </c>
      <c r="C2404" s="242">
        <f t="shared" si="37"/>
        <v>2.2291353555181945E-2</v>
      </c>
    </row>
    <row r="2405" spans="1:3" x14ac:dyDescent="0.25">
      <c r="A2405" s="238">
        <v>40382</v>
      </c>
      <c r="B2405" s="239">
        <v>1836.75</v>
      </c>
      <c r="C2405" s="242">
        <f t="shared" si="37"/>
        <v>8.2001279499951969E-3</v>
      </c>
    </row>
    <row r="2406" spans="1:3" x14ac:dyDescent="0.25">
      <c r="A2406" s="238">
        <v>40385</v>
      </c>
      <c r="B2406" s="239">
        <v>1857.33</v>
      </c>
      <c r="C2406" s="242">
        <f t="shared" si="37"/>
        <v>1.1142267041864884E-2</v>
      </c>
    </row>
    <row r="2407" spans="1:3" x14ac:dyDescent="0.25">
      <c r="A2407" s="238">
        <v>40386</v>
      </c>
      <c r="B2407" s="239">
        <v>1855.38</v>
      </c>
      <c r="C2407" s="242">
        <f t="shared" si="37"/>
        <v>-1.0504457279497312E-3</v>
      </c>
    </row>
    <row r="2408" spans="1:3" x14ac:dyDescent="0.25">
      <c r="A2408" s="238">
        <v>40387</v>
      </c>
      <c r="B2408" s="239">
        <v>1842.65</v>
      </c>
      <c r="C2408" s="242">
        <f t="shared" si="37"/>
        <v>-6.8847739383289851E-3</v>
      </c>
    </row>
    <row r="2409" spans="1:3" x14ac:dyDescent="0.25">
      <c r="A2409" s="238">
        <v>40388</v>
      </c>
      <c r="B2409" s="239">
        <v>1835.29</v>
      </c>
      <c r="C2409" s="242">
        <f t="shared" si="37"/>
        <v>-4.002245726875883E-3</v>
      </c>
    </row>
    <row r="2410" spans="1:3" x14ac:dyDescent="0.25">
      <c r="A2410" s="238">
        <v>40389</v>
      </c>
      <c r="B2410" s="239">
        <v>1835.4</v>
      </c>
      <c r="C2410" s="242">
        <f t="shared" si="37"/>
        <v>5.9934235815598703E-5</v>
      </c>
    </row>
    <row r="2411" spans="1:3" x14ac:dyDescent="0.25">
      <c r="A2411" s="238">
        <v>40392</v>
      </c>
      <c r="B2411" s="239">
        <v>1875.8400000000001</v>
      </c>
      <c r="C2411" s="242">
        <f t="shared" si="37"/>
        <v>2.1794117697560161E-2</v>
      </c>
    </row>
    <row r="2412" spans="1:3" x14ac:dyDescent="0.25">
      <c r="A2412" s="238">
        <v>40393</v>
      </c>
      <c r="B2412" s="239">
        <v>1866.8600000000001</v>
      </c>
      <c r="C2412" s="242">
        <f t="shared" si="37"/>
        <v>-4.7986839619206835E-3</v>
      </c>
    </row>
    <row r="2413" spans="1:3" x14ac:dyDescent="0.25">
      <c r="A2413" s="238">
        <v>40394</v>
      </c>
      <c r="B2413" s="239">
        <v>1878.81</v>
      </c>
      <c r="C2413" s="242">
        <f t="shared" si="37"/>
        <v>6.3807225644291754E-3</v>
      </c>
    </row>
    <row r="2414" spans="1:3" x14ac:dyDescent="0.25">
      <c r="A2414" s="238">
        <v>40395</v>
      </c>
      <c r="B2414" s="239">
        <v>1876.51</v>
      </c>
      <c r="C2414" s="242">
        <f t="shared" si="37"/>
        <v>-1.2249290540281021E-3</v>
      </c>
    </row>
    <row r="2415" spans="1:3" x14ac:dyDescent="0.25">
      <c r="A2415" s="238">
        <v>40396</v>
      </c>
      <c r="B2415" s="239">
        <v>1869.76</v>
      </c>
      <c r="C2415" s="242">
        <f t="shared" si="37"/>
        <v>-3.6035882648811283E-3</v>
      </c>
    </row>
    <row r="2416" spans="1:3" x14ac:dyDescent="0.25">
      <c r="A2416" s="238">
        <v>40399</v>
      </c>
      <c r="B2416" s="239">
        <v>1880.05</v>
      </c>
      <c r="C2416" s="242">
        <f t="shared" si="37"/>
        <v>5.4882918489429023E-3</v>
      </c>
    </row>
    <row r="2417" spans="1:3" x14ac:dyDescent="0.25">
      <c r="A2417" s="238">
        <v>40400</v>
      </c>
      <c r="B2417" s="239">
        <v>1868.8700000000001</v>
      </c>
      <c r="C2417" s="242">
        <f t="shared" si="37"/>
        <v>-5.9644020908295077E-3</v>
      </c>
    </row>
    <row r="2418" spans="1:3" x14ac:dyDescent="0.25">
      <c r="A2418" s="238">
        <v>40401</v>
      </c>
      <c r="B2418" s="239">
        <v>1817.1200000000001</v>
      </c>
      <c r="C2418" s="242">
        <f t="shared" si="37"/>
        <v>-2.8081139980849438E-2</v>
      </c>
    </row>
    <row r="2419" spans="1:3" x14ac:dyDescent="0.25">
      <c r="A2419" s="238">
        <v>40402</v>
      </c>
      <c r="B2419" s="239">
        <v>1807.6000000000001</v>
      </c>
      <c r="C2419" s="242">
        <f t="shared" si="37"/>
        <v>-5.2528316062115648E-3</v>
      </c>
    </row>
    <row r="2420" spans="1:3" x14ac:dyDescent="0.25">
      <c r="A2420" s="238">
        <v>40403</v>
      </c>
      <c r="B2420" s="239">
        <v>1800.38</v>
      </c>
      <c r="C2420" s="242">
        <f t="shared" si="37"/>
        <v>-4.0022448225723499E-3</v>
      </c>
    </row>
    <row r="2421" spans="1:3" x14ac:dyDescent="0.25">
      <c r="A2421" s="238">
        <v>40406</v>
      </c>
      <c r="B2421" s="239">
        <v>1800.7</v>
      </c>
      <c r="C2421" s="242">
        <f t="shared" si="37"/>
        <v>1.7772446090743495E-4</v>
      </c>
    </row>
    <row r="2422" spans="1:3" x14ac:dyDescent="0.25">
      <c r="A2422" s="238">
        <v>40407</v>
      </c>
      <c r="B2422" s="239">
        <v>1823.18</v>
      </c>
      <c r="C2422" s="242">
        <f t="shared" si="37"/>
        <v>1.2406750972283881E-2</v>
      </c>
    </row>
    <row r="2423" spans="1:3" x14ac:dyDescent="0.25">
      <c r="A2423" s="238">
        <v>40408</v>
      </c>
      <c r="B2423" s="239">
        <v>1826.14</v>
      </c>
      <c r="C2423" s="242">
        <f t="shared" si="37"/>
        <v>1.6222203857858026E-3</v>
      </c>
    </row>
    <row r="2424" spans="1:3" x14ac:dyDescent="0.25">
      <c r="A2424" s="238">
        <v>40409</v>
      </c>
      <c r="B2424" s="239">
        <v>1795.24</v>
      </c>
      <c r="C2424" s="242">
        <f t="shared" si="37"/>
        <v>-1.7065731813455644E-2</v>
      </c>
    </row>
    <row r="2425" spans="1:3" x14ac:dyDescent="0.25">
      <c r="A2425" s="238">
        <v>40410</v>
      </c>
      <c r="B2425" s="239">
        <v>1788.67</v>
      </c>
      <c r="C2425" s="242">
        <f t="shared" si="37"/>
        <v>-3.6663908188118801E-3</v>
      </c>
    </row>
    <row r="2426" spans="1:3" x14ac:dyDescent="0.25">
      <c r="A2426" s="238">
        <v>40413</v>
      </c>
      <c r="B2426" s="239">
        <v>1781.47</v>
      </c>
      <c r="C2426" s="242">
        <f t="shared" si="37"/>
        <v>-4.0334607389518129E-3</v>
      </c>
    </row>
    <row r="2427" spans="1:3" x14ac:dyDescent="0.25">
      <c r="A2427" s="238">
        <v>40414</v>
      </c>
      <c r="B2427" s="239">
        <v>1755.64</v>
      </c>
      <c r="C2427" s="242">
        <f t="shared" si="37"/>
        <v>-1.4605403374477273E-2</v>
      </c>
    </row>
    <row r="2428" spans="1:3" x14ac:dyDescent="0.25">
      <c r="A2428" s="238">
        <v>40415</v>
      </c>
      <c r="B2428" s="239">
        <v>1761.6200000000001</v>
      </c>
      <c r="C2428" s="242">
        <f t="shared" si="37"/>
        <v>3.400377431302364E-3</v>
      </c>
    </row>
    <row r="2429" spans="1:3" x14ac:dyDescent="0.25">
      <c r="A2429" s="238">
        <v>40416</v>
      </c>
      <c r="B2429" s="239">
        <v>1748.13</v>
      </c>
      <c r="C2429" s="242">
        <f t="shared" si="37"/>
        <v>-7.687195059636347E-3</v>
      </c>
    </row>
    <row r="2430" spans="1:3" x14ac:dyDescent="0.25">
      <c r="A2430" s="238">
        <v>40417</v>
      </c>
      <c r="B2430" s="239">
        <v>1777.6000000000001</v>
      </c>
      <c r="C2430" s="242">
        <f t="shared" si="37"/>
        <v>1.6717494725866731E-2</v>
      </c>
    </row>
    <row r="2431" spans="1:3" x14ac:dyDescent="0.25">
      <c r="A2431" s="238">
        <v>40420</v>
      </c>
      <c r="B2431" s="239">
        <v>1751.79</v>
      </c>
      <c r="C2431" s="242">
        <f t="shared" si="37"/>
        <v>-1.4626017586872672E-2</v>
      </c>
    </row>
    <row r="2432" spans="1:3" x14ac:dyDescent="0.25">
      <c r="A2432" s="238">
        <v>40421</v>
      </c>
      <c r="B2432" s="239">
        <v>1752.54</v>
      </c>
      <c r="C2432" s="242">
        <f t="shared" si="37"/>
        <v>4.2804188615309366E-4</v>
      </c>
    </row>
    <row r="2433" spans="1:3" x14ac:dyDescent="0.25">
      <c r="A2433" s="238">
        <v>40422</v>
      </c>
      <c r="B2433" s="239">
        <v>1804.45</v>
      </c>
      <c r="C2433" s="242">
        <f t="shared" si="37"/>
        <v>2.9189672007798147E-2</v>
      </c>
    </row>
    <row r="2434" spans="1:3" x14ac:dyDescent="0.25">
      <c r="A2434" s="238">
        <v>40423</v>
      </c>
      <c r="B2434" s="239">
        <v>1820.97</v>
      </c>
      <c r="C2434" s="242">
        <f t="shared" si="37"/>
        <v>9.113489934878637E-3</v>
      </c>
    </row>
    <row r="2435" spans="1:3" x14ac:dyDescent="0.25">
      <c r="A2435" s="238">
        <v>40424</v>
      </c>
      <c r="B2435" s="239">
        <v>1845.1000000000001</v>
      </c>
      <c r="C2435" s="242">
        <f t="shared" si="37"/>
        <v>1.3164150420514189E-2</v>
      </c>
    </row>
    <row r="2436" spans="1:3" x14ac:dyDescent="0.25">
      <c r="A2436" s="238">
        <v>40428</v>
      </c>
      <c r="B2436" s="239">
        <v>1824.04</v>
      </c>
      <c r="C2436" s="242">
        <f t="shared" si="37"/>
        <v>-1.1479655329453805E-2</v>
      </c>
    </row>
    <row r="2437" spans="1:3" x14ac:dyDescent="0.25">
      <c r="A2437" s="238">
        <v>40429</v>
      </c>
      <c r="B2437" s="239">
        <v>1836.2</v>
      </c>
      <c r="C2437" s="242">
        <f t="shared" ref="C2437:C2500" si="38">LN(B2437/B2436)</f>
        <v>6.6443974912166349E-3</v>
      </c>
    </row>
    <row r="2438" spans="1:3" x14ac:dyDescent="0.25">
      <c r="A2438" s="238">
        <v>40430</v>
      </c>
      <c r="B2438" s="239">
        <v>1845.0900000000001</v>
      </c>
      <c r="C2438" s="242">
        <f t="shared" si="38"/>
        <v>4.8298380631036347E-3</v>
      </c>
    </row>
    <row r="2439" spans="1:3" x14ac:dyDescent="0.25">
      <c r="A2439" s="238">
        <v>40431</v>
      </c>
      <c r="B2439" s="239">
        <v>1854.1000000000001</v>
      </c>
      <c r="C2439" s="242">
        <f t="shared" si="38"/>
        <v>4.8713463311044845E-3</v>
      </c>
    </row>
    <row r="2440" spans="1:3" x14ac:dyDescent="0.25">
      <c r="A2440" s="238">
        <v>40434</v>
      </c>
      <c r="B2440" s="239">
        <v>1875.4</v>
      </c>
      <c r="C2440" s="242">
        <f t="shared" si="38"/>
        <v>1.1422566881717104E-2</v>
      </c>
    </row>
    <row r="2441" spans="1:3" x14ac:dyDescent="0.25">
      <c r="A2441" s="238">
        <v>40435</v>
      </c>
      <c r="B2441" s="239">
        <v>1874.07</v>
      </c>
      <c r="C2441" s="242">
        <f t="shared" si="38"/>
        <v>-7.0943362970349419E-4</v>
      </c>
    </row>
    <row r="2442" spans="1:3" x14ac:dyDescent="0.25">
      <c r="A2442" s="238">
        <v>40436</v>
      </c>
      <c r="B2442" s="239">
        <v>1880.74</v>
      </c>
      <c r="C2442" s="242">
        <f t="shared" si="38"/>
        <v>3.5527800425926626E-3</v>
      </c>
    </row>
    <row r="2443" spans="1:3" x14ac:dyDescent="0.25">
      <c r="A2443" s="238">
        <v>40437</v>
      </c>
      <c r="B2443" s="239">
        <v>1880.3600000000001</v>
      </c>
      <c r="C2443" s="242">
        <f t="shared" si="38"/>
        <v>-2.0206854446462813E-4</v>
      </c>
    </row>
    <row r="2444" spans="1:3" x14ac:dyDescent="0.25">
      <c r="A2444" s="238">
        <v>40438</v>
      </c>
      <c r="B2444" s="239">
        <v>1881.92</v>
      </c>
      <c r="C2444" s="242">
        <f t="shared" si="38"/>
        <v>8.2928441764171744E-4</v>
      </c>
    </row>
    <row r="2445" spans="1:3" x14ac:dyDescent="0.25">
      <c r="A2445" s="238">
        <v>40441</v>
      </c>
      <c r="B2445" s="239">
        <v>1910.6000000000001</v>
      </c>
      <c r="C2445" s="242">
        <f t="shared" si="38"/>
        <v>1.5124796564316936E-2</v>
      </c>
    </row>
    <row r="2446" spans="1:3" x14ac:dyDescent="0.25">
      <c r="A2446" s="238">
        <v>40442</v>
      </c>
      <c r="B2446" s="239">
        <v>1905.73</v>
      </c>
      <c r="C2446" s="242">
        <f t="shared" si="38"/>
        <v>-2.5521915785422324E-3</v>
      </c>
    </row>
    <row r="2447" spans="1:3" x14ac:dyDescent="0.25">
      <c r="A2447" s="238">
        <v>40443</v>
      </c>
      <c r="B2447" s="239">
        <v>1896.77</v>
      </c>
      <c r="C2447" s="242">
        <f t="shared" si="38"/>
        <v>-4.7126977425915942E-3</v>
      </c>
    </row>
    <row r="2448" spans="1:3" x14ac:dyDescent="0.25">
      <c r="A2448" s="238">
        <v>40444</v>
      </c>
      <c r="B2448" s="239">
        <v>1880.97</v>
      </c>
      <c r="C2448" s="242">
        <f t="shared" si="38"/>
        <v>-8.3648383042472883E-3</v>
      </c>
    </row>
    <row r="2449" spans="1:3" x14ac:dyDescent="0.25">
      <c r="A2449" s="238">
        <v>40445</v>
      </c>
      <c r="B2449" s="239">
        <v>1920.8400000000001</v>
      </c>
      <c r="C2449" s="242">
        <f t="shared" si="38"/>
        <v>2.097498913607963E-2</v>
      </c>
    </row>
    <row r="2450" spans="1:3" x14ac:dyDescent="0.25">
      <c r="A2450" s="238">
        <v>40448</v>
      </c>
      <c r="B2450" s="239">
        <v>1909.97</v>
      </c>
      <c r="C2450" s="242">
        <f t="shared" si="38"/>
        <v>-5.6750552355668881E-3</v>
      </c>
    </row>
    <row r="2451" spans="1:3" x14ac:dyDescent="0.25">
      <c r="A2451" s="238">
        <v>40449</v>
      </c>
      <c r="B2451" s="239">
        <v>1919.58</v>
      </c>
      <c r="C2451" s="242">
        <f t="shared" si="38"/>
        <v>5.0188769815164812E-3</v>
      </c>
    </row>
    <row r="2452" spans="1:3" x14ac:dyDescent="0.25">
      <c r="A2452" s="238">
        <v>40450</v>
      </c>
      <c r="B2452" s="239">
        <v>1914.83</v>
      </c>
      <c r="C2452" s="242">
        <f t="shared" si="38"/>
        <v>-2.4775662643052162E-3</v>
      </c>
    </row>
    <row r="2453" spans="1:3" x14ac:dyDescent="0.25">
      <c r="A2453" s="238">
        <v>40451</v>
      </c>
      <c r="B2453" s="239">
        <v>1908.95</v>
      </c>
      <c r="C2453" s="242">
        <f t="shared" si="38"/>
        <v>-3.0754931689279713E-3</v>
      </c>
    </row>
    <row r="2454" spans="1:3" x14ac:dyDescent="0.25">
      <c r="A2454" s="238">
        <v>40452</v>
      </c>
      <c r="B2454" s="239">
        <v>1917.42</v>
      </c>
      <c r="C2454" s="242">
        <f t="shared" si="38"/>
        <v>4.4271797208699504E-3</v>
      </c>
    </row>
    <row r="2455" spans="1:3" x14ac:dyDescent="0.25">
      <c r="A2455" s="238">
        <v>40455</v>
      </c>
      <c r="B2455" s="239">
        <v>1902.14</v>
      </c>
      <c r="C2455" s="242">
        <f t="shared" si="38"/>
        <v>-8.0009642539416066E-3</v>
      </c>
    </row>
    <row r="2456" spans="1:3" x14ac:dyDescent="0.25">
      <c r="A2456" s="238">
        <v>40456</v>
      </c>
      <c r="B2456" s="239">
        <v>1941.81</v>
      </c>
      <c r="C2456" s="242">
        <f t="shared" si="38"/>
        <v>2.0640959657486451E-2</v>
      </c>
    </row>
    <row r="2457" spans="1:3" x14ac:dyDescent="0.25">
      <c r="A2457" s="238">
        <v>40457</v>
      </c>
      <c r="B2457" s="239">
        <v>1941.5</v>
      </c>
      <c r="C2457" s="242">
        <f t="shared" si="38"/>
        <v>-1.5965761201575641E-4</v>
      </c>
    </row>
    <row r="2458" spans="1:3" x14ac:dyDescent="0.25">
      <c r="A2458" s="238">
        <v>40458</v>
      </c>
      <c r="B2458" s="239">
        <v>1938.3</v>
      </c>
      <c r="C2458" s="242">
        <f t="shared" si="38"/>
        <v>-1.649569939492543E-3</v>
      </c>
    </row>
    <row r="2459" spans="1:3" x14ac:dyDescent="0.25">
      <c r="A2459" s="238">
        <v>40459</v>
      </c>
      <c r="B2459" s="239">
        <v>1950.18</v>
      </c>
      <c r="C2459" s="242">
        <f t="shared" si="38"/>
        <v>6.1103757577779206E-3</v>
      </c>
    </row>
    <row r="2460" spans="1:3" x14ac:dyDescent="0.25">
      <c r="A2460" s="238">
        <v>40462</v>
      </c>
      <c r="B2460" s="239">
        <v>1950.46</v>
      </c>
      <c r="C2460" s="242">
        <f t="shared" si="38"/>
        <v>1.4356618425739046E-4</v>
      </c>
    </row>
    <row r="2461" spans="1:3" x14ac:dyDescent="0.25">
      <c r="A2461" s="238">
        <v>40463</v>
      </c>
      <c r="B2461" s="239">
        <v>1957.92</v>
      </c>
      <c r="C2461" s="242">
        <f t="shared" si="38"/>
        <v>3.8174430630933546E-3</v>
      </c>
    </row>
    <row r="2462" spans="1:3" x14ac:dyDescent="0.25">
      <c r="A2462" s="238">
        <v>40464</v>
      </c>
      <c r="B2462" s="239">
        <v>1972.07</v>
      </c>
      <c r="C2462" s="242">
        <f t="shared" si="38"/>
        <v>7.2010672526241085E-3</v>
      </c>
    </row>
    <row r="2463" spans="1:3" x14ac:dyDescent="0.25">
      <c r="A2463" s="238">
        <v>40465</v>
      </c>
      <c r="B2463" s="239">
        <v>1964.89</v>
      </c>
      <c r="C2463" s="242">
        <f t="shared" si="38"/>
        <v>-3.6474883973052125E-3</v>
      </c>
    </row>
    <row r="2464" spans="1:3" x14ac:dyDescent="0.25">
      <c r="A2464" s="238">
        <v>40466</v>
      </c>
      <c r="B2464" s="239">
        <v>1968.8700000000001</v>
      </c>
      <c r="C2464" s="242">
        <f t="shared" si="38"/>
        <v>2.0235100046976512E-3</v>
      </c>
    </row>
    <row r="2465" spans="1:3" x14ac:dyDescent="0.25">
      <c r="A2465" s="238">
        <v>40469</v>
      </c>
      <c r="B2465" s="239">
        <v>1983.16</v>
      </c>
      <c r="C2465" s="242">
        <f t="shared" si="38"/>
        <v>7.2317579970459425E-3</v>
      </c>
    </row>
    <row r="2466" spans="1:3" x14ac:dyDescent="0.25">
      <c r="A2466" s="238">
        <v>40470</v>
      </c>
      <c r="B2466" s="239">
        <v>1951.67</v>
      </c>
      <c r="C2466" s="242">
        <f t="shared" si="38"/>
        <v>-1.60061157902412E-2</v>
      </c>
    </row>
    <row r="2467" spans="1:3" x14ac:dyDescent="0.25">
      <c r="A2467" s="238">
        <v>40471</v>
      </c>
      <c r="B2467" s="239">
        <v>1972.51</v>
      </c>
      <c r="C2467" s="242">
        <f t="shared" si="38"/>
        <v>1.062142711149057E-2</v>
      </c>
    </row>
    <row r="2468" spans="1:3" x14ac:dyDescent="0.25">
      <c r="A2468" s="238">
        <v>40472</v>
      </c>
      <c r="B2468" s="239">
        <v>1976.1200000000001</v>
      </c>
      <c r="C2468" s="242">
        <f t="shared" si="38"/>
        <v>1.828482793166645E-3</v>
      </c>
    </row>
    <row r="2469" spans="1:3" x14ac:dyDescent="0.25">
      <c r="A2469" s="238">
        <v>40473</v>
      </c>
      <c r="B2469" s="239">
        <v>1980.8300000000002</v>
      </c>
      <c r="C2469" s="242">
        <f t="shared" si="38"/>
        <v>2.3806225625494018E-3</v>
      </c>
    </row>
    <row r="2470" spans="1:3" x14ac:dyDescent="0.25">
      <c r="A2470" s="238">
        <v>40476</v>
      </c>
      <c r="B2470" s="239">
        <v>1985.1000000000001</v>
      </c>
      <c r="C2470" s="242">
        <f t="shared" si="38"/>
        <v>2.1533419147371563E-3</v>
      </c>
    </row>
    <row r="2471" spans="1:3" x14ac:dyDescent="0.25">
      <c r="A2471" s="238">
        <v>40477</v>
      </c>
      <c r="B2471" s="239">
        <v>1985.13</v>
      </c>
      <c r="C2471" s="242">
        <f t="shared" si="38"/>
        <v>1.5112474592372919E-5</v>
      </c>
    </row>
    <row r="2472" spans="1:3" x14ac:dyDescent="0.25">
      <c r="A2472" s="238">
        <v>40478</v>
      </c>
      <c r="B2472" s="239">
        <v>1980.05</v>
      </c>
      <c r="C2472" s="242">
        <f t="shared" si="38"/>
        <v>-2.5623062657221707E-3</v>
      </c>
    </row>
    <row r="2473" spans="1:3" x14ac:dyDescent="0.25">
      <c r="A2473" s="238">
        <v>40479</v>
      </c>
      <c r="B2473" s="239">
        <v>1982.45</v>
      </c>
      <c r="C2473" s="242">
        <f t="shared" si="38"/>
        <v>1.2113566150042106E-3</v>
      </c>
    </row>
    <row r="2474" spans="1:3" x14ac:dyDescent="0.25">
      <c r="A2474" s="238">
        <v>40480</v>
      </c>
      <c r="B2474" s="239">
        <v>1981.5800000000002</v>
      </c>
      <c r="C2474" s="242">
        <f t="shared" si="38"/>
        <v>-4.3894724004049933E-4</v>
      </c>
    </row>
    <row r="2475" spans="1:3" x14ac:dyDescent="0.25">
      <c r="A2475" s="238">
        <v>40483</v>
      </c>
      <c r="B2475" s="239">
        <v>1983.47</v>
      </c>
      <c r="C2475" s="242">
        <f t="shared" si="38"/>
        <v>9.5332979061643229E-4</v>
      </c>
    </row>
    <row r="2476" spans="1:3" x14ac:dyDescent="0.25">
      <c r="A2476" s="238">
        <v>40484</v>
      </c>
      <c r="B2476" s="239">
        <v>1998.8600000000001</v>
      </c>
      <c r="C2476" s="242">
        <f t="shared" si="38"/>
        <v>7.7291819697510008E-3</v>
      </c>
    </row>
    <row r="2477" spans="1:3" x14ac:dyDescent="0.25">
      <c r="A2477" s="238">
        <v>40485</v>
      </c>
      <c r="B2477" s="239">
        <v>2006.5800000000002</v>
      </c>
      <c r="C2477" s="242">
        <f t="shared" si="38"/>
        <v>3.8547623029737067E-3</v>
      </c>
    </row>
    <row r="2478" spans="1:3" x14ac:dyDescent="0.25">
      <c r="A2478" s="238">
        <v>40486</v>
      </c>
      <c r="B2478" s="239">
        <v>2045.6100000000001</v>
      </c>
      <c r="C2478" s="242">
        <f t="shared" si="38"/>
        <v>1.9264253172988573E-2</v>
      </c>
    </row>
    <row r="2479" spans="1:3" x14ac:dyDescent="0.25">
      <c r="A2479" s="238">
        <v>40487</v>
      </c>
      <c r="B2479" s="239">
        <v>2053.77</v>
      </c>
      <c r="C2479" s="242">
        <f t="shared" si="38"/>
        <v>3.9810950814013228E-3</v>
      </c>
    </row>
    <row r="2480" spans="1:3" x14ac:dyDescent="0.25">
      <c r="A2480" s="238">
        <v>40490</v>
      </c>
      <c r="B2480" s="239">
        <v>2049.69</v>
      </c>
      <c r="C2480" s="242">
        <f t="shared" si="38"/>
        <v>-1.9885664022530349E-3</v>
      </c>
    </row>
    <row r="2481" spans="1:3" x14ac:dyDescent="0.25">
      <c r="A2481" s="238">
        <v>40491</v>
      </c>
      <c r="B2481" s="239">
        <v>2033.8400000000001</v>
      </c>
      <c r="C2481" s="242">
        <f t="shared" si="38"/>
        <v>-7.7629304045353301E-3</v>
      </c>
    </row>
    <row r="2482" spans="1:3" x14ac:dyDescent="0.25">
      <c r="A2482" s="238">
        <v>40492</v>
      </c>
      <c r="B2482" s="239">
        <v>2043.15</v>
      </c>
      <c r="C2482" s="242">
        <f t="shared" si="38"/>
        <v>4.5671027805600731E-3</v>
      </c>
    </row>
    <row r="2483" spans="1:3" x14ac:dyDescent="0.25">
      <c r="A2483" s="238">
        <v>40493</v>
      </c>
      <c r="B2483" s="239">
        <v>2034.48</v>
      </c>
      <c r="C2483" s="242">
        <f t="shared" si="38"/>
        <v>-4.2524765932005805E-3</v>
      </c>
    </row>
    <row r="2484" spans="1:3" x14ac:dyDescent="0.25">
      <c r="A2484" s="238">
        <v>40494</v>
      </c>
      <c r="B2484" s="239">
        <v>2010.56</v>
      </c>
      <c r="C2484" s="242">
        <f t="shared" si="38"/>
        <v>-1.1826967753677647E-2</v>
      </c>
    </row>
    <row r="2485" spans="1:3" x14ac:dyDescent="0.25">
      <c r="A2485" s="238">
        <v>40497</v>
      </c>
      <c r="B2485" s="239">
        <v>2008.24</v>
      </c>
      <c r="C2485" s="242">
        <f t="shared" si="38"/>
        <v>-1.1545736327864182E-3</v>
      </c>
    </row>
    <row r="2486" spans="1:3" x14ac:dyDescent="0.25">
      <c r="A2486" s="238">
        <v>40498</v>
      </c>
      <c r="B2486" s="239">
        <v>1976.25</v>
      </c>
      <c r="C2486" s="242">
        <f t="shared" si="38"/>
        <v>-1.6057607058113928E-2</v>
      </c>
    </row>
    <row r="2487" spans="1:3" x14ac:dyDescent="0.25">
      <c r="A2487" s="238">
        <v>40499</v>
      </c>
      <c r="B2487" s="239">
        <v>1976.99</v>
      </c>
      <c r="C2487" s="242">
        <f t="shared" si="38"/>
        <v>3.7437646519964085E-4</v>
      </c>
    </row>
    <row r="2488" spans="1:3" x14ac:dyDescent="0.25">
      <c r="A2488" s="238">
        <v>40500</v>
      </c>
      <c r="B2488" s="239">
        <v>2007.38</v>
      </c>
      <c r="C2488" s="242">
        <f t="shared" si="38"/>
        <v>1.5254903204790693E-2</v>
      </c>
    </row>
    <row r="2489" spans="1:3" x14ac:dyDescent="0.25">
      <c r="A2489" s="238">
        <v>40501</v>
      </c>
      <c r="B2489" s="239">
        <v>2012.5800000000002</v>
      </c>
      <c r="C2489" s="242">
        <f t="shared" si="38"/>
        <v>2.5870918617692971E-3</v>
      </c>
    </row>
    <row r="2490" spans="1:3" x14ac:dyDescent="0.25">
      <c r="A2490" s="238">
        <v>40504</v>
      </c>
      <c r="B2490" s="239">
        <v>2009.51</v>
      </c>
      <c r="C2490" s="242">
        <f t="shared" si="38"/>
        <v>-1.5265698162885506E-3</v>
      </c>
    </row>
    <row r="2491" spans="1:3" x14ac:dyDescent="0.25">
      <c r="A2491" s="238">
        <v>40505</v>
      </c>
      <c r="B2491" s="239">
        <v>1980.89</v>
      </c>
      <c r="C2491" s="242">
        <f t="shared" si="38"/>
        <v>-1.4344672593669134E-2</v>
      </c>
    </row>
    <row r="2492" spans="1:3" x14ac:dyDescent="0.25">
      <c r="A2492" s="238">
        <v>40506</v>
      </c>
      <c r="B2492" s="239">
        <v>2010.56</v>
      </c>
      <c r="C2492" s="242">
        <f t="shared" si="38"/>
        <v>1.486705156909846E-2</v>
      </c>
    </row>
    <row r="2493" spans="1:3" x14ac:dyDescent="0.25">
      <c r="A2493" s="238">
        <v>40508</v>
      </c>
      <c r="B2493" s="239">
        <v>1996.02</v>
      </c>
      <c r="C2493" s="242">
        <f t="shared" si="38"/>
        <v>-7.2580923532930284E-3</v>
      </c>
    </row>
    <row r="2494" spans="1:3" x14ac:dyDescent="0.25">
      <c r="A2494" s="238">
        <v>40511</v>
      </c>
      <c r="B2494" s="239">
        <v>1993.8300000000002</v>
      </c>
      <c r="C2494" s="242">
        <f t="shared" si="38"/>
        <v>-1.0977857412868889E-3</v>
      </c>
    </row>
    <row r="2495" spans="1:3" x14ac:dyDescent="0.25">
      <c r="A2495" s="238">
        <v>40512</v>
      </c>
      <c r="B2495" s="239">
        <v>1981.8300000000002</v>
      </c>
      <c r="C2495" s="242">
        <f t="shared" si="38"/>
        <v>-6.0367518562205458E-3</v>
      </c>
    </row>
    <row r="2496" spans="1:3" x14ac:dyDescent="0.25">
      <c r="A2496" s="238">
        <v>40513</v>
      </c>
      <c r="B2496" s="239">
        <v>2024.96</v>
      </c>
      <c r="C2496" s="242">
        <f t="shared" si="38"/>
        <v>2.1529286995343167E-2</v>
      </c>
    </row>
    <row r="2497" spans="1:8" x14ac:dyDescent="0.25">
      <c r="A2497" s="238">
        <v>40514</v>
      </c>
      <c r="B2497" s="239">
        <v>2050.96</v>
      </c>
      <c r="C2497" s="242">
        <f t="shared" si="38"/>
        <v>1.2758028941457078E-2</v>
      </c>
    </row>
    <row r="2498" spans="1:8" x14ac:dyDescent="0.25">
      <c r="A2498" s="238">
        <v>40515</v>
      </c>
      <c r="B2498" s="239">
        <v>2056.39</v>
      </c>
      <c r="C2498" s="242">
        <f t="shared" si="38"/>
        <v>2.644042101797168E-3</v>
      </c>
    </row>
    <row r="2499" spans="1:8" x14ac:dyDescent="0.25">
      <c r="A2499" s="238">
        <v>40518</v>
      </c>
      <c r="B2499" s="239">
        <v>2053.8000000000002</v>
      </c>
      <c r="C2499" s="242">
        <f t="shared" si="38"/>
        <v>-1.2602825381845121E-3</v>
      </c>
    </row>
    <row r="2500" spans="1:8" x14ac:dyDescent="0.25">
      <c r="A2500" s="238">
        <v>40519</v>
      </c>
      <c r="B2500" s="239">
        <v>2054.88</v>
      </c>
      <c r="C2500" s="242">
        <f t="shared" si="38"/>
        <v>5.2571630055089208E-4</v>
      </c>
    </row>
    <row r="2501" spans="1:8" x14ac:dyDescent="0.25">
      <c r="A2501" s="238">
        <v>40520</v>
      </c>
      <c r="B2501" s="239">
        <v>2063.02</v>
      </c>
      <c r="C2501" s="242">
        <f t="shared" ref="C2501:C2517" si="39">LN(B2501/B2500)</f>
        <v>3.9534765789997761E-3</v>
      </c>
    </row>
    <row r="2502" spans="1:8" x14ac:dyDescent="0.25">
      <c r="A2502" s="238">
        <v>40521</v>
      </c>
      <c r="B2502" s="239">
        <v>2071.11</v>
      </c>
      <c r="C2502" s="242">
        <f t="shared" si="39"/>
        <v>3.9137667787867573E-3</v>
      </c>
    </row>
    <row r="2503" spans="1:8" x14ac:dyDescent="0.25">
      <c r="A2503" s="238">
        <v>40522</v>
      </c>
      <c r="B2503" s="239">
        <v>2083.56</v>
      </c>
      <c r="C2503" s="242">
        <f t="shared" si="39"/>
        <v>5.9932737215144397E-3</v>
      </c>
    </row>
    <row r="2504" spans="1:8" x14ac:dyDescent="0.25">
      <c r="A2504" s="238">
        <v>40525</v>
      </c>
      <c r="B2504" s="239">
        <v>2083.9900000000002</v>
      </c>
      <c r="C2504" s="242">
        <f t="shared" si="39"/>
        <v>2.0635625320694628E-4</v>
      </c>
    </row>
    <row r="2505" spans="1:8" x14ac:dyDescent="0.25">
      <c r="A2505" s="238">
        <v>40526</v>
      </c>
      <c r="B2505" s="239">
        <v>2085.9299999999998</v>
      </c>
      <c r="C2505" s="242">
        <f t="shared" si="39"/>
        <v>9.3047355343389823E-4</v>
      </c>
    </row>
    <row r="2506" spans="1:8" x14ac:dyDescent="0.25">
      <c r="A2506" s="238">
        <v>40527</v>
      </c>
      <c r="B2506" s="239">
        <v>2075.2800000000002</v>
      </c>
      <c r="C2506" s="242">
        <f t="shared" si="39"/>
        <v>-5.1187146304029424E-3</v>
      </c>
    </row>
    <row r="2507" spans="1:8" x14ac:dyDescent="0.25">
      <c r="A2507" s="238">
        <v>40528</v>
      </c>
      <c r="B2507" s="239">
        <v>2088.19</v>
      </c>
      <c r="C2507" s="242">
        <f t="shared" si="39"/>
        <v>6.2015777109270167E-3</v>
      </c>
    </row>
    <row r="2508" spans="1:8" x14ac:dyDescent="0.25">
      <c r="A2508" s="238">
        <v>40529</v>
      </c>
      <c r="B2508" s="239">
        <v>2089.94</v>
      </c>
      <c r="C2508" s="242">
        <f t="shared" si="39"/>
        <v>8.3769538158746579E-4</v>
      </c>
    </row>
    <row r="2509" spans="1:8" x14ac:dyDescent="0.25">
      <c r="A2509" s="238">
        <v>40532</v>
      </c>
      <c r="B2509" s="239">
        <v>2095.3200000000002</v>
      </c>
      <c r="C2509" s="242">
        <f t="shared" si="39"/>
        <v>2.5709289092374021E-3</v>
      </c>
    </row>
    <row r="2510" spans="1:8" x14ac:dyDescent="0.25">
      <c r="A2510" s="238">
        <v>40533</v>
      </c>
      <c r="B2510" s="239">
        <v>2108.2600000000002</v>
      </c>
      <c r="C2510" s="242">
        <f t="shared" si="39"/>
        <v>6.1566763919501709E-3</v>
      </c>
      <c r="E2510"/>
      <c r="F2510"/>
      <c r="G2510"/>
      <c r="H2510"/>
    </row>
    <row r="2511" spans="1:8" x14ac:dyDescent="0.25">
      <c r="A2511" s="238">
        <v>40534</v>
      </c>
      <c r="B2511" s="239">
        <v>2115.69</v>
      </c>
      <c r="C2511" s="242">
        <f t="shared" si="39"/>
        <v>3.5180376960758197E-3</v>
      </c>
      <c r="E2511"/>
      <c r="F2511"/>
      <c r="G2511"/>
      <c r="H2511"/>
    </row>
    <row r="2512" spans="1:8" x14ac:dyDescent="0.25">
      <c r="A2512" s="238">
        <v>40535</v>
      </c>
      <c r="B2512" s="239">
        <v>2112.37</v>
      </c>
      <c r="C2512" s="242">
        <f t="shared" si="39"/>
        <v>-1.5704605338409815E-3</v>
      </c>
      <c r="E2512" s="238">
        <v>40544</v>
      </c>
      <c r="F2512" s="239">
        <v>2115.2800000000002</v>
      </c>
      <c r="G2512"/>
      <c r="H2512"/>
    </row>
    <row r="2513" spans="1:3" x14ac:dyDescent="0.25">
      <c r="A2513" s="238">
        <v>40539</v>
      </c>
      <c r="B2513" s="239">
        <v>2113.66</v>
      </c>
      <c r="C2513" s="242">
        <f t="shared" si="39"/>
        <v>6.1050207408205881E-4</v>
      </c>
    </row>
    <row r="2514" spans="1:3" x14ac:dyDescent="0.25">
      <c r="A2514" s="238">
        <v>40540</v>
      </c>
      <c r="B2514" s="239">
        <v>2115.3200000000002</v>
      </c>
      <c r="C2514" s="242">
        <f t="shared" si="39"/>
        <v>7.8505932175507046E-4</v>
      </c>
    </row>
    <row r="2515" spans="1:3" x14ac:dyDescent="0.25">
      <c r="A2515" s="238">
        <v>40541</v>
      </c>
      <c r="B2515" s="239">
        <v>2117.83</v>
      </c>
      <c r="C2515" s="242">
        <f t="shared" si="39"/>
        <v>1.1858782675560078E-3</v>
      </c>
    </row>
    <row r="2516" spans="1:3" x14ac:dyDescent="0.25">
      <c r="A2516" s="238">
        <v>40542</v>
      </c>
      <c r="B2516" s="239">
        <v>2114.69</v>
      </c>
      <c r="C2516" s="242">
        <f t="shared" si="39"/>
        <v>-1.4837499059958052E-3</v>
      </c>
    </row>
    <row r="2517" spans="1:3" x14ac:dyDescent="0.25">
      <c r="A2517" s="238">
        <v>40543</v>
      </c>
      <c r="B2517" s="239">
        <v>2114.2800000000002</v>
      </c>
      <c r="C2517" s="242">
        <f t="shared" si="39"/>
        <v>-1.9390064308062578E-4</v>
      </c>
    </row>
    <row r="2518" spans="1:3" x14ac:dyDescent="0.25">
      <c r="A2518" s="238">
        <v>40544</v>
      </c>
      <c r="B2518" s="239">
        <v>2115.2800000000002</v>
      </c>
    </row>
  </sheetData>
  <mergeCells count="7">
    <mergeCell ref="A1:C1"/>
    <mergeCell ref="G1:V1"/>
    <mergeCell ref="I2:T2"/>
    <mergeCell ref="G4:G122"/>
    <mergeCell ref="G123:G137"/>
    <mergeCell ref="G2:G3"/>
    <mergeCell ref="V2:V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H1059"/>
  <sheetViews>
    <sheetView workbookViewId="0">
      <selection activeCell="H4" sqref="H4"/>
    </sheetView>
  </sheetViews>
  <sheetFormatPr defaultRowHeight="15" x14ac:dyDescent="0.25"/>
  <cols>
    <col min="1" max="1" width="12.28515625" style="1" bestFit="1" customWidth="1"/>
    <col min="2" max="2" width="18.7109375" style="1" bestFit="1" customWidth="1"/>
    <col min="3" max="5" width="4" style="1" bestFit="1" customWidth="1"/>
    <col min="6" max="8" width="7" style="1" bestFit="1" customWidth="1"/>
    <col min="9" max="9" width="47.7109375" style="1" bestFit="1" customWidth="1"/>
    <col min="10" max="12" width="29.28515625" style="1" bestFit="1" customWidth="1"/>
    <col min="13" max="13" width="2" style="1" bestFit="1" customWidth="1"/>
    <col min="14" max="14" width="18.5703125" style="1" bestFit="1" customWidth="1"/>
    <col min="15" max="15" width="9.140625" style="1"/>
    <col min="16" max="16" width="16.85546875" style="1" customWidth="1"/>
    <col min="17" max="16384" width="9.140625" style="1"/>
  </cols>
  <sheetData>
    <row r="1" spans="1:8" customFormat="1" ht="87" customHeight="1" thickBot="1" x14ac:dyDescent="0.3">
      <c r="A1" s="1099" t="s">
        <v>118</v>
      </c>
      <c r="B1" s="1100"/>
      <c r="C1" s="1100"/>
      <c r="D1" s="1100"/>
      <c r="E1" s="1100"/>
      <c r="F1" s="1100"/>
      <c r="G1" s="1100"/>
      <c r="H1" s="1101"/>
    </row>
    <row r="2" spans="1:8" customFormat="1" ht="15.75" thickBot="1" x14ac:dyDescent="0.3">
      <c r="A2" s="861" t="s">
        <v>119</v>
      </c>
      <c r="B2" s="862" t="s">
        <v>120</v>
      </c>
      <c r="C2" s="862" t="s">
        <v>121</v>
      </c>
      <c r="D2" s="862" t="s">
        <v>122</v>
      </c>
      <c r="E2" s="862" t="s">
        <v>123</v>
      </c>
      <c r="F2" s="862" t="s">
        <v>121</v>
      </c>
      <c r="G2" s="862" t="s">
        <v>122</v>
      </c>
      <c r="H2" s="863" t="s">
        <v>123</v>
      </c>
    </row>
    <row r="3" spans="1:8" customFormat="1" ht="47.25" customHeight="1" x14ac:dyDescent="0.25">
      <c r="A3" s="14" t="s">
        <v>124</v>
      </c>
      <c r="B3" s="14" t="s">
        <v>125</v>
      </c>
      <c r="C3" s="14">
        <v>250</v>
      </c>
      <c r="D3" s="14">
        <v>235</v>
      </c>
      <c r="E3" s="14">
        <v>215</v>
      </c>
      <c r="F3" s="15">
        <v>0.98040000000000005</v>
      </c>
      <c r="G3" s="15">
        <v>0.92159999999999997</v>
      </c>
      <c r="H3" s="15">
        <v>0.84309999999999996</v>
      </c>
    </row>
    <row r="4" spans="1:8" customFormat="1" ht="47.25" customHeight="1" x14ac:dyDescent="0.25">
      <c r="A4" s="16" t="s">
        <v>124</v>
      </c>
      <c r="B4" s="16" t="s">
        <v>126</v>
      </c>
      <c r="C4" s="16">
        <v>240</v>
      </c>
      <c r="D4" s="16">
        <v>255</v>
      </c>
      <c r="E4" s="16">
        <v>255</v>
      </c>
      <c r="F4" s="17">
        <v>0.94120000000000004</v>
      </c>
      <c r="G4" s="17">
        <v>1</v>
      </c>
      <c r="H4" s="17">
        <v>1</v>
      </c>
    </row>
    <row r="5" spans="1:8" customFormat="1" ht="47.25" customHeight="1" x14ac:dyDescent="0.25">
      <c r="A5" s="18" t="s">
        <v>124</v>
      </c>
      <c r="B5" s="18" t="s">
        <v>127</v>
      </c>
      <c r="C5" s="17">
        <v>255</v>
      </c>
      <c r="D5" s="17">
        <v>228</v>
      </c>
      <c r="E5" s="17">
        <v>196</v>
      </c>
      <c r="F5" s="17">
        <v>1</v>
      </c>
      <c r="G5" s="17">
        <v>0.89410000000000001</v>
      </c>
      <c r="H5" s="17">
        <v>0.76859999999999995</v>
      </c>
    </row>
    <row r="6" spans="1:8" customFormat="1" ht="47.25" customHeight="1" x14ac:dyDescent="0.25">
      <c r="A6" s="19" t="s">
        <v>124</v>
      </c>
      <c r="B6" s="19" t="s">
        <v>128</v>
      </c>
      <c r="C6" s="17">
        <v>255</v>
      </c>
      <c r="D6" s="17">
        <v>235</v>
      </c>
      <c r="E6" s="17">
        <v>205</v>
      </c>
      <c r="F6" s="17">
        <v>1</v>
      </c>
      <c r="G6" s="17">
        <v>0.92159999999999997</v>
      </c>
      <c r="H6" s="17">
        <v>0.80389999999999995</v>
      </c>
    </row>
    <row r="7" spans="1:8" customFormat="1" ht="47.25" customHeight="1" x14ac:dyDescent="0.25">
      <c r="A7" s="20" t="s">
        <v>124</v>
      </c>
      <c r="B7" s="20" t="s">
        <v>129</v>
      </c>
      <c r="C7" s="17">
        <v>255</v>
      </c>
      <c r="D7" s="17">
        <v>248</v>
      </c>
      <c r="E7" s="17">
        <v>220</v>
      </c>
      <c r="F7" s="17">
        <v>1</v>
      </c>
      <c r="G7" s="17">
        <v>0.97250000000000003</v>
      </c>
      <c r="H7" s="17">
        <v>0.86270000000000002</v>
      </c>
    </row>
    <row r="8" spans="1:8" customFormat="1" ht="47.25" customHeight="1" x14ac:dyDescent="0.25">
      <c r="A8" s="21" t="s">
        <v>124</v>
      </c>
      <c r="B8" s="21" t="s">
        <v>130</v>
      </c>
      <c r="C8" s="17">
        <v>252</v>
      </c>
      <c r="D8" s="17">
        <v>230</v>
      </c>
      <c r="E8" s="17">
        <v>201</v>
      </c>
      <c r="F8" s="17">
        <v>0.99</v>
      </c>
      <c r="G8" s="17">
        <v>0.9</v>
      </c>
      <c r="H8" s="17">
        <v>0.79</v>
      </c>
    </row>
    <row r="9" spans="1:8" customFormat="1" ht="47.25" customHeight="1" x14ac:dyDescent="0.25">
      <c r="A9" s="22" t="s">
        <v>124</v>
      </c>
      <c r="B9" s="22" t="s">
        <v>131</v>
      </c>
      <c r="C9" s="17">
        <v>255</v>
      </c>
      <c r="D9" s="17">
        <v>250</v>
      </c>
      <c r="E9" s="17">
        <v>240</v>
      </c>
      <c r="F9" s="17">
        <v>1</v>
      </c>
      <c r="G9" s="17">
        <v>0.98040000000000005</v>
      </c>
      <c r="H9" s="17">
        <v>0.94120000000000004</v>
      </c>
    </row>
    <row r="10" spans="1:8" customFormat="1" ht="47.25" customHeight="1" x14ac:dyDescent="0.25">
      <c r="A10" s="23" t="s">
        <v>124</v>
      </c>
      <c r="B10" s="23" t="s">
        <v>132</v>
      </c>
      <c r="C10" s="17">
        <v>220</v>
      </c>
      <c r="D10" s="17">
        <v>220</v>
      </c>
      <c r="E10" s="17">
        <v>220</v>
      </c>
      <c r="F10" s="17">
        <v>0.86270000000000002</v>
      </c>
      <c r="G10" s="17">
        <v>0.86270000000000002</v>
      </c>
      <c r="H10" s="17">
        <v>0.86270000000000002</v>
      </c>
    </row>
    <row r="11" spans="1:8" customFormat="1" ht="47.25" customHeight="1" x14ac:dyDescent="0.25">
      <c r="A11" s="24" t="s">
        <v>124</v>
      </c>
      <c r="B11" s="24" t="s">
        <v>133</v>
      </c>
      <c r="C11" s="17">
        <v>248</v>
      </c>
      <c r="D11" s="17">
        <v>248</v>
      </c>
      <c r="E11" s="17">
        <v>255</v>
      </c>
      <c r="F11" s="17">
        <v>0.97250000000000003</v>
      </c>
      <c r="G11" s="17">
        <v>0.97250000000000003</v>
      </c>
      <c r="H11" s="17">
        <v>1</v>
      </c>
    </row>
    <row r="12" spans="1:8" customFormat="1" ht="47.25" customHeight="1" x14ac:dyDescent="0.25">
      <c r="A12" s="25" t="s">
        <v>124</v>
      </c>
      <c r="B12" s="25" t="s">
        <v>134</v>
      </c>
      <c r="C12" s="25">
        <v>240</v>
      </c>
      <c r="D12" s="25">
        <v>255</v>
      </c>
      <c r="E12" s="25">
        <v>240</v>
      </c>
      <c r="F12" s="17">
        <v>0.94120000000000004</v>
      </c>
      <c r="G12" s="17">
        <v>1</v>
      </c>
      <c r="H12" s="17">
        <v>0.94120000000000004</v>
      </c>
    </row>
    <row r="13" spans="1:8" customFormat="1" ht="47.25" customHeight="1" x14ac:dyDescent="0.25">
      <c r="A13" s="26" t="s">
        <v>124</v>
      </c>
      <c r="B13" s="26" t="s">
        <v>135</v>
      </c>
      <c r="C13" s="17">
        <v>255</v>
      </c>
      <c r="D13" s="17">
        <v>255</v>
      </c>
      <c r="E13" s="17">
        <v>240</v>
      </c>
      <c r="F13" s="17">
        <v>1</v>
      </c>
      <c r="G13" s="17">
        <v>1</v>
      </c>
      <c r="H13" s="17">
        <v>0.94120000000000004</v>
      </c>
    </row>
    <row r="14" spans="1:8" customFormat="1" ht="47.25" customHeight="1" x14ac:dyDescent="0.25">
      <c r="A14" s="27" t="s">
        <v>124</v>
      </c>
      <c r="B14" s="27" t="s">
        <v>136</v>
      </c>
      <c r="C14" s="27">
        <v>230</v>
      </c>
      <c r="D14" s="27">
        <v>230</v>
      </c>
      <c r="E14" s="27">
        <v>250</v>
      </c>
      <c r="F14" s="17">
        <v>0.90200000000000002</v>
      </c>
      <c r="G14" s="17">
        <v>0.90200000000000002</v>
      </c>
      <c r="H14" s="17">
        <v>0.98040000000000005</v>
      </c>
    </row>
    <row r="15" spans="1:8" customFormat="1" ht="47.25" customHeight="1" x14ac:dyDescent="0.25">
      <c r="A15" s="28" t="s">
        <v>124</v>
      </c>
      <c r="B15" s="28" t="s">
        <v>137</v>
      </c>
      <c r="C15" s="17">
        <v>255</v>
      </c>
      <c r="D15" s="17">
        <v>240</v>
      </c>
      <c r="E15" s="17">
        <v>245</v>
      </c>
      <c r="F15" s="17">
        <v>1</v>
      </c>
      <c r="G15" s="17">
        <v>0.94120000000000004</v>
      </c>
      <c r="H15" s="17">
        <v>0.96079999999999999</v>
      </c>
    </row>
    <row r="16" spans="1:8" customFormat="1" ht="47.25" customHeight="1" x14ac:dyDescent="0.25">
      <c r="A16" s="29" t="s">
        <v>124</v>
      </c>
      <c r="B16" s="29" t="s">
        <v>138</v>
      </c>
      <c r="C16" s="17">
        <v>255</v>
      </c>
      <c r="D16" s="17">
        <v>250</v>
      </c>
      <c r="E16" s="17">
        <v>205</v>
      </c>
      <c r="F16" s="17">
        <v>1</v>
      </c>
      <c r="G16" s="17">
        <v>0.98040000000000005</v>
      </c>
      <c r="H16" s="17">
        <v>0.80389999999999995</v>
      </c>
    </row>
    <row r="17" spans="1:8" customFormat="1" ht="47.25" customHeight="1" x14ac:dyDescent="0.25">
      <c r="A17" s="30" t="s">
        <v>124</v>
      </c>
      <c r="B17" s="30" t="s">
        <v>139</v>
      </c>
      <c r="C17" s="17">
        <v>250</v>
      </c>
      <c r="D17" s="17">
        <v>240</v>
      </c>
      <c r="E17" s="17">
        <v>230</v>
      </c>
      <c r="F17" s="17">
        <v>0.98040000000000005</v>
      </c>
      <c r="G17" s="17">
        <v>0.94120000000000004</v>
      </c>
      <c r="H17" s="17">
        <v>0.90200000000000002</v>
      </c>
    </row>
    <row r="18" spans="1:8" customFormat="1" ht="47.25" customHeight="1" x14ac:dyDescent="0.25">
      <c r="A18" s="31" t="s">
        <v>124</v>
      </c>
      <c r="B18" s="44" t="s">
        <v>140</v>
      </c>
      <c r="C18" s="44">
        <v>245</v>
      </c>
      <c r="D18" s="44">
        <v>255</v>
      </c>
      <c r="E18" s="44">
        <v>250</v>
      </c>
      <c r="F18" s="17">
        <v>0.96079999999999999</v>
      </c>
      <c r="G18" s="17">
        <v>1</v>
      </c>
      <c r="H18" s="17">
        <v>0.98040000000000005</v>
      </c>
    </row>
    <row r="19" spans="1:8" customFormat="1" ht="47.25" customHeight="1" x14ac:dyDescent="0.25">
      <c r="A19" s="32" t="s">
        <v>124</v>
      </c>
      <c r="B19" s="32" t="s">
        <v>141</v>
      </c>
      <c r="C19" s="32">
        <v>255</v>
      </c>
      <c r="D19" s="32">
        <v>228</v>
      </c>
      <c r="E19" s="32">
        <v>225</v>
      </c>
      <c r="F19" s="17">
        <v>1</v>
      </c>
      <c r="G19" s="17">
        <v>0.89410000000000001</v>
      </c>
      <c r="H19" s="17">
        <v>0.88239999999999996</v>
      </c>
    </row>
    <row r="20" spans="1:8" customFormat="1" ht="47.25" customHeight="1" x14ac:dyDescent="0.25">
      <c r="A20" s="33" t="s">
        <v>124</v>
      </c>
      <c r="B20" s="33" t="s">
        <v>142</v>
      </c>
      <c r="C20" s="17">
        <v>255</v>
      </c>
      <c r="D20" s="17">
        <v>228</v>
      </c>
      <c r="E20" s="17">
        <v>181</v>
      </c>
      <c r="F20" s="17">
        <v>1</v>
      </c>
      <c r="G20" s="17">
        <v>0.89410000000000001</v>
      </c>
      <c r="H20" s="17">
        <v>0.70979999999999999</v>
      </c>
    </row>
    <row r="21" spans="1:8" customFormat="1" ht="47.25" customHeight="1" x14ac:dyDescent="0.25">
      <c r="A21" s="34" t="s">
        <v>124</v>
      </c>
      <c r="B21" s="34" t="s">
        <v>143</v>
      </c>
      <c r="C21" s="17">
        <v>255</v>
      </c>
      <c r="D21" s="17">
        <v>222</v>
      </c>
      <c r="E21" s="17">
        <v>173</v>
      </c>
      <c r="F21" s="17">
        <v>1</v>
      </c>
      <c r="G21" s="17">
        <v>0.87060000000000004</v>
      </c>
      <c r="H21" s="17">
        <v>0.6784</v>
      </c>
    </row>
    <row r="22" spans="1:8" customFormat="1" ht="47.25" customHeight="1" x14ac:dyDescent="0.25">
      <c r="A22" s="35" t="s">
        <v>124</v>
      </c>
      <c r="B22" s="35" t="s">
        <v>144</v>
      </c>
      <c r="C22" s="17">
        <v>253</v>
      </c>
      <c r="D22" s="17">
        <v>245</v>
      </c>
      <c r="E22" s="17">
        <v>230</v>
      </c>
      <c r="F22" s="17">
        <v>0.99219999999999997</v>
      </c>
      <c r="G22" s="17">
        <v>0.96079999999999999</v>
      </c>
      <c r="H22" s="17">
        <v>0.90200000000000002</v>
      </c>
    </row>
    <row r="23" spans="1:8" customFormat="1" ht="47.25" customHeight="1" x14ac:dyDescent="0.25">
      <c r="A23" s="36" t="s">
        <v>124</v>
      </c>
      <c r="B23" s="36" t="s">
        <v>145</v>
      </c>
      <c r="C23" s="17">
        <v>255</v>
      </c>
      <c r="D23" s="17">
        <v>239</v>
      </c>
      <c r="E23" s="17">
        <v>213</v>
      </c>
      <c r="F23" s="17">
        <v>1</v>
      </c>
      <c r="G23" s="17">
        <v>0.93730000000000002</v>
      </c>
      <c r="H23" s="17">
        <v>0.83530000000000004</v>
      </c>
    </row>
    <row r="24" spans="1:8" customFormat="1" ht="47.25" customHeight="1" x14ac:dyDescent="0.25">
      <c r="A24" s="37" t="s">
        <v>124</v>
      </c>
      <c r="B24" s="37" t="s">
        <v>146</v>
      </c>
      <c r="C24" s="17">
        <v>255</v>
      </c>
      <c r="D24" s="17">
        <v>218</v>
      </c>
      <c r="E24" s="17">
        <v>185</v>
      </c>
      <c r="F24" s="17">
        <v>1</v>
      </c>
      <c r="G24" s="17">
        <v>0.85489999999999999</v>
      </c>
      <c r="H24" s="17">
        <v>0.72550000000000003</v>
      </c>
    </row>
    <row r="25" spans="1:8" customFormat="1" ht="47.25" customHeight="1" x14ac:dyDescent="0.25">
      <c r="A25" s="38" t="s">
        <v>124</v>
      </c>
      <c r="B25" s="38" t="s">
        <v>147</v>
      </c>
      <c r="C25" s="17">
        <v>255</v>
      </c>
      <c r="D25" s="17">
        <v>245</v>
      </c>
      <c r="E25" s="17">
        <v>238</v>
      </c>
      <c r="F25" s="17">
        <v>1</v>
      </c>
      <c r="G25" s="17">
        <v>0.96079999999999999</v>
      </c>
      <c r="H25" s="17">
        <v>0.93330000000000002</v>
      </c>
    </row>
    <row r="26" spans="1:8" customFormat="1" ht="47.25" customHeight="1" x14ac:dyDescent="0.25">
      <c r="A26" s="39" t="s">
        <v>124</v>
      </c>
      <c r="B26" s="39" t="s">
        <v>148</v>
      </c>
      <c r="C26" s="17">
        <v>255</v>
      </c>
      <c r="D26" s="17">
        <v>250</v>
      </c>
      <c r="E26" s="17">
        <v>250</v>
      </c>
      <c r="F26" s="17">
        <v>1</v>
      </c>
      <c r="G26" s="17">
        <v>0.98040000000000005</v>
      </c>
      <c r="H26" s="17">
        <v>0.98040000000000005</v>
      </c>
    </row>
    <row r="27" spans="1:8" customFormat="1" ht="47.25" customHeight="1" x14ac:dyDescent="0.25">
      <c r="A27" s="40" t="s">
        <v>124</v>
      </c>
      <c r="B27" s="40" t="s">
        <v>149</v>
      </c>
      <c r="C27" s="17">
        <v>216</v>
      </c>
      <c r="D27" s="17">
        <v>191</v>
      </c>
      <c r="E27" s="17">
        <v>216</v>
      </c>
      <c r="F27" s="17">
        <v>0.84709999999999996</v>
      </c>
      <c r="G27" s="17">
        <v>0.749</v>
      </c>
      <c r="H27" s="17">
        <v>0.84709999999999996</v>
      </c>
    </row>
    <row r="28" spans="1:8" customFormat="1" ht="47.25" customHeight="1" x14ac:dyDescent="0.25">
      <c r="A28" s="41" t="s">
        <v>124</v>
      </c>
      <c r="B28" s="41" t="s">
        <v>150</v>
      </c>
      <c r="C28" s="17">
        <v>252</v>
      </c>
      <c r="D28" s="17">
        <v>255</v>
      </c>
      <c r="E28" s="17">
        <v>240</v>
      </c>
      <c r="F28" s="17">
        <v>0.99</v>
      </c>
      <c r="G28" s="17">
        <v>1</v>
      </c>
      <c r="H28" s="17">
        <v>0.94</v>
      </c>
    </row>
    <row r="29" spans="1:8" customFormat="1" ht="47.25" customHeight="1" x14ac:dyDescent="0.25">
      <c r="A29" s="42" t="s">
        <v>124</v>
      </c>
      <c r="B29" s="42" t="s">
        <v>151</v>
      </c>
      <c r="C29" s="17">
        <v>245</v>
      </c>
      <c r="D29" s="17">
        <v>222</v>
      </c>
      <c r="E29" s="17">
        <v>179</v>
      </c>
      <c r="F29" s="17">
        <v>0.96079999999999999</v>
      </c>
      <c r="G29" s="17">
        <v>0.87060000000000004</v>
      </c>
      <c r="H29" s="17">
        <v>0.70199999999999996</v>
      </c>
    </row>
    <row r="30" spans="1:8" customFormat="1" ht="47.25" customHeight="1" x14ac:dyDescent="0.25">
      <c r="A30" s="43" t="s">
        <v>124</v>
      </c>
      <c r="B30" s="43" t="s">
        <v>152</v>
      </c>
      <c r="C30" s="17">
        <v>255</v>
      </c>
      <c r="D30" s="17">
        <v>255</v>
      </c>
      <c r="E30" s="17">
        <v>255</v>
      </c>
      <c r="F30" s="17">
        <v>1</v>
      </c>
      <c r="G30" s="17">
        <v>1</v>
      </c>
      <c r="H30" s="17">
        <v>1</v>
      </c>
    </row>
    <row r="31" spans="1:8" customFormat="1" ht="47.25" customHeight="1" x14ac:dyDescent="0.25">
      <c r="A31" s="44" t="s">
        <v>124</v>
      </c>
      <c r="B31" s="44" t="s">
        <v>153</v>
      </c>
      <c r="C31" s="44">
        <v>245</v>
      </c>
      <c r="D31" s="44">
        <v>245</v>
      </c>
      <c r="E31" s="44">
        <v>245</v>
      </c>
      <c r="F31" s="17">
        <v>0.96079999999999999</v>
      </c>
      <c r="G31" s="17">
        <v>0.96079999999999999</v>
      </c>
      <c r="H31" s="17">
        <v>0.96079999999999999</v>
      </c>
    </row>
    <row r="32" spans="1:8" customFormat="1" ht="47.25" customHeight="1" x14ac:dyDescent="0.25">
      <c r="A32" s="45" t="s">
        <v>124</v>
      </c>
      <c r="B32" s="45" t="s">
        <v>154</v>
      </c>
      <c r="C32" s="17">
        <v>253</v>
      </c>
      <c r="D32" s="17">
        <v>248</v>
      </c>
      <c r="E32" s="17">
        <v>255</v>
      </c>
      <c r="F32" s="17">
        <v>0.99</v>
      </c>
      <c r="G32" s="17">
        <v>0.97</v>
      </c>
      <c r="H32" s="17">
        <v>1</v>
      </c>
    </row>
    <row r="33" spans="1:8" customFormat="1" ht="47.25" customHeight="1" x14ac:dyDescent="0.25">
      <c r="A33" s="46" t="s">
        <v>155</v>
      </c>
      <c r="B33" s="46" t="s">
        <v>156</v>
      </c>
      <c r="C33" s="17">
        <v>128</v>
      </c>
      <c r="D33" s="17">
        <v>138</v>
      </c>
      <c r="E33" s="17">
        <v>135</v>
      </c>
      <c r="F33" s="17">
        <v>0.5</v>
      </c>
      <c r="G33" s="17">
        <v>0.54</v>
      </c>
      <c r="H33" s="17">
        <v>0.53</v>
      </c>
    </row>
    <row r="34" spans="1:8" customFormat="1" ht="47.25" customHeight="1" x14ac:dyDescent="0.25">
      <c r="A34" s="47" t="s">
        <v>155</v>
      </c>
      <c r="B34" s="47" t="s">
        <v>157</v>
      </c>
      <c r="C34" s="17">
        <v>105</v>
      </c>
      <c r="D34" s="17">
        <v>105</v>
      </c>
      <c r="E34" s="17">
        <v>105</v>
      </c>
      <c r="F34" s="17">
        <v>0.4118</v>
      </c>
      <c r="G34" s="17">
        <v>0.4118</v>
      </c>
      <c r="H34" s="17">
        <v>0.4118</v>
      </c>
    </row>
    <row r="35" spans="1:8" customFormat="1" ht="47.25" customHeight="1" x14ac:dyDescent="0.25">
      <c r="A35" s="48" t="s">
        <v>155</v>
      </c>
      <c r="B35" s="48" t="s">
        <v>158</v>
      </c>
      <c r="C35" s="17">
        <v>192</v>
      </c>
      <c r="D35" s="17">
        <v>192</v>
      </c>
      <c r="E35" s="17">
        <v>192</v>
      </c>
      <c r="F35" s="17">
        <v>0.75290000000000001</v>
      </c>
      <c r="G35" s="17">
        <v>0.75290000000000001</v>
      </c>
      <c r="H35" s="17">
        <v>0.75290000000000001</v>
      </c>
    </row>
    <row r="36" spans="1:8" customFormat="1" ht="47.25" customHeight="1" x14ac:dyDescent="0.25">
      <c r="A36" s="49" t="s">
        <v>155</v>
      </c>
      <c r="B36" s="49" t="s">
        <v>159</v>
      </c>
      <c r="C36" s="17">
        <v>211</v>
      </c>
      <c r="D36" s="17">
        <v>211</v>
      </c>
      <c r="E36" s="17">
        <v>211</v>
      </c>
      <c r="F36" s="17">
        <v>0.82750000000000001</v>
      </c>
      <c r="G36" s="17">
        <v>0.82750000000000001</v>
      </c>
      <c r="H36" s="17">
        <v>0.82750000000000001</v>
      </c>
    </row>
    <row r="37" spans="1:8" customFormat="1" ht="47.25" customHeight="1" x14ac:dyDescent="0.25">
      <c r="A37" s="50" t="s">
        <v>155</v>
      </c>
      <c r="B37" s="50" t="s">
        <v>160</v>
      </c>
      <c r="C37" s="17">
        <v>112</v>
      </c>
      <c r="D37" s="17">
        <v>128</v>
      </c>
      <c r="E37" s="17">
        <v>144</v>
      </c>
      <c r="F37" s="17">
        <v>0.43919999999999998</v>
      </c>
      <c r="G37" s="17">
        <v>0.502</v>
      </c>
      <c r="H37" s="17">
        <v>0.56469999999999998</v>
      </c>
    </row>
    <row r="38" spans="1:8" customFormat="1" ht="47.25" customHeight="1" x14ac:dyDescent="0.25">
      <c r="A38" s="51" t="s">
        <v>155</v>
      </c>
      <c r="B38" s="51" t="s">
        <v>161</v>
      </c>
      <c r="C38" s="17">
        <v>47</v>
      </c>
      <c r="D38" s="17">
        <v>79</v>
      </c>
      <c r="E38" s="17">
        <v>79</v>
      </c>
      <c r="F38" s="17">
        <v>0.18429999999999999</v>
      </c>
      <c r="G38" s="17">
        <v>0.30980000000000002</v>
      </c>
      <c r="H38" s="17">
        <v>0.30980000000000002</v>
      </c>
    </row>
    <row r="39" spans="1:8" customFormat="1" ht="47.25" customHeight="1" x14ac:dyDescent="0.25">
      <c r="A39" s="52" t="s">
        <v>155</v>
      </c>
      <c r="B39" s="52" t="s">
        <v>162</v>
      </c>
      <c r="C39" s="52">
        <v>119</v>
      </c>
      <c r="D39" s="52">
        <v>136</v>
      </c>
      <c r="E39" s="52">
        <v>153</v>
      </c>
      <c r="F39" s="17">
        <v>0.4667</v>
      </c>
      <c r="G39" s="17">
        <v>0.5333</v>
      </c>
      <c r="H39" s="17">
        <v>0.6</v>
      </c>
    </row>
    <row r="40" spans="1:8" customFormat="1" ht="47.25" customHeight="1" x14ac:dyDescent="0.25">
      <c r="A40" s="53" t="s">
        <v>155</v>
      </c>
      <c r="B40" s="53" t="s">
        <v>163</v>
      </c>
      <c r="C40" s="17">
        <v>128</v>
      </c>
      <c r="D40" s="17">
        <v>128</v>
      </c>
      <c r="E40" s="17">
        <v>105</v>
      </c>
      <c r="F40" s="17">
        <v>0.5</v>
      </c>
      <c r="G40" s="17">
        <v>0.5</v>
      </c>
      <c r="H40" s="17">
        <v>0.41</v>
      </c>
    </row>
    <row r="41" spans="1:8" customFormat="1" ht="47.25" customHeight="1" x14ac:dyDescent="0.25">
      <c r="A41" s="54" t="s">
        <v>164</v>
      </c>
      <c r="B41" s="54" t="s">
        <v>165</v>
      </c>
      <c r="C41" s="17">
        <v>0</v>
      </c>
      <c r="D41" s="17">
        <v>0</v>
      </c>
      <c r="E41" s="17">
        <v>0</v>
      </c>
      <c r="F41" s="17">
        <v>0</v>
      </c>
      <c r="G41" s="17">
        <v>0</v>
      </c>
      <c r="H41" s="17">
        <v>0</v>
      </c>
    </row>
    <row r="42" spans="1:8" customFormat="1" ht="47.25" customHeight="1" x14ac:dyDescent="0.25">
      <c r="A42" s="55" t="s">
        <v>164</v>
      </c>
      <c r="B42" s="55" t="s">
        <v>166</v>
      </c>
      <c r="C42" s="17">
        <v>41</v>
      </c>
      <c r="D42" s="17">
        <v>36</v>
      </c>
      <c r="E42" s="17">
        <v>33</v>
      </c>
      <c r="F42" s="17">
        <v>0.16</v>
      </c>
      <c r="G42" s="17">
        <v>0.14000000000000001</v>
      </c>
      <c r="H42" s="17">
        <v>0.13</v>
      </c>
    </row>
    <row r="43" spans="1:8" customFormat="1" ht="47.25" customHeight="1" x14ac:dyDescent="0.25">
      <c r="A43" s="56" t="s">
        <v>164</v>
      </c>
      <c r="B43" s="56" t="s">
        <v>167</v>
      </c>
      <c r="C43" s="56">
        <v>46</v>
      </c>
      <c r="D43" s="56">
        <v>71</v>
      </c>
      <c r="E43" s="56">
        <v>59</v>
      </c>
      <c r="F43" s="17">
        <v>0.18</v>
      </c>
      <c r="G43" s="17">
        <v>0.28000000000000003</v>
      </c>
      <c r="H43" s="17">
        <v>0.23</v>
      </c>
    </row>
    <row r="44" spans="1:8" customFormat="1" ht="47.25" customHeight="1" x14ac:dyDescent="0.25">
      <c r="A44" s="57" t="s">
        <v>168</v>
      </c>
      <c r="B44" s="57" t="s">
        <v>169</v>
      </c>
      <c r="C44" s="57">
        <v>227</v>
      </c>
      <c r="D44" s="57">
        <v>38</v>
      </c>
      <c r="E44" s="57">
        <v>54</v>
      </c>
      <c r="F44" s="17">
        <v>0.89</v>
      </c>
      <c r="G44" s="17">
        <v>0.15</v>
      </c>
      <c r="H44" s="17">
        <v>0.21</v>
      </c>
    </row>
    <row r="45" spans="1:8" customFormat="1" ht="47.25" customHeight="1" x14ac:dyDescent="0.25">
      <c r="A45" s="58" t="s">
        <v>168</v>
      </c>
      <c r="B45" s="58" t="s">
        <v>170</v>
      </c>
      <c r="C45" s="17">
        <v>156</v>
      </c>
      <c r="D45" s="17">
        <v>102</v>
      </c>
      <c r="E45" s="17">
        <v>31</v>
      </c>
      <c r="F45" s="17">
        <v>0.61</v>
      </c>
      <c r="G45" s="17">
        <v>0.4</v>
      </c>
      <c r="H45" s="17">
        <v>0.12</v>
      </c>
    </row>
    <row r="46" spans="1:8" customFormat="1" ht="47.25" customHeight="1" x14ac:dyDescent="0.25">
      <c r="A46" s="59" t="s">
        <v>168</v>
      </c>
      <c r="B46" s="59" t="s">
        <v>171</v>
      </c>
      <c r="C46" s="17">
        <v>227</v>
      </c>
      <c r="D46" s="17">
        <v>23</v>
      </c>
      <c r="E46" s="17">
        <v>13</v>
      </c>
      <c r="F46" s="17">
        <v>0.89</v>
      </c>
      <c r="G46" s="17">
        <v>0.09</v>
      </c>
      <c r="H46" s="17">
        <v>0.05</v>
      </c>
    </row>
    <row r="47" spans="1:8" customFormat="1" ht="47.25" customHeight="1" x14ac:dyDescent="0.25">
      <c r="A47" s="60" t="s">
        <v>168</v>
      </c>
      <c r="B47" s="60" t="s">
        <v>172</v>
      </c>
      <c r="C47" s="17">
        <v>255</v>
      </c>
      <c r="D47" s="17">
        <v>127</v>
      </c>
      <c r="E47" s="17">
        <v>80</v>
      </c>
      <c r="F47" s="17">
        <v>1</v>
      </c>
      <c r="G47" s="17">
        <v>0.498</v>
      </c>
      <c r="H47" s="17">
        <v>0.31369999999999998</v>
      </c>
    </row>
    <row r="48" spans="1:8" customFormat="1" ht="47.25" customHeight="1" x14ac:dyDescent="0.25">
      <c r="A48" s="61" t="s">
        <v>168</v>
      </c>
      <c r="B48" s="61" t="s">
        <v>173</v>
      </c>
      <c r="C48" s="17">
        <v>240</v>
      </c>
      <c r="D48" s="17">
        <v>128</v>
      </c>
      <c r="E48" s="17">
        <v>128</v>
      </c>
      <c r="F48" s="17">
        <v>0.94120000000000004</v>
      </c>
      <c r="G48" s="17">
        <v>0.502</v>
      </c>
      <c r="H48" s="17">
        <v>0.502</v>
      </c>
    </row>
    <row r="49" spans="1:8" customFormat="1" ht="47.25" customHeight="1" x14ac:dyDescent="0.25">
      <c r="A49" s="62" t="s">
        <v>168</v>
      </c>
      <c r="B49" s="62" t="s">
        <v>174</v>
      </c>
      <c r="C49" s="17">
        <v>255</v>
      </c>
      <c r="D49" s="17">
        <v>20</v>
      </c>
      <c r="E49" s="17">
        <v>147</v>
      </c>
      <c r="F49" s="17">
        <v>1</v>
      </c>
      <c r="G49" s="17">
        <v>7.8399999999999997E-2</v>
      </c>
      <c r="H49" s="17">
        <v>0.57650000000000001</v>
      </c>
    </row>
    <row r="50" spans="1:8" customFormat="1" ht="47.25" customHeight="1" x14ac:dyDescent="0.25">
      <c r="A50" s="63" t="s">
        <v>168</v>
      </c>
      <c r="B50" s="63" t="s">
        <v>175</v>
      </c>
      <c r="C50" s="17">
        <v>212</v>
      </c>
      <c r="D50" s="17">
        <v>61</v>
      </c>
      <c r="E50" s="17">
        <v>26</v>
      </c>
      <c r="F50" s="17">
        <v>0.83</v>
      </c>
      <c r="G50" s="17">
        <v>0.24</v>
      </c>
      <c r="H50" s="17">
        <v>0.1</v>
      </c>
    </row>
    <row r="51" spans="1:8" customFormat="1" ht="47.25" customHeight="1" x14ac:dyDescent="0.25">
      <c r="A51" s="64" t="s">
        <v>168</v>
      </c>
      <c r="B51" s="64" t="s">
        <v>176</v>
      </c>
      <c r="C51" s="17">
        <v>178</v>
      </c>
      <c r="D51" s="17">
        <v>34</v>
      </c>
      <c r="E51" s="17">
        <v>34</v>
      </c>
      <c r="F51" s="17">
        <v>0.69799999999999995</v>
      </c>
      <c r="G51" s="17">
        <v>0.1333</v>
      </c>
      <c r="H51" s="17">
        <v>0.1333</v>
      </c>
    </row>
    <row r="52" spans="1:8" customFormat="1" ht="47.25" customHeight="1" x14ac:dyDescent="0.25">
      <c r="A52" s="65" t="s">
        <v>168</v>
      </c>
      <c r="B52" s="65" t="s">
        <v>78</v>
      </c>
      <c r="C52" s="65">
        <v>227</v>
      </c>
      <c r="D52" s="65">
        <v>18</v>
      </c>
      <c r="E52" s="65">
        <v>48</v>
      </c>
      <c r="F52" s="17">
        <v>0.89</v>
      </c>
      <c r="G52" s="17">
        <v>7.0000000000000007E-2</v>
      </c>
      <c r="H52" s="17">
        <v>0.19</v>
      </c>
    </row>
    <row r="53" spans="1:8" customFormat="1" ht="47.25" customHeight="1" x14ac:dyDescent="0.25">
      <c r="A53" s="66" t="s">
        <v>168</v>
      </c>
      <c r="B53" s="66" t="s">
        <v>177</v>
      </c>
      <c r="C53" s="17">
        <v>255</v>
      </c>
      <c r="D53" s="17">
        <v>105</v>
      </c>
      <c r="E53" s="17">
        <v>180</v>
      </c>
      <c r="F53" s="17">
        <v>1</v>
      </c>
      <c r="G53" s="17">
        <v>0.4118</v>
      </c>
      <c r="H53" s="17">
        <v>0.70589999999999997</v>
      </c>
    </row>
    <row r="54" spans="1:8" customFormat="1" ht="47.25" customHeight="1" x14ac:dyDescent="0.25">
      <c r="A54" s="67" t="s">
        <v>168</v>
      </c>
      <c r="B54" s="67" t="s">
        <v>178</v>
      </c>
      <c r="C54" s="67">
        <v>176</v>
      </c>
      <c r="D54" s="67">
        <v>23</v>
      </c>
      <c r="E54" s="67">
        <v>31</v>
      </c>
      <c r="F54" s="17">
        <v>0.69</v>
      </c>
      <c r="G54" s="17">
        <v>0.09</v>
      </c>
      <c r="H54" s="17">
        <v>0.12</v>
      </c>
    </row>
    <row r="55" spans="1:8" customFormat="1" ht="47.25" customHeight="1" x14ac:dyDescent="0.25">
      <c r="A55" s="68" t="s">
        <v>168</v>
      </c>
      <c r="B55" s="68" t="s">
        <v>179</v>
      </c>
      <c r="C55" s="17">
        <v>255</v>
      </c>
      <c r="D55" s="17">
        <v>160</v>
      </c>
      <c r="E55" s="17">
        <v>122</v>
      </c>
      <c r="F55" s="17">
        <v>1</v>
      </c>
      <c r="G55" s="17">
        <v>0.62749999999999995</v>
      </c>
      <c r="H55" s="17">
        <v>0.47839999999999999</v>
      </c>
    </row>
    <row r="56" spans="1:8" customFormat="1" ht="47.25" customHeight="1" x14ac:dyDescent="0.25">
      <c r="A56" s="69" t="s">
        <v>168</v>
      </c>
      <c r="B56" s="69" t="s">
        <v>180</v>
      </c>
      <c r="C56" s="69">
        <v>227</v>
      </c>
      <c r="D56" s="69">
        <v>46</v>
      </c>
      <c r="E56" s="69">
        <v>48</v>
      </c>
      <c r="F56" s="17">
        <v>0.89</v>
      </c>
      <c r="G56" s="17">
        <v>0.18</v>
      </c>
      <c r="H56" s="17">
        <v>0.19</v>
      </c>
    </row>
    <row r="57" spans="1:8" customFormat="1" ht="47.25" customHeight="1" x14ac:dyDescent="0.25">
      <c r="A57" s="70" t="s">
        <v>168</v>
      </c>
      <c r="B57" s="70" t="s">
        <v>181</v>
      </c>
      <c r="C57" s="17">
        <v>176</v>
      </c>
      <c r="D57" s="17">
        <v>48</v>
      </c>
      <c r="E57" s="17">
        <v>96</v>
      </c>
      <c r="F57" s="17">
        <v>0.69020000000000004</v>
      </c>
      <c r="G57" s="17">
        <v>0.18820000000000001</v>
      </c>
      <c r="H57" s="17">
        <v>0.3765</v>
      </c>
    </row>
    <row r="58" spans="1:8" customFormat="1" ht="47.25" customHeight="1" x14ac:dyDescent="0.25">
      <c r="A58" s="71" t="s">
        <v>168</v>
      </c>
      <c r="B58" s="71" t="s">
        <v>182</v>
      </c>
      <c r="C58" s="17">
        <v>255</v>
      </c>
      <c r="D58" s="17">
        <v>192</v>
      </c>
      <c r="E58" s="17">
        <v>203</v>
      </c>
      <c r="F58" s="17">
        <v>1</v>
      </c>
      <c r="G58" s="17">
        <v>0.75290000000000001</v>
      </c>
      <c r="H58" s="17">
        <v>0.79610000000000003</v>
      </c>
    </row>
    <row r="59" spans="1:8" customFormat="1" ht="47.25" customHeight="1" x14ac:dyDescent="0.25">
      <c r="A59" s="72" t="s">
        <v>168</v>
      </c>
      <c r="B59" s="72" t="s">
        <v>183</v>
      </c>
      <c r="C59" s="17">
        <v>255</v>
      </c>
      <c r="D59" s="17">
        <v>182</v>
      </c>
      <c r="E59" s="17">
        <v>193</v>
      </c>
      <c r="F59" s="17">
        <v>1</v>
      </c>
      <c r="G59" s="17">
        <v>0.7137</v>
      </c>
      <c r="H59" s="17">
        <v>0.75690000000000002</v>
      </c>
    </row>
    <row r="60" spans="1:8" customFormat="1" ht="47.25" customHeight="1" x14ac:dyDescent="0.25">
      <c r="A60" s="73" t="s">
        <v>168</v>
      </c>
      <c r="B60" s="73" t="s">
        <v>184</v>
      </c>
      <c r="C60" s="73">
        <v>135</v>
      </c>
      <c r="D60" s="73">
        <v>38</v>
      </c>
      <c r="E60" s="73">
        <v>87</v>
      </c>
      <c r="F60" s="17">
        <v>0.53</v>
      </c>
      <c r="G60" s="17">
        <v>0.15</v>
      </c>
      <c r="H60" s="17">
        <v>0.34</v>
      </c>
    </row>
    <row r="61" spans="1:8" customFormat="1" ht="47.25" customHeight="1" x14ac:dyDescent="0.25">
      <c r="A61" s="74" t="s">
        <v>168</v>
      </c>
      <c r="B61" s="74" t="s">
        <v>185</v>
      </c>
      <c r="C61" s="17">
        <v>255</v>
      </c>
      <c r="D61" s="17">
        <v>0</v>
      </c>
      <c r="E61" s="17">
        <v>0</v>
      </c>
      <c r="F61" s="17">
        <v>1</v>
      </c>
      <c r="G61" s="17">
        <v>0</v>
      </c>
      <c r="H61" s="17">
        <v>0</v>
      </c>
    </row>
    <row r="62" spans="1:8" customFormat="1" ht="47.25" customHeight="1" x14ac:dyDescent="0.25">
      <c r="A62" s="75" t="s">
        <v>168</v>
      </c>
      <c r="B62" s="75" t="s">
        <v>186</v>
      </c>
      <c r="C62" s="17">
        <v>227</v>
      </c>
      <c r="D62" s="17">
        <v>54</v>
      </c>
      <c r="E62" s="17">
        <v>56</v>
      </c>
      <c r="F62" s="17">
        <v>0.89</v>
      </c>
      <c r="G62" s="17">
        <v>0.21</v>
      </c>
      <c r="H62" s="17">
        <v>0.22</v>
      </c>
    </row>
    <row r="63" spans="1:8" customFormat="1" ht="47.25" customHeight="1" x14ac:dyDescent="0.25">
      <c r="A63" s="76" t="s">
        <v>168</v>
      </c>
      <c r="B63" s="76" t="s">
        <v>187</v>
      </c>
      <c r="C63" s="17">
        <v>250</v>
      </c>
      <c r="D63" s="17">
        <v>128</v>
      </c>
      <c r="E63" s="17">
        <v>114</v>
      </c>
      <c r="F63" s="17">
        <v>0.98040000000000005</v>
      </c>
      <c r="G63" s="17">
        <v>0.502</v>
      </c>
      <c r="H63" s="17">
        <v>0.4471</v>
      </c>
    </row>
    <row r="64" spans="1:8" customFormat="1" ht="47.25" customHeight="1" x14ac:dyDescent="0.25">
      <c r="A64" s="77" t="s">
        <v>168</v>
      </c>
      <c r="B64" s="77" t="s">
        <v>188</v>
      </c>
      <c r="C64" s="17">
        <v>255</v>
      </c>
      <c r="D64" s="17">
        <v>99</v>
      </c>
      <c r="E64" s="17">
        <v>71</v>
      </c>
      <c r="F64" s="17">
        <v>1</v>
      </c>
      <c r="G64" s="17">
        <v>0.38819999999999999</v>
      </c>
      <c r="H64" s="17">
        <v>0.27839999999999998</v>
      </c>
    </row>
    <row r="65" spans="1:8" customFormat="1" ht="47.25" customHeight="1" x14ac:dyDescent="0.25">
      <c r="A65" s="78" t="s">
        <v>168</v>
      </c>
      <c r="B65" s="78" t="s">
        <v>189</v>
      </c>
      <c r="C65" s="17">
        <v>212</v>
      </c>
      <c r="D65" s="17">
        <v>26</v>
      </c>
      <c r="E65" s="17">
        <v>31</v>
      </c>
      <c r="F65" s="17">
        <v>0.83</v>
      </c>
      <c r="G65" s="17">
        <v>0.1</v>
      </c>
      <c r="H65" s="17">
        <v>0.12</v>
      </c>
    </row>
    <row r="66" spans="1:8" customFormat="1" ht="47.25" customHeight="1" x14ac:dyDescent="0.25">
      <c r="A66" s="79" t="s">
        <v>190</v>
      </c>
      <c r="B66" s="79" t="s">
        <v>191</v>
      </c>
      <c r="C66" s="79">
        <v>163</v>
      </c>
      <c r="D66" s="79">
        <v>148</v>
      </c>
      <c r="E66" s="79">
        <v>128</v>
      </c>
      <c r="F66" s="17">
        <v>0.64</v>
      </c>
      <c r="G66" s="17">
        <v>0.57999999999999996</v>
      </c>
      <c r="H66" s="17">
        <v>0.5</v>
      </c>
    </row>
    <row r="67" spans="1:8" customFormat="1" ht="47.25" customHeight="1" x14ac:dyDescent="0.25">
      <c r="A67" s="80" t="s">
        <v>190</v>
      </c>
      <c r="B67" s="80" t="s">
        <v>192</v>
      </c>
      <c r="C67" s="17">
        <v>128</v>
      </c>
      <c r="D67" s="17">
        <v>42</v>
      </c>
      <c r="E67" s="17">
        <v>42</v>
      </c>
      <c r="F67" s="17">
        <v>0.5</v>
      </c>
      <c r="G67" s="17">
        <v>0.16470000000000001</v>
      </c>
      <c r="H67" s="17">
        <v>0.16470000000000001</v>
      </c>
    </row>
    <row r="68" spans="1:8" customFormat="1" ht="47.25" customHeight="1" x14ac:dyDescent="0.25">
      <c r="A68" s="81" t="s">
        <v>190</v>
      </c>
      <c r="B68" s="81" t="s">
        <v>193</v>
      </c>
      <c r="C68" s="17">
        <v>219</v>
      </c>
      <c r="D68" s="17">
        <v>41</v>
      </c>
      <c r="E68" s="17">
        <v>41</v>
      </c>
      <c r="F68" s="17">
        <v>0.86</v>
      </c>
      <c r="G68" s="17">
        <v>0.16</v>
      </c>
      <c r="H68" s="17">
        <v>0.16</v>
      </c>
    </row>
    <row r="69" spans="1:8" customFormat="1" ht="47.25" customHeight="1" x14ac:dyDescent="0.25">
      <c r="A69" s="82" t="s">
        <v>190</v>
      </c>
      <c r="B69" s="82" t="s">
        <v>194</v>
      </c>
      <c r="C69" s="17">
        <v>135</v>
      </c>
      <c r="D69" s="17">
        <v>66</v>
      </c>
      <c r="E69" s="17">
        <v>31</v>
      </c>
      <c r="F69" s="17">
        <v>0.53</v>
      </c>
      <c r="G69" s="17">
        <v>0.26</v>
      </c>
      <c r="H69" s="17">
        <v>0.12</v>
      </c>
    </row>
    <row r="70" spans="1:8" customFormat="1" ht="47.25" customHeight="1" x14ac:dyDescent="0.25">
      <c r="A70" s="83" t="s">
        <v>190</v>
      </c>
      <c r="B70" s="83" t="s">
        <v>195</v>
      </c>
      <c r="C70" s="17">
        <v>222</v>
      </c>
      <c r="D70" s="17">
        <v>184</v>
      </c>
      <c r="E70" s="17">
        <v>135</v>
      </c>
      <c r="F70" s="17">
        <v>0.87060000000000004</v>
      </c>
      <c r="G70" s="17">
        <v>0.72160000000000002</v>
      </c>
      <c r="H70" s="17">
        <v>0.52939999999999998</v>
      </c>
    </row>
    <row r="71" spans="1:8" customFormat="1" ht="47.25" customHeight="1" x14ac:dyDescent="0.25">
      <c r="A71" s="84" t="s">
        <v>190</v>
      </c>
      <c r="B71" s="84" t="s">
        <v>196</v>
      </c>
      <c r="C71" s="17">
        <v>138</v>
      </c>
      <c r="D71" s="17">
        <v>54</v>
      </c>
      <c r="E71" s="17">
        <v>15</v>
      </c>
      <c r="F71" s="17">
        <v>0.54</v>
      </c>
      <c r="G71" s="17">
        <v>0.21</v>
      </c>
      <c r="H71" s="17">
        <v>0.06</v>
      </c>
    </row>
    <row r="72" spans="1:8" customFormat="1" ht="47.25" customHeight="1" x14ac:dyDescent="0.25">
      <c r="A72" s="85" t="s">
        <v>190</v>
      </c>
      <c r="B72" s="85" t="s">
        <v>197</v>
      </c>
      <c r="C72" s="17">
        <v>138</v>
      </c>
      <c r="D72" s="17">
        <v>51</v>
      </c>
      <c r="E72" s="17">
        <v>36</v>
      </c>
      <c r="F72" s="17">
        <v>0.54</v>
      </c>
      <c r="G72" s="17">
        <v>0.2</v>
      </c>
      <c r="H72" s="17">
        <v>0.14000000000000001</v>
      </c>
    </row>
    <row r="73" spans="1:8" customFormat="1" ht="47.25" customHeight="1" x14ac:dyDescent="0.25">
      <c r="A73" s="86" t="s">
        <v>190</v>
      </c>
      <c r="B73" s="86" t="s">
        <v>198</v>
      </c>
      <c r="C73" s="17">
        <v>210</v>
      </c>
      <c r="D73" s="17">
        <v>105</v>
      </c>
      <c r="E73" s="17">
        <v>30</v>
      </c>
      <c r="F73" s="17">
        <v>0.82350000000000001</v>
      </c>
      <c r="G73" s="17">
        <v>0.4118</v>
      </c>
      <c r="H73" s="17">
        <v>0.1176</v>
      </c>
    </row>
    <row r="74" spans="1:8" customFormat="1" ht="47.25" customHeight="1" x14ac:dyDescent="0.25">
      <c r="A74" s="87" t="s">
        <v>190</v>
      </c>
      <c r="B74" s="87" t="s">
        <v>199</v>
      </c>
      <c r="C74" s="17">
        <v>115</v>
      </c>
      <c r="D74" s="17">
        <v>61</v>
      </c>
      <c r="E74" s="17">
        <v>26</v>
      </c>
      <c r="F74" s="17">
        <v>0.45</v>
      </c>
      <c r="G74" s="17">
        <v>0.24</v>
      </c>
      <c r="H74" s="17">
        <v>0.1</v>
      </c>
    </row>
    <row r="75" spans="1:8" customFormat="1" ht="47.25" customHeight="1" x14ac:dyDescent="0.25">
      <c r="A75" s="88" t="s">
        <v>190</v>
      </c>
      <c r="B75" s="88" t="s">
        <v>200</v>
      </c>
      <c r="C75" s="17">
        <v>255</v>
      </c>
      <c r="D75" s="17">
        <v>125</v>
      </c>
      <c r="E75" s="17">
        <v>64</v>
      </c>
      <c r="F75" s="17">
        <v>1</v>
      </c>
      <c r="G75" s="17">
        <v>0.49</v>
      </c>
      <c r="H75" s="17">
        <v>0.25</v>
      </c>
    </row>
    <row r="76" spans="1:8" customFormat="1" ht="47.25" customHeight="1" x14ac:dyDescent="0.25">
      <c r="A76" s="89" t="s">
        <v>190</v>
      </c>
      <c r="B76" s="89" t="s">
        <v>201</v>
      </c>
      <c r="C76" s="17">
        <v>255</v>
      </c>
      <c r="D76" s="17">
        <v>87</v>
      </c>
      <c r="E76" s="17">
        <v>33</v>
      </c>
      <c r="F76" s="17">
        <v>1</v>
      </c>
      <c r="G76" s="17">
        <v>0.34</v>
      </c>
      <c r="H76" s="17">
        <v>0.13</v>
      </c>
    </row>
    <row r="77" spans="1:8" customFormat="1" ht="47.25" customHeight="1" x14ac:dyDescent="0.25">
      <c r="A77" s="90" t="s">
        <v>190</v>
      </c>
      <c r="B77" s="90" t="s">
        <v>202</v>
      </c>
      <c r="C77" s="17">
        <v>199</v>
      </c>
      <c r="D77" s="17">
        <v>120</v>
      </c>
      <c r="E77" s="17">
        <v>38</v>
      </c>
      <c r="F77" s="17">
        <v>0.78</v>
      </c>
      <c r="G77" s="17">
        <v>0.47</v>
      </c>
      <c r="H77" s="17">
        <v>0.15</v>
      </c>
    </row>
    <row r="78" spans="1:8" customFormat="1" ht="47.25" customHeight="1" x14ac:dyDescent="0.25">
      <c r="A78" s="91" t="s">
        <v>190</v>
      </c>
      <c r="B78" s="91" t="s">
        <v>203</v>
      </c>
      <c r="C78" s="17">
        <v>255</v>
      </c>
      <c r="D78" s="17">
        <v>61</v>
      </c>
      <c r="E78" s="17">
        <v>13</v>
      </c>
      <c r="F78" s="17">
        <v>1</v>
      </c>
      <c r="G78" s="17">
        <v>0.24</v>
      </c>
      <c r="H78" s="17">
        <v>0.05</v>
      </c>
    </row>
    <row r="79" spans="1:8" customFormat="1" ht="47.25" customHeight="1" x14ac:dyDescent="0.25">
      <c r="A79" s="92" t="s">
        <v>190</v>
      </c>
      <c r="B79" s="92" t="s">
        <v>204</v>
      </c>
      <c r="C79" s="17">
        <v>240</v>
      </c>
      <c r="D79" s="17">
        <v>230</v>
      </c>
      <c r="E79" s="17">
        <v>140</v>
      </c>
      <c r="F79" s="17">
        <v>0.94120000000000004</v>
      </c>
      <c r="G79" s="17">
        <v>0.90200000000000002</v>
      </c>
      <c r="H79" s="17">
        <v>0.54900000000000004</v>
      </c>
    </row>
    <row r="80" spans="1:8" customFormat="1" ht="47.25" customHeight="1" x14ac:dyDescent="0.25">
      <c r="A80" s="93" t="s">
        <v>190</v>
      </c>
      <c r="B80" s="93" t="s">
        <v>205</v>
      </c>
      <c r="C80" s="17">
        <v>189</v>
      </c>
      <c r="D80" s="17">
        <v>183</v>
      </c>
      <c r="E80" s="17">
        <v>107</v>
      </c>
      <c r="F80" s="17">
        <v>0.74119999999999997</v>
      </c>
      <c r="G80" s="17">
        <v>0.71760000000000002</v>
      </c>
      <c r="H80" s="17">
        <v>0.41959999999999997</v>
      </c>
    </row>
    <row r="81" spans="1:8" customFormat="1" ht="47.25" customHeight="1" x14ac:dyDescent="0.25">
      <c r="A81" s="94" t="s">
        <v>190</v>
      </c>
      <c r="B81" s="94" t="s">
        <v>206</v>
      </c>
      <c r="C81" s="17">
        <v>245</v>
      </c>
      <c r="D81" s="17">
        <v>245</v>
      </c>
      <c r="E81" s="17">
        <v>220</v>
      </c>
      <c r="F81" s="17">
        <v>0.96079999999999999</v>
      </c>
      <c r="G81" s="17">
        <v>0.96079999999999999</v>
      </c>
      <c r="H81" s="17">
        <v>0.86270000000000002</v>
      </c>
    </row>
    <row r="82" spans="1:8" customFormat="1" ht="47.25" customHeight="1" x14ac:dyDescent="0.25">
      <c r="A82" s="95" t="s">
        <v>190</v>
      </c>
      <c r="B82" s="95" t="s">
        <v>207</v>
      </c>
      <c r="C82" s="17">
        <v>205</v>
      </c>
      <c r="D82" s="17">
        <v>133</v>
      </c>
      <c r="E82" s="17">
        <v>63</v>
      </c>
      <c r="F82" s="17">
        <v>0.80389999999999995</v>
      </c>
      <c r="G82" s="17">
        <v>0.52159999999999995</v>
      </c>
      <c r="H82" s="17">
        <v>0.24709999999999999</v>
      </c>
    </row>
    <row r="83" spans="1:8" customFormat="1" ht="47.25" customHeight="1" x14ac:dyDescent="0.25">
      <c r="A83" s="96" t="s">
        <v>190</v>
      </c>
      <c r="B83" s="96" t="s">
        <v>208</v>
      </c>
      <c r="C83" s="96">
        <v>188</v>
      </c>
      <c r="D83" s="96">
        <v>143</v>
      </c>
      <c r="E83" s="96">
        <v>143</v>
      </c>
      <c r="F83" s="17">
        <v>0.73729999999999996</v>
      </c>
      <c r="G83" s="17">
        <v>0.56079999999999997</v>
      </c>
      <c r="H83" s="17">
        <v>0.56079999999999997</v>
      </c>
    </row>
    <row r="84" spans="1:8" customFormat="1" ht="47.25" customHeight="1" x14ac:dyDescent="0.25">
      <c r="A84" s="97" t="s">
        <v>190</v>
      </c>
      <c r="B84" s="97" t="s">
        <v>209</v>
      </c>
      <c r="C84" s="17">
        <v>199</v>
      </c>
      <c r="D84" s="17">
        <v>97</v>
      </c>
      <c r="E84" s="17">
        <v>20</v>
      </c>
      <c r="F84" s="17">
        <v>0.78</v>
      </c>
      <c r="G84" s="17">
        <v>0.38</v>
      </c>
      <c r="H84" s="17">
        <v>0.08</v>
      </c>
    </row>
    <row r="85" spans="1:8" customFormat="1" ht="47.25" customHeight="1" x14ac:dyDescent="0.25">
      <c r="A85" s="98" t="s">
        <v>190</v>
      </c>
      <c r="B85" s="98" t="s">
        <v>210</v>
      </c>
      <c r="C85" s="17">
        <v>115</v>
      </c>
      <c r="D85" s="17">
        <v>74</v>
      </c>
      <c r="E85" s="17">
        <v>18</v>
      </c>
      <c r="F85" s="17">
        <v>0.45</v>
      </c>
      <c r="G85" s="17">
        <v>0.28999999999999998</v>
      </c>
      <c r="H85" s="17">
        <v>7.0000000000000007E-2</v>
      </c>
    </row>
    <row r="86" spans="1:8" customFormat="1" ht="47.25" customHeight="1" x14ac:dyDescent="0.25">
      <c r="A86" s="99" t="s">
        <v>190</v>
      </c>
      <c r="B86" s="99" t="s">
        <v>211</v>
      </c>
      <c r="C86" s="99">
        <v>94</v>
      </c>
      <c r="D86" s="99">
        <v>38</v>
      </c>
      <c r="E86" s="99">
        <v>18</v>
      </c>
      <c r="F86" s="17">
        <v>0.37</v>
      </c>
      <c r="G86" s="17">
        <v>0.15</v>
      </c>
      <c r="H86" s="17">
        <v>7.0000000000000007E-2</v>
      </c>
    </row>
    <row r="87" spans="1:8" customFormat="1" ht="47.25" customHeight="1" x14ac:dyDescent="0.25">
      <c r="A87" s="100" t="s">
        <v>190</v>
      </c>
      <c r="B87" s="100" t="s">
        <v>212</v>
      </c>
      <c r="C87" s="17">
        <v>160</v>
      </c>
      <c r="D87" s="17">
        <v>82</v>
      </c>
      <c r="E87" s="17">
        <v>45</v>
      </c>
      <c r="F87" s="17">
        <v>0.62749999999999995</v>
      </c>
      <c r="G87" s="17">
        <v>0.3216</v>
      </c>
      <c r="H87" s="17">
        <v>0.17649999999999999</v>
      </c>
    </row>
    <row r="88" spans="1:8" customFormat="1" ht="47.25" customHeight="1" x14ac:dyDescent="0.25">
      <c r="A88" s="101" t="s">
        <v>190</v>
      </c>
      <c r="B88" s="101" t="s">
        <v>213</v>
      </c>
      <c r="C88" s="17">
        <v>139</v>
      </c>
      <c r="D88" s="17">
        <v>69</v>
      </c>
      <c r="E88" s="17">
        <v>19</v>
      </c>
      <c r="F88" s="17">
        <v>0.54510000000000003</v>
      </c>
      <c r="G88" s="17">
        <v>0.27060000000000001</v>
      </c>
      <c r="H88" s="17">
        <v>7.4499999999999997E-2</v>
      </c>
    </row>
    <row r="89" spans="1:8" customFormat="1" ht="47.25" customHeight="1" x14ac:dyDescent="0.25">
      <c r="A89" s="102" t="s">
        <v>190</v>
      </c>
      <c r="B89" s="102" t="s">
        <v>214</v>
      </c>
      <c r="C89" s="17">
        <v>244</v>
      </c>
      <c r="D89" s="17">
        <v>164</v>
      </c>
      <c r="E89" s="17">
        <v>96</v>
      </c>
      <c r="F89" s="17">
        <v>0.95689999999999997</v>
      </c>
      <c r="G89" s="17">
        <v>0.6431</v>
      </c>
      <c r="H89" s="17">
        <v>0.3765</v>
      </c>
    </row>
    <row r="90" spans="1:8" customFormat="1" ht="47.25" customHeight="1" x14ac:dyDescent="0.25">
      <c r="A90" s="103" t="s">
        <v>190</v>
      </c>
      <c r="B90" s="103" t="s">
        <v>215</v>
      </c>
      <c r="C90" s="17">
        <v>210</v>
      </c>
      <c r="D90" s="17">
        <v>180</v>
      </c>
      <c r="E90" s="17">
        <v>140</v>
      </c>
      <c r="F90" s="17">
        <v>0.82350000000000001</v>
      </c>
      <c r="G90" s="17">
        <v>0.70589999999999997</v>
      </c>
      <c r="H90" s="17">
        <v>0.54900000000000004</v>
      </c>
    </row>
    <row r="91" spans="1:8" customFormat="1" ht="47.25" customHeight="1" x14ac:dyDescent="0.25">
      <c r="A91" s="104" t="s">
        <v>190</v>
      </c>
      <c r="B91" s="104" t="s">
        <v>216</v>
      </c>
      <c r="C91" s="17">
        <v>94</v>
      </c>
      <c r="D91" s="17">
        <v>38</v>
      </c>
      <c r="E91" s="17">
        <v>5</v>
      </c>
      <c r="F91" s="17">
        <v>0.37</v>
      </c>
      <c r="G91" s="17">
        <v>0.15</v>
      </c>
      <c r="H91" s="17">
        <v>0.02</v>
      </c>
    </row>
    <row r="92" spans="1:8" customFormat="1" ht="47.25" customHeight="1" x14ac:dyDescent="0.25">
      <c r="A92" s="105" t="s">
        <v>217</v>
      </c>
      <c r="B92" s="105" t="s">
        <v>218</v>
      </c>
      <c r="C92" s="17">
        <v>255</v>
      </c>
      <c r="D92" s="17">
        <v>97</v>
      </c>
      <c r="E92" s="17">
        <v>3</v>
      </c>
      <c r="F92" s="17">
        <v>1</v>
      </c>
      <c r="G92" s="17">
        <v>0.38</v>
      </c>
      <c r="H92" s="17">
        <v>0.01</v>
      </c>
    </row>
    <row r="93" spans="1:8" customFormat="1" ht="47.25" customHeight="1" x14ac:dyDescent="0.25">
      <c r="A93" s="106" t="s">
        <v>217</v>
      </c>
      <c r="B93" s="106" t="s">
        <v>219</v>
      </c>
      <c r="C93" s="17">
        <v>255</v>
      </c>
      <c r="D93" s="17">
        <v>3</v>
      </c>
      <c r="E93" s="17">
        <v>13</v>
      </c>
      <c r="F93" s="17">
        <v>1</v>
      </c>
      <c r="G93" s="17">
        <v>0.01</v>
      </c>
      <c r="H93" s="17">
        <v>0.05</v>
      </c>
    </row>
    <row r="94" spans="1:8" customFormat="1" ht="47.25" customHeight="1" x14ac:dyDescent="0.25">
      <c r="A94" s="107" t="s">
        <v>217</v>
      </c>
      <c r="B94" s="107" t="s">
        <v>220</v>
      </c>
      <c r="C94" s="17">
        <v>237</v>
      </c>
      <c r="D94" s="17">
        <v>145</v>
      </c>
      <c r="E94" s="17">
        <v>33</v>
      </c>
      <c r="F94" s="17">
        <v>0.93</v>
      </c>
      <c r="G94" s="17">
        <v>0.56999999999999995</v>
      </c>
      <c r="H94" s="17">
        <v>0.13</v>
      </c>
    </row>
    <row r="95" spans="1:8" customFormat="1" ht="47.25" customHeight="1" x14ac:dyDescent="0.25">
      <c r="A95" s="108" t="s">
        <v>217</v>
      </c>
      <c r="B95" s="108" t="s">
        <v>221</v>
      </c>
      <c r="C95" s="17">
        <v>255</v>
      </c>
      <c r="D95" s="17">
        <v>140</v>
      </c>
      <c r="E95" s="17">
        <v>0</v>
      </c>
      <c r="F95" s="17">
        <v>1</v>
      </c>
      <c r="G95" s="17">
        <v>0.54900000000000004</v>
      </c>
      <c r="H95" s="17">
        <v>0</v>
      </c>
    </row>
    <row r="96" spans="1:8" customFormat="1" ht="47.25" customHeight="1" x14ac:dyDescent="0.25">
      <c r="A96" s="109" t="s">
        <v>217</v>
      </c>
      <c r="B96" s="109" t="s">
        <v>222</v>
      </c>
      <c r="C96" s="17">
        <v>150</v>
      </c>
      <c r="D96" s="17">
        <v>69</v>
      </c>
      <c r="E96" s="17">
        <v>20</v>
      </c>
      <c r="F96" s="17">
        <v>0.59</v>
      </c>
      <c r="G96" s="17">
        <v>0.27</v>
      </c>
      <c r="H96" s="17">
        <v>0.08</v>
      </c>
    </row>
    <row r="97" spans="1:8" customFormat="1" ht="47.25" customHeight="1" x14ac:dyDescent="0.25">
      <c r="A97" s="110" t="s">
        <v>217</v>
      </c>
      <c r="B97" s="110" t="s">
        <v>223</v>
      </c>
      <c r="C97" s="17">
        <v>227</v>
      </c>
      <c r="D97" s="17">
        <v>112</v>
      </c>
      <c r="E97" s="17">
        <v>26</v>
      </c>
      <c r="F97" s="17">
        <v>0.89</v>
      </c>
      <c r="G97" s="17">
        <v>0.44</v>
      </c>
      <c r="H97" s="17">
        <v>0.1</v>
      </c>
    </row>
    <row r="98" spans="1:8" customFormat="1" ht="47.25" customHeight="1" x14ac:dyDescent="0.25">
      <c r="A98" s="111" t="s">
        <v>217</v>
      </c>
      <c r="B98" s="111" t="s">
        <v>224</v>
      </c>
      <c r="C98" s="17">
        <v>255</v>
      </c>
      <c r="D98" s="17">
        <v>128</v>
      </c>
      <c r="E98" s="17">
        <v>0</v>
      </c>
      <c r="F98" s="17">
        <v>1</v>
      </c>
      <c r="G98" s="17">
        <v>0.5</v>
      </c>
      <c r="H98" s="17">
        <v>0</v>
      </c>
    </row>
    <row r="99" spans="1:8" customFormat="1" ht="47.25" customHeight="1" x14ac:dyDescent="0.25">
      <c r="A99" s="112" t="s">
        <v>217</v>
      </c>
      <c r="B99" s="112" t="s">
        <v>225</v>
      </c>
      <c r="C99" s="112">
        <v>255</v>
      </c>
      <c r="D99" s="112">
        <v>69</v>
      </c>
      <c r="E99" s="112">
        <v>0</v>
      </c>
      <c r="F99" s="17">
        <v>1</v>
      </c>
      <c r="G99" s="17">
        <v>0.27060000000000001</v>
      </c>
      <c r="H99" s="17">
        <v>0</v>
      </c>
    </row>
    <row r="100" spans="1:8" customFormat="1" ht="47.25" customHeight="1" x14ac:dyDescent="0.25">
      <c r="A100" s="113" t="s">
        <v>217</v>
      </c>
      <c r="B100" s="113" t="s">
        <v>226</v>
      </c>
      <c r="C100" s="17">
        <v>227</v>
      </c>
      <c r="D100" s="17">
        <v>130</v>
      </c>
      <c r="E100" s="17">
        <v>23</v>
      </c>
      <c r="F100" s="17">
        <v>0.89</v>
      </c>
      <c r="G100" s="17">
        <v>0.51</v>
      </c>
      <c r="H100" s="17">
        <v>0.09</v>
      </c>
    </row>
    <row r="101" spans="1:8" customFormat="1" ht="47.25" customHeight="1" x14ac:dyDescent="0.25">
      <c r="A101" s="114" t="s">
        <v>227</v>
      </c>
      <c r="B101" s="114" t="s">
        <v>228</v>
      </c>
      <c r="C101" s="17">
        <v>255</v>
      </c>
      <c r="D101" s="17">
        <v>168</v>
      </c>
      <c r="E101" s="17">
        <v>36</v>
      </c>
      <c r="F101" s="17">
        <v>1</v>
      </c>
      <c r="G101" s="17">
        <v>0.66</v>
      </c>
      <c r="H101" s="17">
        <v>0.14000000000000001</v>
      </c>
    </row>
    <row r="102" spans="1:8" customFormat="1" ht="47.25" customHeight="1" x14ac:dyDescent="0.25">
      <c r="A102" s="115" t="s">
        <v>227</v>
      </c>
      <c r="B102" s="115" t="s">
        <v>229</v>
      </c>
      <c r="C102" s="17">
        <v>227</v>
      </c>
      <c r="D102" s="17">
        <v>207</v>
      </c>
      <c r="E102" s="17">
        <v>87</v>
      </c>
      <c r="F102" s="17">
        <v>0.89</v>
      </c>
      <c r="G102" s="17">
        <v>0.81</v>
      </c>
      <c r="H102" s="17">
        <v>0.34</v>
      </c>
    </row>
    <row r="103" spans="1:8" customFormat="1" ht="47.25" customHeight="1" x14ac:dyDescent="0.25">
      <c r="A103" s="116" t="s">
        <v>227</v>
      </c>
      <c r="B103" s="116" t="s">
        <v>230</v>
      </c>
      <c r="C103" s="17">
        <v>255</v>
      </c>
      <c r="D103" s="17">
        <v>227</v>
      </c>
      <c r="E103" s="17">
        <v>3</v>
      </c>
      <c r="F103" s="17">
        <v>1</v>
      </c>
      <c r="G103" s="17">
        <v>0.89</v>
      </c>
      <c r="H103" s="17">
        <v>0.01</v>
      </c>
    </row>
    <row r="104" spans="1:8" customFormat="1" ht="47.25" customHeight="1" x14ac:dyDescent="0.25">
      <c r="A104" s="117" t="s">
        <v>227</v>
      </c>
      <c r="B104" s="117" t="s">
        <v>231</v>
      </c>
      <c r="C104" s="117">
        <v>255</v>
      </c>
      <c r="D104" s="117">
        <v>153</v>
      </c>
      <c r="E104" s="117">
        <v>18</v>
      </c>
      <c r="F104" s="17">
        <v>1</v>
      </c>
      <c r="G104" s="17">
        <v>0.6</v>
      </c>
      <c r="H104" s="17">
        <v>7.0000000000000007E-2</v>
      </c>
    </row>
    <row r="105" spans="1:8" customFormat="1" ht="47.25" customHeight="1" x14ac:dyDescent="0.25">
      <c r="A105" s="118" t="s">
        <v>227</v>
      </c>
      <c r="B105" s="118" t="s">
        <v>232</v>
      </c>
      <c r="C105" s="17">
        <v>255</v>
      </c>
      <c r="D105" s="17">
        <v>215</v>
      </c>
      <c r="E105" s="17">
        <v>0</v>
      </c>
      <c r="F105" s="17">
        <v>1</v>
      </c>
      <c r="G105" s="17">
        <v>0.84309999999999996</v>
      </c>
      <c r="H105" s="17">
        <v>0</v>
      </c>
    </row>
    <row r="106" spans="1:8" customFormat="1" ht="47.25" customHeight="1" x14ac:dyDescent="0.25">
      <c r="A106" s="119" t="s">
        <v>227</v>
      </c>
      <c r="B106" s="119" t="s">
        <v>233</v>
      </c>
      <c r="C106" s="17">
        <v>218</v>
      </c>
      <c r="D106" s="17">
        <v>165</v>
      </c>
      <c r="E106" s="17">
        <v>32</v>
      </c>
      <c r="F106" s="17">
        <v>0.85489999999999999</v>
      </c>
      <c r="G106" s="17">
        <v>0.64710000000000001</v>
      </c>
      <c r="H106" s="17">
        <v>0.1255</v>
      </c>
    </row>
    <row r="107" spans="1:8" customFormat="1" ht="47.25" customHeight="1" x14ac:dyDescent="0.25">
      <c r="A107" s="120" t="s">
        <v>227</v>
      </c>
      <c r="B107" s="120" t="s">
        <v>234</v>
      </c>
      <c r="C107" s="17">
        <v>184</v>
      </c>
      <c r="D107" s="17">
        <v>134</v>
      </c>
      <c r="E107" s="17">
        <v>11</v>
      </c>
      <c r="F107" s="17">
        <v>0.72160000000000002</v>
      </c>
      <c r="G107" s="17">
        <v>0.52549999999999997</v>
      </c>
      <c r="H107" s="17">
        <v>4.3099999999999999E-2</v>
      </c>
    </row>
    <row r="108" spans="1:8" customFormat="1" ht="47.25" customHeight="1" x14ac:dyDescent="0.25">
      <c r="A108" s="121" t="s">
        <v>227</v>
      </c>
      <c r="B108" s="121" t="s">
        <v>235</v>
      </c>
      <c r="C108" s="17">
        <v>250</v>
      </c>
      <c r="D108" s="17">
        <v>250</v>
      </c>
      <c r="E108" s="17">
        <v>210</v>
      </c>
      <c r="F108" s="17">
        <v>0.98040000000000005</v>
      </c>
      <c r="G108" s="17">
        <v>0.98040000000000005</v>
      </c>
      <c r="H108" s="17">
        <v>0.82350000000000001</v>
      </c>
    </row>
    <row r="109" spans="1:8" customFormat="1" ht="47.25" customHeight="1" x14ac:dyDescent="0.25">
      <c r="A109" s="122" t="s">
        <v>227</v>
      </c>
      <c r="B109" s="122" t="s">
        <v>236</v>
      </c>
      <c r="C109" s="17">
        <v>238</v>
      </c>
      <c r="D109" s="17">
        <v>232</v>
      </c>
      <c r="E109" s="17">
        <v>170</v>
      </c>
      <c r="F109" s="17">
        <v>0.93330000000000002</v>
      </c>
      <c r="G109" s="17">
        <v>0.90980000000000005</v>
      </c>
      <c r="H109" s="17">
        <v>0.66669999999999996</v>
      </c>
    </row>
    <row r="110" spans="1:8" customFormat="1" ht="47.25" customHeight="1" x14ac:dyDescent="0.25">
      <c r="A110" s="123" t="s">
        <v>227</v>
      </c>
      <c r="B110" s="123" t="s">
        <v>237</v>
      </c>
      <c r="C110" s="17">
        <v>238</v>
      </c>
      <c r="D110" s="17">
        <v>221</v>
      </c>
      <c r="E110" s="17">
        <v>130</v>
      </c>
      <c r="F110" s="17">
        <v>0.93330000000000002</v>
      </c>
      <c r="G110" s="17">
        <v>0.86670000000000003</v>
      </c>
      <c r="H110" s="17">
        <v>0.50980000000000003</v>
      </c>
    </row>
    <row r="111" spans="1:8" customFormat="1" ht="47.25" customHeight="1" x14ac:dyDescent="0.25">
      <c r="A111" s="124" t="s">
        <v>227</v>
      </c>
      <c r="B111" s="124" t="s">
        <v>238</v>
      </c>
      <c r="C111" s="17">
        <v>227</v>
      </c>
      <c r="D111" s="17">
        <v>168</v>
      </c>
      <c r="E111" s="17">
        <v>105</v>
      </c>
      <c r="F111" s="17">
        <v>0.89</v>
      </c>
      <c r="G111" s="17">
        <v>0.66</v>
      </c>
      <c r="H111" s="17">
        <v>0.41</v>
      </c>
    </row>
    <row r="112" spans="1:8" customFormat="1" ht="47.25" customHeight="1" x14ac:dyDescent="0.25">
      <c r="A112" s="125" t="s">
        <v>227</v>
      </c>
      <c r="B112" s="125" t="s">
        <v>239</v>
      </c>
      <c r="C112" s="125">
        <v>255</v>
      </c>
      <c r="D112" s="125">
        <v>168</v>
      </c>
      <c r="E112" s="125">
        <v>18</v>
      </c>
      <c r="F112" s="17">
        <v>1</v>
      </c>
      <c r="G112" s="17">
        <v>0.66</v>
      </c>
      <c r="H112" s="17">
        <v>7.0000000000000007E-2</v>
      </c>
    </row>
    <row r="113" spans="1:8" customFormat="1" ht="47.25" customHeight="1" x14ac:dyDescent="0.25">
      <c r="A113" s="126" t="s">
        <v>227</v>
      </c>
      <c r="B113" s="126" t="s">
        <v>240</v>
      </c>
      <c r="C113" s="17">
        <v>255</v>
      </c>
      <c r="D113" s="17">
        <v>255</v>
      </c>
      <c r="E113" s="17">
        <v>0</v>
      </c>
      <c r="F113" s="17">
        <v>1</v>
      </c>
      <c r="G113" s="17">
        <v>1</v>
      </c>
      <c r="H113" s="17">
        <v>0</v>
      </c>
    </row>
    <row r="114" spans="1:8" customFormat="1" ht="47.25" customHeight="1" x14ac:dyDescent="0.25">
      <c r="A114" s="127" t="s">
        <v>227</v>
      </c>
      <c r="B114" s="127" t="s">
        <v>241</v>
      </c>
      <c r="C114" s="17">
        <v>255</v>
      </c>
      <c r="D114" s="17">
        <v>255</v>
      </c>
      <c r="E114" s="17">
        <v>224</v>
      </c>
      <c r="F114" s="17">
        <v>1</v>
      </c>
      <c r="G114" s="17">
        <v>1</v>
      </c>
      <c r="H114" s="17">
        <v>0.87839999999999996</v>
      </c>
    </row>
    <row r="115" spans="1:8" customFormat="1" ht="47.25" customHeight="1" x14ac:dyDescent="0.25">
      <c r="A115" s="128" t="s">
        <v>242</v>
      </c>
      <c r="B115" s="128" t="s">
        <v>243</v>
      </c>
      <c r="C115" s="17">
        <v>127</v>
      </c>
      <c r="D115" s="17">
        <v>255</v>
      </c>
      <c r="E115" s="17">
        <v>0</v>
      </c>
      <c r="F115" s="17">
        <v>0.498</v>
      </c>
      <c r="G115" s="17">
        <v>1</v>
      </c>
      <c r="H115" s="17">
        <v>0</v>
      </c>
    </row>
    <row r="116" spans="1:8" customFormat="1" ht="47.25" customHeight="1" x14ac:dyDescent="0.25">
      <c r="A116" s="129" t="s">
        <v>242</v>
      </c>
      <c r="B116" s="129" t="s">
        <v>244</v>
      </c>
      <c r="C116" s="17">
        <v>102</v>
      </c>
      <c r="D116" s="17">
        <v>128</v>
      </c>
      <c r="E116" s="17">
        <v>20</v>
      </c>
      <c r="F116" s="17">
        <v>0.4</v>
      </c>
      <c r="G116" s="17">
        <v>0.5</v>
      </c>
      <c r="H116" s="17">
        <v>0.08</v>
      </c>
    </row>
    <row r="117" spans="1:8" customFormat="1" ht="47.25" customHeight="1" x14ac:dyDescent="0.25">
      <c r="A117" s="130" t="s">
        <v>242</v>
      </c>
      <c r="B117" s="130" t="s">
        <v>245</v>
      </c>
      <c r="C117" s="17">
        <v>97</v>
      </c>
      <c r="D117" s="17">
        <v>179</v>
      </c>
      <c r="E117" s="17">
        <v>41</v>
      </c>
      <c r="F117" s="17">
        <v>0.38</v>
      </c>
      <c r="G117" s="17">
        <v>0.7</v>
      </c>
      <c r="H117" s="17">
        <v>0.16</v>
      </c>
    </row>
    <row r="118" spans="1:8" customFormat="1" ht="47.25" customHeight="1" x14ac:dyDescent="0.25">
      <c r="A118" s="131" t="s">
        <v>242</v>
      </c>
      <c r="B118" s="131" t="s">
        <v>246</v>
      </c>
      <c r="C118" s="17">
        <v>61</v>
      </c>
      <c r="D118" s="17">
        <v>145</v>
      </c>
      <c r="E118" s="17">
        <v>64</v>
      </c>
      <c r="F118" s="17">
        <v>0.24</v>
      </c>
      <c r="G118" s="17">
        <v>0.56999999999999995</v>
      </c>
      <c r="H118" s="17">
        <v>0.25</v>
      </c>
    </row>
    <row r="119" spans="1:8" customFormat="1" ht="47.25" customHeight="1" x14ac:dyDescent="0.25">
      <c r="A119" s="132" t="s">
        <v>242</v>
      </c>
      <c r="B119" s="132" t="s">
        <v>247</v>
      </c>
      <c r="C119" s="17">
        <v>0</v>
      </c>
      <c r="D119" s="17">
        <v>201</v>
      </c>
      <c r="E119" s="17">
        <v>87</v>
      </c>
      <c r="F119" s="17">
        <v>0</v>
      </c>
      <c r="G119" s="17">
        <v>0.79</v>
      </c>
      <c r="H119" s="17">
        <v>0.34</v>
      </c>
    </row>
    <row r="120" spans="1:8" customFormat="1" ht="47.25" customHeight="1" x14ac:dyDescent="0.25">
      <c r="A120" s="133" t="s">
        <v>242</v>
      </c>
      <c r="B120" s="133" t="s">
        <v>248</v>
      </c>
      <c r="C120" s="17">
        <v>34</v>
      </c>
      <c r="D120" s="17">
        <v>139</v>
      </c>
      <c r="E120" s="17">
        <v>34</v>
      </c>
      <c r="F120" s="17">
        <v>0.1333</v>
      </c>
      <c r="G120" s="17">
        <v>0.54510000000000003</v>
      </c>
      <c r="H120" s="17">
        <v>0.1333</v>
      </c>
    </row>
    <row r="121" spans="1:8" customFormat="1" ht="47.25" customHeight="1" x14ac:dyDescent="0.25">
      <c r="A121" s="134" t="s">
        <v>242</v>
      </c>
      <c r="B121" s="134" t="s">
        <v>249</v>
      </c>
      <c r="C121" s="17">
        <v>0</v>
      </c>
      <c r="D121" s="17">
        <v>255</v>
      </c>
      <c r="E121" s="17">
        <v>0</v>
      </c>
      <c r="F121" s="17">
        <v>0</v>
      </c>
      <c r="G121" s="17">
        <v>1</v>
      </c>
      <c r="H121" s="17">
        <v>0</v>
      </c>
    </row>
    <row r="122" spans="1:8" customFormat="1" ht="47.25" customHeight="1" x14ac:dyDescent="0.25">
      <c r="A122" s="135" t="s">
        <v>242</v>
      </c>
      <c r="B122" s="135" t="s">
        <v>250</v>
      </c>
      <c r="C122" s="17">
        <v>0</v>
      </c>
      <c r="D122" s="17">
        <v>100</v>
      </c>
      <c r="E122" s="17">
        <v>0</v>
      </c>
      <c r="F122" s="17">
        <v>0</v>
      </c>
      <c r="G122" s="17">
        <v>0.39219999999999999</v>
      </c>
      <c r="H122" s="17">
        <v>0</v>
      </c>
    </row>
    <row r="123" spans="1:8" customFormat="1" ht="47.25" customHeight="1" x14ac:dyDescent="0.25">
      <c r="A123" s="136" t="s">
        <v>242</v>
      </c>
      <c r="B123" s="136" t="s">
        <v>251</v>
      </c>
      <c r="C123" s="17">
        <v>152</v>
      </c>
      <c r="D123" s="17">
        <v>251</v>
      </c>
      <c r="E123" s="17">
        <v>152</v>
      </c>
      <c r="F123" s="17">
        <v>0.59609999999999996</v>
      </c>
      <c r="G123" s="17">
        <v>0.98429999999999995</v>
      </c>
      <c r="H123" s="17">
        <v>0.59609999999999996</v>
      </c>
    </row>
    <row r="124" spans="1:8" customFormat="1" ht="47.25" customHeight="1" x14ac:dyDescent="0.25">
      <c r="A124" s="137" t="s">
        <v>242</v>
      </c>
      <c r="B124" s="137" t="s">
        <v>252</v>
      </c>
      <c r="C124" s="17">
        <v>173</v>
      </c>
      <c r="D124" s="17">
        <v>255</v>
      </c>
      <c r="E124" s="17">
        <v>47</v>
      </c>
      <c r="F124" s="17">
        <v>0.6784</v>
      </c>
      <c r="G124" s="17">
        <v>1</v>
      </c>
      <c r="H124" s="17">
        <v>0.18429999999999999</v>
      </c>
    </row>
    <row r="125" spans="1:8" customFormat="1" ht="47.25" customHeight="1" x14ac:dyDescent="0.25">
      <c r="A125" s="138" t="s">
        <v>242</v>
      </c>
      <c r="B125" s="138" t="s">
        <v>253</v>
      </c>
      <c r="C125" s="17">
        <v>124</v>
      </c>
      <c r="D125" s="17">
        <v>252</v>
      </c>
      <c r="E125" s="17">
        <v>0</v>
      </c>
      <c r="F125" s="17">
        <v>0.48630000000000001</v>
      </c>
      <c r="G125" s="17">
        <v>0.98819999999999997</v>
      </c>
      <c r="H125" s="17">
        <v>0</v>
      </c>
    </row>
    <row r="126" spans="1:8" customFormat="1" ht="47.25" customHeight="1" x14ac:dyDescent="0.25">
      <c r="A126" s="139" t="s">
        <v>242</v>
      </c>
      <c r="B126" s="139" t="s">
        <v>254</v>
      </c>
      <c r="C126" s="17">
        <v>50</v>
      </c>
      <c r="D126" s="17">
        <v>205</v>
      </c>
      <c r="E126" s="17">
        <v>50</v>
      </c>
      <c r="F126" s="17">
        <v>0.1961</v>
      </c>
      <c r="G126" s="17">
        <v>0.80389999999999995</v>
      </c>
      <c r="H126" s="17">
        <v>0.1961</v>
      </c>
    </row>
    <row r="127" spans="1:8" customFormat="1" ht="47.25" customHeight="1" x14ac:dyDescent="0.25">
      <c r="A127" s="140" t="s">
        <v>242</v>
      </c>
      <c r="B127" s="140" t="s">
        <v>255</v>
      </c>
      <c r="C127" s="17">
        <v>189</v>
      </c>
      <c r="D127" s="17">
        <v>252</v>
      </c>
      <c r="E127" s="17">
        <v>201</v>
      </c>
      <c r="F127" s="17">
        <v>0.74</v>
      </c>
      <c r="G127" s="17">
        <v>0.99</v>
      </c>
      <c r="H127" s="17">
        <v>0.79</v>
      </c>
    </row>
    <row r="128" spans="1:8" customFormat="1" ht="47.25" customHeight="1" x14ac:dyDescent="0.25">
      <c r="A128" s="141" t="s">
        <v>242</v>
      </c>
      <c r="B128" s="141" t="s">
        <v>256</v>
      </c>
      <c r="C128" s="17">
        <v>59</v>
      </c>
      <c r="D128" s="17">
        <v>94</v>
      </c>
      <c r="E128" s="17">
        <v>43</v>
      </c>
      <c r="F128" s="17">
        <v>0.23</v>
      </c>
      <c r="G128" s="17">
        <v>0.37</v>
      </c>
      <c r="H128" s="17">
        <v>0.17</v>
      </c>
    </row>
    <row r="129" spans="1:8" customFormat="1" ht="47.25" customHeight="1" x14ac:dyDescent="0.25">
      <c r="A129" s="142" t="s">
        <v>242</v>
      </c>
      <c r="B129" s="142" t="s">
        <v>257</v>
      </c>
      <c r="C129" s="17">
        <v>107</v>
      </c>
      <c r="D129" s="17">
        <v>142</v>
      </c>
      <c r="E129" s="17">
        <v>35</v>
      </c>
      <c r="F129" s="17">
        <v>0.41959999999999997</v>
      </c>
      <c r="G129" s="17">
        <v>0.55689999999999995</v>
      </c>
      <c r="H129" s="17">
        <v>0.13730000000000001</v>
      </c>
    </row>
    <row r="130" spans="1:8" customFormat="1" ht="47.25" customHeight="1" x14ac:dyDescent="0.25">
      <c r="A130" s="143" t="s">
        <v>242</v>
      </c>
      <c r="B130" s="143" t="s">
        <v>258</v>
      </c>
      <c r="C130" s="17">
        <v>85</v>
      </c>
      <c r="D130" s="17">
        <v>107</v>
      </c>
      <c r="E130" s="17">
        <v>47</v>
      </c>
      <c r="F130" s="17">
        <v>0.33329999999999999</v>
      </c>
      <c r="G130" s="17">
        <v>0.41959999999999997</v>
      </c>
      <c r="H130" s="17">
        <v>0.18429999999999999</v>
      </c>
    </row>
    <row r="131" spans="1:8" customFormat="1" ht="47.25" customHeight="1" x14ac:dyDescent="0.25">
      <c r="A131" s="144" t="s">
        <v>242</v>
      </c>
      <c r="B131" s="144" t="s">
        <v>259</v>
      </c>
      <c r="C131" s="17">
        <v>10</v>
      </c>
      <c r="D131" s="17">
        <v>201</v>
      </c>
      <c r="E131" s="17">
        <v>43</v>
      </c>
      <c r="F131" s="17">
        <v>0.04</v>
      </c>
      <c r="G131" s="17">
        <v>0.79</v>
      </c>
      <c r="H131" s="17">
        <v>0.17</v>
      </c>
    </row>
    <row r="132" spans="1:8" customFormat="1" ht="47.25" customHeight="1" x14ac:dyDescent="0.25">
      <c r="A132" s="145" t="s">
        <v>242</v>
      </c>
      <c r="B132" s="145" t="s">
        <v>260</v>
      </c>
      <c r="C132" s="17">
        <v>48</v>
      </c>
      <c r="D132" s="17">
        <v>128</v>
      </c>
      <c r="E132" s="17">
        <v>20</v>
      </c>
      <c r="F132" s="17">
        <v>0.19</v>
      </c>
      <c r="G132" s="17">
        <v>0.5</v>
      </c>
      <c r="H132" s="17">
        <v>0.08</v>
      </c>
    </row>
    <row r="133" spans="1:8" customFormat="1" ht="47.25" customHeight="1" x14ac:dyDescent="0.25">
      <c r="A133" s="146" t="s">
        <v>242</v>
      </c>
      <c r="B133" s="146" t="s">
        <v>261</v>
      </c>
      <c r="C133" s="17">
        <v>46</v>
      </c>
      <c r="D133" s="17">
        <v>139</v>
      </c>
      <c r="E133" s="17">
        <v>87</v>
      </c>
      <c r="F133" s="17">
        <v>0.1804</v>
      </c>
      <c r="G133" s="17">
        <v>0.54510000000000003</v>
      </c>
      <c r="H133" s="17">
        <v>0.3412</v>
      </c>
    </row>
    <row r="134" spans="1:8" customFormat="1" ht="47.25" customHeight="1" x14ac:dyDescent="0.25">
      <c r="A134" s="147" t="s">
        <v>242</v>
      </c>
      <c r="B134" s="147" t="s">
        <v>262</v>
      </c>
      <c r="C134" s="17">
        <v>143</v>
      </c>
      <c r="D134" s="17">
        <v>188</v>
      </c>
      <c r="E134" s="17">
        <v>143</v>
      </c>
      <c r="F134" s="17">
        <v>0.56079999999999997</v>
      </c>
      <c r="G134" s="17">
        <v>0.73729999999999996</v>
      </c>
      <c r="H134" s="17">
        <v>0.56079999999999997</v>
      </c>
    </row>
    <row r="135" spans="1:8" customFormat="1" ht="47.25" customHeight="1" x14ac:dyDescent="0.25">
      <c r="A135" s="148" t="s">
        <v>242</v>
      </c>
      <c r="B135" s="148" t="s">
        <v>263</v>
      </c>
      <c r="C135" s="148">
        <v>60</v>
      </c>
      <c r="D135" s="148">
        <v>179</v>
      </c>
      <c r="E135" s="148">
        <v>113</v>
      </c>
      <c r="F135" s="17">
        <v>0.23530000000000001</v>
      </c>
      <c r="G135" s="17">
        <v>0.70199999999999996</v>
      </c>
      <c r="H135" s="17">
        <v>0.44309999999999999</v>
      </c>
    </row>
    <row r="136" spans="1:8" customFormat="1" ht="47.25" customHeight="1" x14ac:dyDescent="0.25">
      <c r="A136" s="149" t="s">
        <v>242</v>
      </c>
      <c r="B136" s="149" t="s">
        <v>264</v>
      </c>
      <c r="C136" s="149">
        <v>32</v>
      </c>
      <c r="D136" s="149">
        <v>178</v>
      </c>
      <c r="E136" s="149">
        <v>170</v>
      </c>
      <c r="F136" s="17">
        <v>0.1255</v>
      </c>
      <c r="G136" s="17">
        <v>0.69799999999999995</v>
      </c>
      <c r="H136" s="17">
        <v>0.66669999999999996</v>
      </c>
    </row>
    <row r="137" spans="1:8" customFormat="1" ht="47.25" customHeight="1" x14ac:dyDescent="0.25">
      <c r="A137" s="150" t="s">
        <v>242</v>
      </c>
      <c r="B137" s="150" t="s">
        <v>265</v>
      </c>
      <c r="C137" s="17">
        <v>0</v>
      </c>
      <c r="D137" s="17">
        <v>255</v>
      </c>
      <c r="E137" s="17">
        <v>127</v>
      </c>
      <c r="F137" s="17">
        <v>0</v>
      </c>
      <c r="G137" s="17">
        <v>1</v>
      </c>
      <c r="H137" s="17">
        <v>0.498</v>
      </c>
    </row>
    <row r="138" spans="1:8" customFormat="1" ht="47.25" customHeight="1" x14ac:dyDescent="0.25">
      <c r="A138" s="151" t="s">
        <v>242</v>
      </c>
      <c r="B138" s="151" t="s">
        <v>266</v>
      </c>
      <c r="C138" s="17">
        <v>0</v>
      </c>
      <c r="D138" s="17">
        <v>250</v>
      </c>
      <c r="E138" s="17">
        <v>154</v>
      </c>
      <c r="F138" s="17">
        <v>0</v>
      </c>
      <c r="G138" s="17">
        <v>0.98040000000000005</v>
      </c>
      <c r="H138" s="17">
        <v>0.60389999999999999</v>
      </c>
    </row>
    <row r="139" spans="1:8" customFormat="1" ht="47.25" customHeight="1" x14ac:dyDescent="0.25">
      <c r="A139" s="152" t="s">
        <v>242</v>
      </c>
      <c r="B139" s="152" t="s">
        <v>267</v>
      </c>
      <c r="C139" s="17">
        <v>56</v>
      </c>
      <c r="D139" s="17">
        <v>94</v>
      </c>
      <c r="E139" s="17">
        <v>15</v>
      </c>
      <c r="F139" s="17">
        <v>0.22</v>
      </c>
      <c r="G139" s="17">
        <v>0.37</v>
      </c>
      <c r="H139" s="17">
        <v>0.06</v>
      </c>
    </row>
    <row r="140" spans="1:8" customFormat="1" ht="47.25" customHeight="1" x14ac:dyDescent="0.25">
      <c r="A140" s="153" t="s">
        <v>242</v>
      </c>
      <c r="B140" s="153" t="s">
        <v>268</v>
      </c>
      <c r="C140" s="17">
        <v>110</v>
      </c>
      <c r="D140" s="17">
        <v>255</v>
      </c>
      <c r="E140" s="17">
        <v>112</v>
      </c>
      <c r="F140" s="17">
        <v>0.43</v>
      </c>
      <c r="G140" s="17">
        <v>1</v>
      </c>
      <c r="H140" s="17">
        <v>0.44</v>
      </c>
    </row>
    <row r="141" spans="1:8" customFormat="1" ht="47.25" customHeight="1" x14ac:dyDescent="0.25">
      <c r="A141" s="154" t="s">
        <v>242</v>
      </c>
      <c r="B141" s="154" t="s">
        <v>269</v>
      </c>
      <c r="C141" s="17">
        <v>154</v>
      </c>
      <c r="D141" s="17">
        <v>205</v>
      </c>
      <c r="E141" s="17">
        <v>50</v>
      </c>
      <c r="F141" s="17">
        <v>0.60389999999999999</v>
      </c>
      <c r="G141" s="17">
        <v>0.80389999999999995</v>
      </c>
      <c r="H141" s="17">
        <v>0.1961</v>
      </c>
    </row>
    <row r="142" spans="1:8" customFormat="1" ht="47.25" customHeight="1" x14ac:dyDescent="0.25">
      <c r="A142" s="155" t="s">
        <v>270</v>
      </c>
      <c r="B142" s="155" t="s">
        <v>271</v>
      </c>
      <c r="C142" s="17">
        <v>127</v>
      </c>
      <c r="D142" s="17">
        <v>255</v>
      </c>
      <c r="E142" s="17">
        <v>212</v>
      </c>
      <c r="F142" s="17">
        <v>0.498</v>
      </c>
      <c r="G142" s="17">
        <v>1</v>
      </c>
      <c r="H142" s="17">
        <v>0.83140000000000003</v>
      </c>
    </row>
    <row r="143" spans="1:8" customFormat="1" ht="47.25" customHeight="1" x14ac:dyDescent="0.25">
      <c r="A143" s="156" t="s">
        <v>270</v>
      </c>
      <c r="B143" s="156" t="s">
        <v>272</v>
      </c>
      <c r="C143" s="17">
        <v>102</v>
      </c>
      <c r="D143" s="17">
        <v>205</v>
      </c>
      <c r="E143" s="17">
        <v>170</v>
      </c>
      <c r="F143" s="17">
        <v>0.4</v>
      </c>
      <c r="G143" s="17">
        <v>0.80389999999999995</v>
      </c>
      <c r="H143" s="17">
        <v>0.66669999999999996</v>
      </c>
    </row>
    <row r="144" spans="1:8" customFormat="1" ht="47.25" customHeight="1" x14ac:dyDescent="0.25">
      <c r="A144" s="157" t="s">
        <v>270</v>
      </c>
      <c r="B144" s="157" t="s">
        <v>273</v>
      </c>
      <c r="C144" s="157">
        <v>0</v>
      </c>
      <c r="D144" s="157">
        <v>255</v>
      </c>
      <c r="E144" s="157">
        <v>255</v>
      </c>
      <c r="F144" s="17">
        <v>0</v>
      </c>
      <c r="G144" s="17">
        <v>1</v>
      </c>
      <c r="H144" s="17">
        <v>1</v>
      </c>
    </row>
    <row r="145" spans="1:8" customFormat="1" ht="47.25" customHeight="1" x14ac:dyDescent="0.25">
      <c r="A145" s="158" t="s">
        <v>270</v>
      </c>
      <c r="B145" s="158" t="s">
        <v>274</v>
      </c>
      <c r="C145" s="17">
        <v>224</v>
      </c>
      <c r="D145" s="17">
        <v>255</v>
      </c>
      <c r="E145" s="17">
        <v>255</v>
      </c>
      <c r="F145" s="17">
        <v>0.87839999999999996</v>
      </c>
      <c r="G145" s="17">
        <v>1</v>
      </c>
      <c r="H145" s="17">
        <v>1</v>
      </c>
    </row>
    <row r="146" spans="1:8" customFormat="1" ht="47.25" customHeight="1" x14ac:dyDescent="0.25">
      <c r="A146" s="159" t="s">
        <v>270</v>
      </c>
      <c r="B146" s="159" t="s">
        <v>275</v>
      </c>
      <c r="C146" s="17">
        <v>64</v>
      </c>
      <c r="D146" s="17">
        <v>224</v>
      </c>
      <c r="E146" s="17">
        <v>208</v>
      </c>
      <c r="F146" s="17">
        <v>0.251</v>
      </c>
      <c r="G146" s="17">
        <v>0.87839999999999996</v>
      </c>
      <c r="H146" s="17">
        <v>0.81569999999999998</v>
      </c>
    </row>
    <row r="147" spans="1:8" customFormat="1" ht="47.25" customHeight="1" x14ac:dyDescent="0.25">
      <c r="A147" s="160" t="s">
        <v>270</v>
      </c>
      <c r="B147" s="160" t="s">
        <v>276</v>
      </c>
      <c r="C147" s="160">
        <v>0</v>
      </c>
      <c r="D147" s="160">
        <v>206</v>
      </c>
      <c r="E147" s="160">
        <v>209</v>
      </c>
      <c r="F147" s="17">
        <v>0</v>
      </c>
      <c r="G147" s="17">
        <v>0.80779999999999996</v>
      </c>
      <c r="H147" s="17">
        <v>0.8196</v>
      </c>
    </row>
    <row r="148" spans="1:8" customFormat="1" ht="47.25" customHeight="1" x14ac:dyDescent="0.25">
      <c r="A148" s="161" t="s">
        <v>270</v>
      </c>
      <c r="B148" s="161" t="s">
        <v>277</v>
      </c>
      <c r="C148" s="161">
        <v>72</v>
      </c>
      <c r="D148" s="161">
        <v>209</v>
      </c>
      <c r="E148" s="161">
        <v>204</v>
      </c>
      <c r="F148" s="17">
        <v>0.28239999999999998</v>
      </c>
      <c r="G148" s="17">
        <v>0.8196</v>
      </c>
      <c r="H148" s="17">
        <v>0.8</v>
      </c>
    </row>
    <row r="149" spans="1:8" customFormat="1" ht="47.25" customHeight="1" x14ac:dyDescent="0.25">
      <c r="A149" s="162" t="s">
        <v>270</v>
      </c>
      <c r="B149" s="162" t="s">
        <v>278</v>
      </c>
      <c r="C149" s="162">
        <v>175</v>
      </c>
      <c r="D149" s="162">
        <v>238</v>
      </c>
      <c r="E149" s="162">
        <v>238</v>
      </c>
      <c r="F149" s="17">
        <v>0.68630000000000002</v>
      </c>
      <c r="G149" s="17">
        <v>0.93330000000000002</v>
      </c>
      <c r="H149" s="17">
        <v>0.93330000000000002</v>
      </c>
    </row>
    <row r="150" spans="1:8" customFormat="1" ht="47.25" customHeight="1" x14ac:dyDescent="0.25">
      <c r="A150" s="163" t="s">
        <v>279</v>
      </c>
      <c r="B150" s="163" t="s">
        <v>280</v>
      </c>
      <c r="C150" s="17">
        <v>240</v>
      </c>
      <c r="D150" s="17">
        <v>248</v>
      </c>
      <c r="E150" s="17">
        <v>255</v>
      </c>
      <c r="F150" s="17">
        <v>0.94120000000000004</v>
      </c>
      <c r="G150" s="17">
        <v>0.97250000000000003</v>
      </c>
      <c r="H150" s="17">
        <v>1</v>
      </c>
    </row>
    <row r="151" spans="1:8" customFormat="1" ht="47.25" customHeight="1" x14ac:dyDescent="0.25">
      <c r="A151" s="164" t="s">
        <v>279</v>
      </c>
      <c r="B151" s="164" t="s">
        <v>281</v>
      </c>
      <c r="C151" s="17">
        <v>0</v>
      </c>
      <c r="D151" s="17">
        <v>0</v>
      </c>
      <c r="E151" s="17">
        <v>255</v>
      </c>
      <c r="F151" s="17">
        <v>0</v>
      </c>
      <c r="G151" s="17">
        <v>0</v>
      </c>
      <c r="H151" s="17">
        <v>1</v>
      </c>
    </row>
    <row r="152" spans="1:8" customFormat="1" ht="47.25" customHeight="1" x14ac:dyDescent="0.25">
      <c r="A152" s="165" t="s">
        <v>279</v>
      </c>
      <c r="B152" s="165" t="s">
        <v>282</v>
      </c>
      <c r="C152" s="17">
        <v>173</v>
      </c>
      <c r="D152" s="17">
        <v>216</v>
      </c>
      <c r="E152" s="17">
        <v>230</v>
      </c>
      <c r="F152" s="17">
        <v>0.6784</v>
      </c>
      <c r="G152" s="17">
        <v>0.84709999999999996</v>
      </c>
      <c r="H152" s="17">
        <v>0.90200000000000002</v>
      </c>
    </row>
    <row r="153" spans="1:8" customFormat="1" ht="47.25" customHeight="1" x14ac:dyDescent="0.25">
      <c r="A153" s="166" t="s">
        <v>279</v>
      </c>
      <c r="B153" s="166" t="s">
        <v>283</v>
      </c>
      <c r="C153" s="17">
        <v>0</v>
      </c>
      <c r="D153" s="17">
        <v>0</v>
      </c>
      <c r="E153" s="17">
        <v>205</v>
      </c>
      <c r="F153" s="17">
        <v>0</v>
      </c>
      <c r="G153" s="17">
        <v>0</v>
      </c>
      <c r="H153" s="17">
        <v>0.80389999999999995</v>
      </c>
    </row>
    <row r="154" spans="1:8" customFormat="1" ht="47.25" customHeight="1" x14ac:dyDescent="0.25">
      <c r="A154" s="167" t="s">
        <v>279</v>
      </c>
      <c r="B154" s="167" t="s">
        <v>284</v>
      </c>
      <c r="C154" s="17">
        <v>95</v>
      </c>
      <c r="D154" s="17">
        <v>158</v>
      </c>
      <c r="E154" s="17">
        <v>160</v>
      </c>
      <c r="F154" s="17">
        <v>0.3725</v>
      </c>
      <c r="G154" s="17">
        <v>0.61960000000000004</v>
      </c>
      <c r="H154" s="17">
        <v>0.62749999999999995</v>
      </c>
    </row>
    <row r="155" spans="1:8" customFormat="1" ht="47.25" customHeight="1" x14ac:dyDescent="0.25">
      <c r="A155" s="168" t="s">
        <v>279</v>
      </c>
      <c r="B155" s="168" t="s">
        <v>285</v>
      </c>
      <c r="C155" s="17">
        <v>61</v>
      </c>
      <c r="D155" s="17">
        <v>89</v>
      </c>
      <c r="E155" s="17">
        <v>171</v>
      </c>
      <c r="F155" s="17">
        <v>0.24</v>
      </c>
      <c r="G155" s="17">
        <v>0.35</v>
      </c>
      <c r="H155" s="17">
        <v>0.67</v>
      </c>
    </row>
    <row r="156" spans="1:8" customFormat="1" ht="47.25" customHeight="1" x14ac:dyDescent="0.25">
      <c r="A156" s="169" t="s">
        <v>279</v>
      </c>
      <c r="B156" s="169" t="s">
        <v>286</v>
      </c>
      <c r="C156" s="17">
        <v>100</v>
      </c>
      <c r="D156" s="17">
        <v>149</v>
      </c>
      <c r="E156" s="17">
        <v>237</v>
      </c>
      <c r="F156" s="17">
        <v>0.39219999999999999</v>
      </c>
      <c r="G156" s="17">
        <v>0.58430000000000004</v>
      </c>
      <c r="H156" s="17">
        <v>0.9294</v>
      </c>
    </row>
    <row r="157" spans="1:8" customFormat="1" ht="47.25" customHeight="1" x14ac:dyDescent="0.25">
      <c r="A157" s="170" t="s">
        <v>279</v>
      </c>
      <c r="B157" s="170" t="s">
        <v>287</v>
      </c>
      <c r="C157" s="170">
        <v>5</v>
      </c>
      <c r="D157" s="170">
        <v>184</v>
      </c>
      <c r="E157" s="170">
        <v>204</v>
      </c>
      <c r="F157" s="17">
        <v>0.02</v>
      </c>
      <c r="G157" s="17">
        <v>0.72</v>
      </c>
      <c r="H157" s="17">
        <v>0.8</v>
      </c>
    </row>
    <row r="158" spans="1:8" customFormat="1" ht="47.25" customHeight="1" x14ac:dyDescent="0.25">
      <c r="A158" s="171" t="s">
        <v>279</v>
      </c>
      <c r="B158" s="171" t="s">
        <v>288</v>
      </c>
      <c r="C158" s="171">
        <v>30</v>
      </c>
      <c r="D158" s="171">
        <v>144</v>
      </c>
      <c r="E158" s="171">
        <v>255</v>
      </c>
      <c r="F158" s="17">
        <v>0.1176</v>
      </c>
      <c r="G158" s="17">
        <v>0.56469999999999998</v>
      </c>
      <c r="H158" s="17">
        <v>1</v>
      </c>
    </row>
    <row r="159" spans="1:8" customFormat="1" ht="47.25" customHeight="1" x14ac:dyDescent="0.25">
      <c r="A159" s="172" t="s">
        <v>279</v>
      </c>
      <c r="B159" s="172" t="s">
        <v>289</v>
      </c>
      <c r="C159" s="17">
        <v>8</v>
      </c>
      <c r="D159" s="17">
        <v>46</v>
      </c>
      <c r="E159" s="17">
        <v>84</v>
      </c>
      <c r="F159" s="17">
        <v>0.03</v>
      </c>
      <c r="G159" s="17">
        <v>0.18</v>
      </c>
      <c r="H159" s="17">
        <v>0.33</v>
      </c>
    </row>
    <row r="160" spans="1:8" customFormat="1" ht="47.25" customHeight="1" x14ac:dyDescent="0.25">
      <c r="A160" s="173" t="s">
        <v>279</v>
      </c>
      <c r="B160" s="173" t="s">
        <v>290</v>
      </c>
      <c r="C160" s="173">
        <v>3</v>
      </c>
      <c r="D160" s="173">
        <v>168</v>
      </c>
      <c r="E160" s="173">
        <v>158</v>
      </c>
      <c r="F160" s="17">
        <v>0.01</v>
      </c>
      <c r="G160" s="17">
        <v>0.66</v>
      </c>
      <c r="H160" s="17">
        <v>0.62</v>
      </c>
    </row>
    <row r="161" spans="1:8" customFormat="1" ht="47.25" customHeight="1" x14ac:dyDescent="0.25">
      <c r="A161" s="174" t="s">
        <v>279</v>
      </c>
      <c r="B161" s="174" t="s">
        <v>291</v>
      </c>
      <c r="C161" s="174">
        <v>25</v>
      </c>
      <c r="D161" s="174">
        <v>25</v>
      </c>
      <c r="E161" s="174">
        <v>112</v>
      </c>
      <c r="F161" s="17">
        <v>9.8000000000000004E-2</v>
      </c>
      <c r="G161" s="17">
        <v>9.8000000000000004E-2</v>
      </c>
      <c r="H161" s="17">
        <v>0.43919999999999998</v>
      </c>
    </row>
    <row r="162" spans="1:8" customFormat="1" ht="47.25" customHeight="1" x14ac:dyDescent="0.25">
      <c r="A162" s="175" t="s">
        <v>279</v>
      </c>
      <c r="B162" s="175" t="s">
        <v>292</v>
      </c>
      <c r="C162" s="175">
        <v>0</v>
      </c>
      <c r="D162" s="175">
        <v>0</v>
      </c>
      <c r="E162" s="175">
        <v>128</v>
      </c>
      <c r="F162" s="17">
        <v>0</v>
      </c>
      <c r="G162" s="17">
        <v>0</v>
      </c>
      <c r="H162" s="17">
        <v>0.502</v>
      </c>
    </row>
    <row r="163" spans="1:8" customFormat="1" ht="47.25" customHeight="1" x14ac:dyDescent="0.25">
      <c r="A163" s="176" t="s">
        <v>279</v>
      </c>
      <c r="B163" s="176" t="s">
        <v>293</v>
      </c>
      <c r="C163" s="17">
        <v>51</v>
      </c>
      <c r="D163" s="17">
        <v>161</v>
      </c>
      <c r="E163" s="17">
        <v>201</v>
      </c>
      <c r="F163" s="17">
        <v>0.2</v>
      </c>
      <c r="G163" s="17">
        <v>0.63</v>
      </c>
      <c r="H163" s="17">
        <v>0.79</v>
      </c>
    </row>
    <row r="164" spans="1:8" customFormat="1" ht="47.25" customHeight="1" x14ac:dyDescent="0.25">
      <c r="A164" s="177" t="s">
        <v>279</v>
      </c>
      <c r="B164" s="177" t="s">
        <v>294</v>
      </c>
      <c r="C164" s="17">
        <v>176</v>
      </c>
      <c r="D164" s="17">
        <v>224</v>
      </c>
      <c r="E164" s="17">
        <v>230</v>
      </c>
      <c r="F164" s="17">
        <v>0.69020000000000004</v>
      </c>
      <c r="G164" s="17">
        <v>0.87839999999999996</v>
      </c>
      <c r="H164" s="17">
        <v>0.90200000000000002</v>
      </c>
    </row>
    <row r="165" spans="1:8" customFormat="1" ht="47.25" customHeight="1" x14ac:dyDescent="0.25">
      <c r="A165" s="178" t="s">
        <v>279</v>
      </c>
      <c r="B165" s="178" t="s">
        <v>295</v>
      </c>
      <c r="C165" s="17">
        <v>65</v>
      </c>
      <c r="D165" s="17">
        <v>105</v>
      </c>
      <c r="E165" s="17">
        <v>225</v>
      </c>
      <c r="F165" s="17">
        <v>0.25490000000000002</v>
      </c>
      <c r="G165" s="17">
        <v>0.4118</v>
      </c>
      <c r="H165" s="17">
        <v>0.88239999999999996</v>
      </c>
    </row>
    <row r="166" spans="1:8" customFormat="1" ht="47.25" customHeight="1" x14ac:dyDescent="0.25">
      <c r="A166" s="179" t="s">
        <v>279</v>
      </c>
      <c r="B166" s="179" t="s">
        <v>296</v>
      </c>
      <c r="C166" s="17">
        <v>106</v>
      </c>
      <c r="D166" s="17">
        <v>90</v>
      </c>
      <c r="E166" s="17">
        <v>205</v>
      </c>
      <c r="F166" s="17">
        <v>0.41570000000000001</v>
      </c>
      <c r="G166" s="17">
        <v>0.35289999999999999</v>
      </c>
      <c r="H166" s="17">
        <v>0.80389999999999995</v>
      </c>
    </row>
    <row r="167" spans="1:8" customFormat="1" ht="47.25" customHeight="1" x14ac:dyDescent="0.25">
      <c r="A167" s="180" t="s">
        <v>279</v>
      </c>
      <c r="B167" s="180" t="s">
        <v>297</v>
      </c>
      <c r="C167" s="17">
        <v>72</v>
      </c>
      <c r="D167" s="17">
        <v>61</v>
      </c>
      <c r="E167" s="17">
        <v>139</v>
      </c>
      <c r="F167" s="17">
        <v>0.28239999999999998</v>
      </c>
      <c r="G167" s="17">
        <v>0.2392</v>
      </c>
      <c r="H167" s="17">
        <v>0.54510000000000003</v>
      </c>
    </row>
    <row r="168" spans="1:8" customFormat="1" ht="47.25" customHeight="1" x14ac:dyDescent="0.25">
      <c r="A168" s="181" t="s">
        <v>279</v>
      </c>
      <c r="B168" s="181" t="s">
        <v>298</v>
      </c>
      <c r="C168" s="17">
        <v>132</v>
      </c>
      <c r="D168" s="17">
        <v>112</v>
      </c>
      <c r="E168" s="17">
        <v>255</v>
      </c>
      <c r="F168" s="17">
        <v>0.51759999999999995</v>
      </c>
      <c r="G168" s="17">
        <v>0.43919999999999998</v>
      </c>
      <c r="H168" s="17">
        <v>1</v>
      </c>
    </row>
    <row r="169" spans="1:8" customFormat="1" ht="47.25" customHeight="1" x14ac:dyDescent="0.25">
      <c r="A169" s="182" t="s">
        <v>279</v>
      </c>
      <c r="B169" s="182" t="s">
        <v>299</v>
      </c>
      <c r="C169" s="17">
        <v>123</v>
      </c>
      <c r="D169" s="17">
        <v>104</v>
      </c>
      <c r="E169" s="17">
        <v>238</v>
      </c>
      <c r="F169" s="17">
        <v>0.4824</v>
      </c>
      <c r="G169" s="17">
        <v>0.4078</v>
      </c>
      <c r="H169" s="17">
        <v>0.93330000000000002</v>
      </c>
    </row>
    <row r="170" spans="1:8" customFormat="1" ht="47.25" customHeight="1" x14ac:dyDescent="0.25">
      <c r="A170" s="183" t="s">
        <v>279</v>
      </c>
      <c r="B170" s="183" t="s">
        <v>300</v>
      </c>
      <c r="C170" s="17">
        <v>135</v>
      </c>
      <c r="D170" s="17">
        <v>206</v>
      </c>
      <c r="E170" s="17">
        <v>235</v>
      </c>
      <c r="F170" s="17">
        <v>0.52939999999999998</v>
      </c>
      <c r="G170" s="17">
        <v>0.80779999999999996</v>
      </c>
      <c r="H170" s="17">
        <v>0.92159999999999997</v>
      </c>
    </row>
    <row r="171" spans="1:8" customFormat="1" ht="47.25" customHeight="1" x14ac:dyDescent="0.25">
      <c r="A171" s="184" t="s">
        <v>279</v>
      </c>
      <c r="B171" s="184" t="s">
        <v>301</v>
      </c>
      <c r="C171" s="184">
        <v>0</v>
      </c>
      <c r="D171" s="184">
        <v>191</v>
      </c>
      <c r="E171" s="184">
        <v>255</v>
      </c>
      <c r="F171" s="17">
        <v>0</v>
      </c>
      <c r="G171" s="17">
        <v>0.749</v>
      </c>
      <c r="H171" s="17">
        <v>1</v>
      </c>
    </row>
    <row r="172" spans="1:8" customFormat="1" ht="47.25" customHeight="1" x14ac:dyDescent="0.25">
      <c r="A172" s="185" t="s">
        <v>279</v>
      </c>
      <c r="B172" s="185" t="s">
        <v>302</v>
      </c>
      <c r="C172" s="17">
        <v>135</v>
      </c>
      <c r="D172" s="17">
        <v>206</v>
      </c>
      <c r="E172" s="17">
        <v>250</v>
      </c>
      <c r="F172" s="17">
        <v>0.52939999999999998</v>
      </c>
      <c r="G172" s="17">
        <v>0.80779999999999996</v>
      </c>
      <c r="H172" s="17">
        <v>0.98040000000000005</v>
      </c>
    </row>
    <row r="173" spans="1:8" customFormat="1" ht="47.25" customHeight="1" x14ac:dyDescent="0.25">
      <c r="A173" s="186" t="s">
        <v>279</v>
      </c>
      <c r="B173" s="186" t="s">
        <v>303</v>
      </c>
      <c r="C173" s="17">
        <v>70</v>
      </c>
      <c r="D173" s="17">
        <v>130</v>
      </c>
      <c r="E173" s="17">
        <v>180</v>
      </c>
      <c r="F173" s="17">
        <v>0.27450000000000002</v>
      </c>
      <c r="G173" s="17">
        <v>0.50980000000000003</v>
      </c>
      <c r="H173" s="17">
        <v>0.70589999999999997</v>
      </c>
    </row>
    <row r="174" spans="1:8" customFormat="1" ht="47.25" customHeight="1" x14ac:dyDescent="0.25">
      <c r="A174" s="187" t="s">
        <v>279</v>
      </c>
      <c r="B174" s="187" t="s">
        <v>304</v>
      </c>
      <c r="C174" s="17">
        <v>176</v>
      </c>
      <c r="D174" s="17">
        <v>196</v>
      </c>
      <c r="E174" s="17">
        <v>222</v>
      </c>
      <c r="F174" s="17">
        <v>0.69020000000000004</v>
      </c>
      <c r="G174" s="17">
        <v>0.76859999999999995</v>
      </c>
      <c r="H174" s="17">
        <v>0.87060000000000004</v>
      </c>
    </row>
    <row r="175" spans="1:8" customFormat="1" ht="47.25" customHeight="1" x14ac:dyDescent="0.25">
      <c r="A175" s="188" t="s">
        <v>279</v>
      </c>
      <c r="B175" s="188" t="s">
        <v>75</v>
      </c>
      <c r="C175" s="188">
        <v>0</v>
      </c>
      <c r="D175" s="188">
        <v>199</v>
      </c>
      <c r="E175" s="188">
        <v>140</v>
      </c>
      <c r="F175" s="17">
        <v>0</v>
      </c>
      <c r="G175" s="17">
        <v>0.78</v>
      </c>
      <c r="H175" s="17">
        <v>0.55000000000000004</v>
      </c>
    </row>
    <row r="176" spans="1:8" customFormat="1" ht="47.25" customHeight="1" x14ac:dyDescent="0.25">
      <c r="A176" s="189" t="s">
        <v>279</v>
      </c>
      <c r="B176" s="189" t="s">
        <v>305</v>
      </c>
      <c r="C176" s="17">
        <v>18</v>
      </c>
      <c r="D176" s="17">
        <v>10</v>
      </c>
      <c r="E176" s="17">
        <v>143</v>
      </c>
      <c r="F176" s="17">
        <v>7.0000000000000007E-2</v>
      </c>
      <c r="G176" s="17">
        <v>0.04</v>
      </c>
      <c r="H176" s="17">
        <v>0.56000000000000005</v>
      </c>
    </row>
    <row r="177" spans="1:8" customFormat="1" ht="47.25" customHeight="1" x14ac:dyDescent="0.25">
      <c r="A177" s="190" t="s">
        <v>306</v>
      </c>
      <c r="B177" s="190" t="s">
        <v>307</v>
      </c>
      <c r="C177" s="17">
        <v>138</v>
      </c>
      <c r="D177" s="17">
        <v>43</v>
      </c>
      <c r="E177" s="17">
        <v>226</v>
      </c>
      <c r="F177" s="17">
        <v>0.54120000000000001</v>
      </c>
      <c r="G177" s="17">
        <v>0.1686</v>
      </c>
      <c r="H177" s="17">
        <v>0.88629999999999998</v>
      </c>
    </row>
    <row r="178" spans="1:8" customFormat="1" ht="47.25" customHeight="1" x14ac:dyDescent="0.25">
      <c r="A178" s="191" t="s">
        <v>306</v>
      </c>
      <c r="B178" s="191" t="s">
        <v>308</v>
      </c>
      <c r="C178" s="17">
        <v>145</v>
      </c>
      <c r="D178" s="17">
        <v>33</v>
      </c>
      <c r="E178" s="17">
        <v>158</v>
      </c>
      <c r="F178" s="17">
        <v>0.56999999999999995</v>
      </c>
      <c r="G178" s="17">
        <v>0.13</v>
      </c>
      <c r="H178" s="17">
        <v>0.62</v>
      </c>
    </row>
    <row r="179" spans="1:8" customFormat="1" ht="47.25" customHeight="1" x14ac:dyDescent="0.25">
      <c r="A179" s="192" t="s">
        <v>306</v>
      </c>
      <c r="B179" s="192" t="s">
        <v>309</v>
      </c>
      <c r="C179" s="17">
        <v>255</v>
      </c>
      <c r="D179" s="17">
        <v>0</v>
      </c>
      <c r="E179" s="17">
        <v>255</v>
      </c>
      <c r="F179" s="17">
        <v>1</v>
      </c>
      <c r="G179" s="17">
        <v>0</v>
      </c>
      <c r="H179" s="17">
        <v>1</v>
      </c>
    </row>
    <row r="180" spans="1:8" customFormat="1" ht="47.25" customHeight="1" x14ac:dyDescent="0.25">
      <c r="A180" s="193" t="s">
        <v>306</v>
      </c>
      <c r="B180" s="193" t="s">
        <v>310</v>
      </c>
      <c r="C180" s="17">
        <v>218</v>
      </c>
      <c r="D180" s="17">
        <v>112</v>
      </c>
      <c r="E180" s="17">
        <v>214</v>
      </c>
      <c r="F180" s="17">
        <v>0.85489999999999999</v>
      </c>
      <c r="G180" s="17">
        <v>0.43919999999999998</v>
      </c>
      <c r="H180" s="17">
        <v>0.83919999999999995</v>
      </c>
    </row>
    <row r="181" spans="1:8" customFormat="1" ht="47.25" customHeight="1" x14ac:dyDescent="0.25">
      <c r="A181" s="194" t="s">
        <v>306</v>
      </c>
      <c r="B181" s="194" t="s">
        <v>311</v>
      </c>
      <c r="C181" s="17">
        <v>153</v>
      </c>
      <c r="D181" s="17">
        <v>50</v>
      </c>
      <c r="E181" s="17">
        <v>204</v>
      </c>
      <c r="F181" s="17">
        <v>0.6</v>
      </c>
      <c r="G181" s="17">
        <v>0.1961</v>
      </c>
      <c r="H181" s="17">
        <v>0.8</v>
      </c>
    </row>
    <row r="182" spans="1:8" customFormat="1" ht="47.25" customHeight="1" x14ac:dyDescent="0.25">
      <c r="A182" s="195" t="s">
        <v>306</v>
      </c>
      <c r="B182" s="195" t="s">
        <v>312</v>
      </c>
      <c r="C182" s="17">
        <v>186</v>
      </c>
      <c r="D182" s="17">
        <v>85</v>
      </c>
      <c r="E182" s="17">
        <v>211</v>
      </c>
      <c r="F182" s="17">
        <v>0.72940000000000005</v>
      </c>
      <c r="G182" s="17">
        <v>0.33329999999999999</v>
      </c>
      <c r="H182" s="17">
        <v>0.82750000000000001</v>
      </c>
    </row>
    <row r="183" spans="1:8" customFormat="1" ht="47.25" customHeight="1" x14ac:dyDescent="0.25">
      <c r="A183" s="196" t="s">
        <v>306</v>
      </c>
      <c r="B183" s="196" t="s">
        <v>61</v>
      </c>
      <c r="C183" s="196">
        <v>219</v>
      </c>
      <c r="D183" s="196">
        <v>38</v>
      </c>
      <c r="E183" s="196">
        <v>69</v>
      </c>
      <c r="F183" s="17">
        <v>0.86</v>
      </c>
      <c r="G183" s="17">
        <v>0.15</v>
      </c>
      <c r="H183" s="17">
        <v>0.27</v>
      </c>
    </row>
    <row r="184" spans="1:8" customFormat="1" ht="47.25" customHeight="1" x14ac:dyDescent="0.25">
      <c r="A184" s="197" t="s">
        <v>306</v>
      </c>
      <c r="B184" s="197" t="s">
        <v>313</v>
      </c>
      <c r="C184" s="17">
        <v>221</v>
      </c>
      <c r="D184" s="17">
        <v>160</v>
      </c>
      <c r="E184" s="17">
        <v>221</v>
      </c>
      <c r="F184" s="17">
        <v>0.86670000000000003</v>
      </c>
      <c r="G184" s="17">
        <v>0.62749999999999995</v>
      </c>
      <c r="H184" s="17">
        <v>0.86670000000000003</v>
      </c>
    </row>
    <row r="185" spans="1:8" customFormat="1" ht="47.25" customHeight="1" x14ac:dyDescent="0.25">
      <c r="A185" s="198" t="s">
        <v>306</v>
      </c>
      <c r="B185" s="198" t="s">
        <v>314</v>
      </c>
      <c r="C185" s="17">
        <v>160</v>
      </c>
      <c r="D185" s="17">
        <v>32</v>
      </c>
      <c r="E185" s="17">
        <v>240</v>
      </c>
      <c r="F185" s="17">
        <v>0.62749999999999995</v>
      </c>
      <c r="G185" s="17">
        <v>0.1255</v>
      </c>
      <c r="H185" s="17">
        <v>0.94120000000000004</v>
      </c>
    </row>
    <row r="186" spans="1:8" customFormat="1" ht="47.25" customHeight="1" x14ac:dyDescent="0.25">
      <c r="A186" s="199" t="s">
        <v>306</v>
      </c>
      <c r="B186" s="199" t="s">
        <v>315</v>
      </c>
      <c r="C186" s="17">
        <v>147</v>
      </c>
      <c r="D186" s="17">
        <v>112</v>
      </c>
      <c r="E186" s="17">
        <v>219</v>
      </c>
      <c r="F186" s="17">
        <v>0.57650000000000001</v>
      </c>
      <c r="G186" s="17">
        <v>0.43919999999999998</v>
      </c>
      <c r="H186" s="17">
        <v>0.85880000000000001</v>
      </c>
    </row>
    <row r="187" spans="1:8" customFormat="1" ht="47.25" customHeight="1" x14ac:dyDescent="0.25">
      <c r="A187" s="200" t="s">
        <v>306</v>
      </c>
      <c r="B187" s="200" t="s">
        <v>316</v>
      </c>
      <c r="C187" s="200">
        <v>92</v>
      </c>
      <c r="D187" s="200">
        <v>36</v>
      </c>
      <c r="E187" s="200">
        <v>110</v>
      </c>
      <c r="F187" s="17">
        <v>0.36</v>
      </c>
      <c r="G187" s="17">
        <v>0.14000000000000001</v>
      </c>
      <c r="H187" s="17">
        <v>0.43</v>
      </c>
    </row>
    <row r="188" spans="1:8" customFormat="1" ht="47.25" customHeight="1" x14ac:dyDescent="0.25">
      <c r="A188" s="201" t="s">
        <v>306</v>
      </c>
      <c r="B188" s="201" t="s">
        <v>317</v>
      </c>
      <c r="C188" s="201">
        <v>143</v>
      </c>
      <c r="D188" s="201">
        <v>94</v>
      </c>
      <c r="E188" s="201">
        <v>153</v>
      </c>
      <c r="F188" s="17">
        <v>0.56000000000000005</v>
      </c>
      <c r="G188" s="17">
        <v>0.37</v>
      </c>
      <c r="H188" s="17">
        <v>0.6</v>
      </c>
    </row>
    <row r="189" spans="1:8" customFormat="1" ht="47.25" customHeight="1" x14ac:dyDescent="0.25">
      <c r="A189" s="202" t="s">
        <v>306</v>
      </c>
      <c r="B189" s="202" t="s">
        <v>318</v>
      </c>
      <c r="C189" s="204">
        <v>148</v>
      </c>
      <c r="D189" s="204">
        <v>0</v>
      </c>
      <c r="E189" s="204">
        <v>211</v>
      </c>
      <c r="F189" s="17">
        <v>0.58040000000000003</v>
      </c>
      <c r="G189" s="17">
        <v>0</v>
      </c>
      <c r="H189" s="17">
        <v>0.82750000000000001</v>
      </c>
    </row>
    <row r="190" spans="1:8" customFormat="1" ht="47.25" customHeight="1" x14ac:dyDescent="0.25">
      <c r="A190" s="203" t="s">
        <v>306</v>
      </c>
      <c r="B190" s="203" t="s">
        <v>319</v>
      </c>
      <c r="C190" s="200">
        <v>208</v>
      </c>
      <c r="D190" s="200">
        <v>32</v>
      </c>
      <c r="E190" s="200">
        <v>144</v>
      </c>
      <c r="F190" s="17">
        <v>0.81569999999999998</v>
      </c>
      <c r="G190" s="17">
        <v>0.1255</v>
      </c>
      <c r="H190" s="17">
        <v>0.56469999999999998</v>
      </c>
    </row>
    <row r="191" spans="1:8" customFormat="1" ht="47.25" customHeight="1" x14ac:dyDescent="0.25">
      <c r="A191" s="204" t="s">
        <v>306</v>
      </c>
      <c r="B191" s="204" t="s">
        <v>320</v>
      </c>
      <c r="C191" s="201">
        <v>199</v>
      </c>
      <c r="D191" s="201">
        <v>21</v>
      </c>
      <c r="E191" s="201">
        <v>133</v>
      </c>
      <c r="F191" s="17">
        <v>0.78039999999999998</v>
      </c>
      <c r="G191" s="17">
        <v>8.2400000000000001E-2</v>
      </c>
      <c r="H191" s="17">
        <v>0.52159999999999995</v>
      </c>
    </row>
    <row r="192" spans="1:8" customFormat="1" ht="47.25" customHeight="1" x14ac:dyDescent="0.25">
      <c r="A192" s="205" t="s">
        <v>306</v>
      </c>
      <c r="B192" s="205" t="s">
        <v>321</v>
      </c>
      <c r="C192" s="204">
        <v>219</v>
      </c>
      <c r="D192" s="204">
        <v>112</v>
      </c>
      <c r="E192" s="204">
        <v>147</v>
      </c>
      <c r="F192" s="17">
        <v>0.85880000000000001</v>
      </c>
      <c r="G192" s="17">
        <v>0.43919999999999998</v>
      </c>
      <c r="H192" s="17">
        <v>0.57650000000000001</v>
      </c>
    </row>
    <row r="193" spans="1:1" x14ac:dyDescent="0.25">
      <c r="A193" s="13"/>
    </row>
    <row r="253" spans="2:2" x14ac:dyDescent="0.25">
      <c r="B253" s="206"/>
    </row>
    <row r="277" spans="2:7" x14ac:dyDescent="0.25">
      <c r="B277" s="207"/>
      <c r="C277" s="207"/>
      <c r="D277" s="207"/>
      <c r="E277" s="207"/>
      <c r="F277" s="207"/>
      <c r="G277" s="207"/>
    </row>
    <row r="343" spans="2:2" x14ac:dyDescent="0.25">
      <c r="B343" s="206"/>
    </row>
    <row r="400" spans="2:2" x14ac:dyDescent="0.25">
      <c r="B400" s="206"/>
    </row>
    <row r="495" spans="2:2" x14ac:dyDescent="0.25">
      <c r="B495" s="206"/>
    </row>
    <row r="578" spans="2:2" x14ac:dyDescent="0.25">
      <c r="B578" s="206"/>
    </row>
    <row r="713" spans="2:2" x14ac:dyDescent="0.25">
      <c r="B713" s="206"/>
    </row>
    <row r="850" spans="2:2" x14ac:dyDescent="0.25">
      <c r="B850" s="206"/>
    </row>
    <row r="934" spans="2:2" x14ac:dyDescent="0.25">
      <c r="B934" s="206"/>
    </row>
    <row r="1040" spans="2:2" x14ac:dyDescent="0.25">
      <c r="B1040" s="206"/>
    </row>
    <row r="1059" spans="2:2" x14ac:dyDescent="0.25">
      <c r="B1059" s="206"/>
    </row>
  </sheetData>
  <mergeCells count="1">
    <mergeCell ref="A1:H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K611"/>
  <sheetViews>
    <sheetView workbookViewId="0">
      <selection activeCell="J11" sqref="J11"/>
    </sheetView>
  </sheetViews>
  <sheetFormatPr defaultRowHeight="15" x14ac:dyDescent="0.25"/>
  <cols>
    <col min="1" max="1" width="21.42578125" style="1" bestFit="1" customWidth="1"/>
    <col min="2" max="2" width="9.7109375" style="1" hidden="1" customWidth="1"/>
    <col min="3" max="3" width="6.7109375" style="1" bestFit="1" customWidth="1"/>
    <col min="4" max="4" width="7" style="1" bestFit="1" customWidth="1"/>
    <col min="5" max="5" width="6.7109375" style="1" bestFit="1" customWidth="1"/>
    <col min="6" max="6" width="14.140625" style="1" hidden="1" customWidth="1"/>
    <col min="7" max="7" width="12.140625" style="1" bestFit="1" customWidth="1"/>
    <col min="8" max="8" width="11.28515625" style="1" customWidth="1"/>
    <col min="9" max="10" width="7.5703125" style="1" bestFit="1" customWidth="1"/>
    <col min="11" max="11" width="26.5703125" style="1" customWidth="1"/>
    <col min="12" max="16384" width="9.140625" style="1"/>
  </cols>
  <sheetData>
    <row r="1" spans="1:11" ht="50.25" customHeight="1" thickBot="1" x14ac:dyDescent="0.3">
      <c r="A1" s="866" t="s">
        <v>387</v>
      </c>
      <c r="B1" s="867" t="s">
        <v>388</v>
      </c>
      <c r="C1" s="867" t="s">
        <v>121</v>
      </c>
      <c r="D1" s="867" t="s">
        <v>122</v>
      </c>
      <c r="E1" s="867" t="s">
        <v>123</v>
      </c>
      <c r="F1" s="868" t="s">
        <v>389</v>
      </c>
      <c r="G1" s="869" t="s">
        <v>390</v>
      </c>
    </row>
    <row r="2" spans="1:11" ht="30" customHeight="1" x14ac:dyDescent="0.25">
      <c r="A2" s="864" t="s">
        <v>393</v>
      </c>
      <c r="B2" s="864" t="s">
        <v>394</v>
      </c>
      <c r="C2" s="864">
        <v>167</v>
      </c>
      <c r="D2" s="864">
        <v>0</v>
      </c>
      <c r="E2" s="864">
        <v>80</v>
      </c>
      <c r="F2" s="864">
        <v>5243047</v>
      </c>
      <c r="G2" s="865"/>
    </row>
    <row r="3" spans="1:11" ht="30" customHeight="1" x14ac:dyDescent="0.25">
      <c r="A3" s="268" t="s">
        <v>395</v>
      </c>
      <c r="B3" s="268" t="s">
        <v>396</v>
      </c>
      <c r="C3" s="268">
        <v>240</v>
      </c>
      <c r="D3" s="268">
        <v>248</v>
      </c>
      <c r="E3" s="268">
        <v>255</v>
      </c>
      <c r="F3" s="268">
        <v>16775408</v>
      </c>
      <c r="G3" s="269"/>
    </row>
    <row r="4" spans="1:11" ht="30" customHeight="1" x14ac:dyDescent="0.25">
      <c r="A4" s="268" t="s">
        <v>397</v>
      </c>
      <c r="B4" s="268" t="s">
        <v>398</v>
      </c>
      <c r="C4" s="268">
        <v>250</v>
      </c>
      <c r="D4" s="268">
        <v>235</v>
      </c>
      <c r="E4" s="268">
        <v>215</v>
      </c>
      <c r="F4" s="268">
        <v>14150650</v>
      </c>
      <c r="G4" s="270"/>
      <c r="H4" s="1" t="str">
        <f>""</f>
        <v/>
      </c>
    </row>
    <row r="5" spans="1:11" ht="30" customHeight="1" thickBot="1" x14ac:dyDescent="0.3">
      <c r="A5" s="268" t="s">
        <v>399</v>
      </c>
      <c r="B5" s="268" t="s">
        <v>400</v>
      </c>
      <c r="C5" s="268">
        <v>255</v>
      </c>
      <c r="D5" s="268">
        <v>239</v>
      </c>
      <c r="E5" s="268">
        <v>219</v>
      </c>
      <c r="F5" s="268">
        <v>14413823</v>
      </c>
      <c r="G5" s="271"/>
    </row>
    <row r="6" spans="1:11" ht="30" customHeight="1" thickBot="1" x14ac:dyDescent="0.3">
      <c r="A6" s="268" t="s">
        <v>401</v>
      </c>
      <c r="B6" s="268" t="s">
        <v>402</v>
      </c>
      <c r="C6" s="268">
        <v>238</v>
      </c>
      <c r="D6" s="268">
        <v>223</v>
      </c>
      <c r="E6" s="268">
        <v>204</v>
      </c>
      <c r="F6" s="268">
        <v>13426670</v>
      </c>
      <c r="G6" s="272"/>
      <c r="J6" s="870" t="s">
        <v>391</v>
      </c>
      <c r="K6" s="871" t="s">
        <v>392</v>
      </c>
    </row>
    <row r="7" spans="1:11" ht="30" customHeight="1" x14ac:dyDescent="0.25">
      <c r="A7" s="268" t="s">
        <v>403</v>
      </c>
      <c r="B7" s="268" t="s">
        <v>404</v>
      </c>
      <c r="C7" s="268">
        <v>205</v>
      </c>
      <c r="D7" s="268">
        <v>192</v>
      </c>
      <c r="E7" s="268">
        <v>176</v>
      </c>
      <c r="F7" s="268">
        <v>11583693</v>
      </c>
      <c r="G7" s="273"/>
    </row>
    <row r="8" spans="1:11" ht="30" customHeight="1" x14ac:dyDescent="0.25">
      <c r="A8" s="268" t="s">
        <v>405</v>
      </c>
      <c r="B8" s="268" t="s">
        <v>406</v>
      </c>
      <c r="C8" s="268">
        <v>139</v>
      </c>
      <c r="D8" s="268">
        <v>131</v>
      </c>
      <c r="E8" s="268">
        <v>120</v>
      </c>
      <c r="F8" s="268">
        <v>7897995</v>
      </c>
      <c r="G8" s="274"/>
    </row>
    <row r="9" spans="1:11" ht="30" customHeight="1" x14ac:dyDescent="0.25">
      <c r="A9" s="268" t="s">
        <v>407</v>
      </c>
      <c r="B9" s="268" t="s">
        <v>408</v>
      </c>
      <c r="C9" s="268">
        <v>0</v>
      </c>
      <c r="D9" s="268">
        <v>255</v>
      </c>
      <c r="E9" s="268">
        <v>255</v>
      </c>
      <c r="F9" s="268">
        <v>16776960</v>
      </c>
      <c r="G9" s="275"/>
    </row>
    <row r="10" spans="1:11" ht="30" customHeight="1" x14ac:dyDescent="0.25">
      <c r="A10" s="268" t="s">
        <v>409</v>
      </c>
      <c r="B10" s="268" t="s">
        <v>410</v>
      </c>
      <c r="C10" s="268">
        <v>127</v>
      </c>
      <c r="D10" s="268">
        <v>255</v>
      </c>
      <c r="E10" s="268">
        <v>212</v>
      </c>
      <c r="F10" s="268">
        <v>13959039</v>
      </c>
      <c r="G10" s="276"/>
    </row>
    <row r="11" spans="1:11" ht="30" customHeight="1" x14ac:dyDescent="0.25">
      <c r="A11" s="268" t="s">
        <v>411</v>
      </c>
      <c r="B11" s="268" t="s">
        <v>412</v>
      </c>
      <c r="C11" s="268">
        <v>118</v>
      </c>
      <c r="D11" s="268">
        <v>238</v>
      </c>
      <c r="E11" s="268">
        <v>198</v>
      </c>
      <c r="F11" s="268">
        <v>13037174</v>
      </c>
      <c r="G11" s="277"/>
    </row>
    <row r="12" spans="1:11" ht="30" customHeight="1" x14ac:dyDescent="0.25">
      <c r="A12" s="268" t="s">
        <v>413</v>
      </c>
      <c r="B12" s="268" t="s">
        <v>414</v>
      </c>
      <c r="C12" s="268">
        <v>102</v>
      </c>
      <c r="D12" s="268">
        <v>205</v>
      </c>
      <c r="E12" s="268">
        <v>170</v>
      </c>
      <c r="F12" s="268">
        <v>11193702</v>
      </c>
      <c r="G12" s="278"/>
    </row>
    <row r="13" spans="1:11" ht="30" customHeight="1" x14ac:dyDescent="0.25">
      <c r="A13" s="268" t="s">
        <v>415</v>
      </c>
      <c r="B13" s="268" t="s">
        <v>416</v>
      </c>
      <c r="C13" s="268">
        <v>69</v>
      </c>
      <c r="D13" s="268">
        <v>139</v>
      </c>
      <c r="E13" s="268">
        <v>116</v>
      </c>
      <c r="F13" s="268">
        <v>7637829</v>
      </c>
      <c r="G13" s="279"/>
    </row>
    <row r="14" spans="1:11" ht="30" customHeight="1" x14ac:dyDescent="0.25">
      <c r="A14" s="268" t="s">
        <v>417</v>
      </c>
      <c r="B14" s="268" t="s">
        <v>418</v>
      </c>
      <c r="C14" s="268">
        <v>240</v>
      </c>
      <c r="D14" s="268">
        <v>255</v>
      </c>
      <c r="E14" s="268">
        <v>255</v>
      </c>
      <c r="F14" s="268">
        <v>16777200</v>
      </c>
      <c r="G14" s="280"/>
    </row>
    <row r="15" spans="1:11" ht="30" customHeight="1" x14ac:dyDescent="0.25">
      <c r="A15" s="268" t="s">
        <v>419</v>
      </c>
      <c r="B15" s="268" t="s">
        <v>420</v>
      </c>
      <c r="C15" s="268">
        <v>224</v>
      </c>
      <c r="D15" s="268">
        <v>238</v>
      </c>
      <c r="E15" s="268">
        <v>238</v>
      </c>
      <c r="F15" s="268">
        <v>15658720</v>
      </c>
      <c r="G15" s="281"/>
    </row>
    <row r="16" spans="1:11" ht="30" customHeight="1" x14ac:dyDescent="0.25">
      <c r="A16" s="268" t="s">
        <v>421</v>
      </c>
      <c r="B16" s="268" t="s">
        <v>422</v>
      </c>
      <c r="C16" s="268">
        <v>193</v>
      </c>
      <c r="D16" s="268">
        <v>205</v>
      </c>
      <c r="E16" s="268">
        <v>205</v>
      </c>
      <c r="F16" s="268">
        <v>13487553</v>
      </c>
      <c r="G16" s="282"/>
    </row>
    <row r="17" spans="1:7" ht="30" customHeight="1" x14ac:dyDescent="0.25">
      <c r="A17" s="268" t="s">
        <v>423</v>
      </c>
      <c r="B17" s="268" t="s">
        <v>424</v>
      </c>
      <c r="C17" s="268">
        <v>131</v>
      </c>
      <c r="D17" s="268">
        <v>139</v>
      </c>
      <c r="E17" s="268">
        <v>139</v>
      </c>
      <c r="F17" s="268">
        <v>9145219</v>
      </c>
      <c r="G17" s="283"/>
    </row>
    <row r="18" spans="1:7" ht="30" customHeight="1" x14ac:dyDescent="0.25">
      <c r="A18" s="268" t="s">
        <v>229</v>
      </c>
      <c r="B18" s="268" t="s">
        <v>425</v>
      </c>
      <c r="C18" s="268">
        <v>227</v>
      </c>
      <c r="D18" s="268">
        <v>207</v>
      </c>
      <c r="E18" s="268">
        <v>87</v>
      </c>
      <c r="F18" s="268">
        <v>5754851</v>
      </c>
      <c r="G18" s="284"/>
    </row>
    <row r="19" spans="1:7" ht="30" customHeight="1" x14ac:dyDescent="0.25">
      <c r="A19" s="268" t="s">
        <v>191</v>
      </c>
      <c r="B19" s="268" t="s">
        <v>426</v>
      </c>
      <c r="C19" s="268">
        <v>245</v>
      </c>
      <c r="D19" s="268">
        <v>245</v>
      </c>
      <c r="E19" s="268">
        <v>220</v>
      </c>
      <c r="F19" s="268">
        <v>14480885</v>
      </c>
      <c r="G19" s="285"/>
    </row>
    <row r="20" spans="1:7" ht="30" customHeight="1" x14ac:dyDescent="0.25">
      <c r="A20" s="286" t="s">
        <v>427</v>
      </c>
      <c r="B20" s="287"/>
      <c r="C20" s="288">
        <v>163</v>
      </c>
      <c r="D20" s="288">
        <v>148</v>
      </c>
      <c r="E20" s="288">
        <v>128</v>
      </c>
      <c r="F20" s="287"/>
      <c r="G20" s="286"/>
    </row>
    <row r="21" spans="1:7" ht="30" customHeight="1" x14ac:dyDescent="0.25">
      <c r="A21" s="268" t="s">
        <v>428</v>
      </c>
      <c r="B21" s="268" t="s">
        <v>429</v>
      </c>
      <c r="C21" s="268">
        <v>255</v>
      </c>
      <c r="D21" s="268">
        <v>228</v>
      </c>
      <c r="E21" s="268">
        <v>196</v>
      </c>
      <c r="F21" s="268">
        <v>12903679</v>
      </c>
      <c r="G21" s="289"/>
    </row>
    <row r="22" spans="1:7" ht="30" customHeight="1" x14ac:dyDescent="0.25">
      <c r="A22" s="268" t="s">
        <v>430</v>
      </c>
      <c r="B22" s="268" t="s">
        <v>431</v>
      </c>
      <c r="C22" s="268">
        <v>238</v>
      </c>
      <c r="D22" s="268">
        <v>213</v>
      </c>
      <c r="E22" s="268">
        <v>183</v>
      </c>
      <c r="F22" s="268">
        <v>12047854</v>
      </c>
      <c r="G22" s="290"/>
    </row>
    <row r="23" spans="1:7" ht="30" customHeight="1" x14ac:dyDescent="0.25">
      <c r="A23" s="268" t="s">
        <v>432</v>
      </c>
      <c r="B23" s="268" t="s">
        <v>433</v>
      </c>
      <c r="C23" s="268">
        <v>205</v>
      </c>
      <c r="D23" s="268">
        <v>183</v>
      </c>
      <c r="E23" s="268">
        <v>158</v>
      </c>
      <c r="F23" s="268">
        <v>10401741</v>
      </c>
      <c r="G23" s="291"/>
    </row>
    <row r="24" spans="1:7" ht="30" customHeight="1" x14ac:dyDescent="0.25">
      <c r="A24" s="268" t="s">
        <v>434</v>
      </c>
      <c r="B24" s="268" t="s">
        <v>435</v>
      </c>
      <c r="C24" s="268">
        <v>139</v>
      </c>
      <c r="D24" s="268">
        <v>125</v>
      </c>
      <c r="E24" s="268">
        <v>107</v>
      </c>
      <c r="F24" s="268">
        <v>7044491</v>
      </c>
      <c r="G24" s="292"/>
    </row>
    <row r="25" spans="1:7" ht="30" customHeight="1" x14ac:dyDescent="0.25">
      <c r="A25" s="268" t="s">
        <v>165</v>
      </c>
      <c r="B25" s="268" t="s">
        <v>436</v>
      </c>
      <c r="C25" s="268">
        <v>0</v>
      </c>
      <c r="D25" s="268">
        <v>0</v>
      </c>
      <c r="E25" s="268">
        <v>0</v>
      </c>
      <c r="F25" s="268">
        <v>0</v>
      </c>
      <c r="G25" s="293"/>
    </row>
    <row r="26" spans="1:7" ht="30" customHeight="1" x14ac:dyDescent="0.25">
      <c r="A26" s="268" t="s">
        <v>437</v>
      </c>
      <c r="B26" s="268" t="s">
        <v>438</v>
      </c>
      <c r="C26" s="268">
        <v>255</v>
      </c>
      <c r="D26" s="268">
        <v>235</v>
      </c>
      <c r="E26" s="268">
        <v>205</v>
      </c>
      <c r="F26" s="268">
        <v>13495295</v>
      </c>
      <c r="G26" s="294"/>
    </row>
    <row r="27" spans="1:7" ht="30" customHeight="1" x14ac:dyDescent="0.25">
      <c r="A27" s="268" t="s">
        <v>439</v>
      </c>
      <c r="B27" s="268" t="s">
        <v>440</v>
      </c>
      <c r="C27" s="268">
        <v>0</v>
      </c>
      <c r="D27" s="268">
        <v>0</v>
      </c>
      <c r="E27" s="268">
        <v>238</v>
      </c>
      <c r="F27" s="268">
        <v>15597568</v>
      </c>
      <c r="G27" s="295"/>
    </row>
    <row r="28" spans="1:7" ht="30" customHeight="1" x14ac:dyDescent="0.25">
      <c r="A28" s="268" t="s">
        <v>441</v>
      </c>
      <c r="B28" s="268" t="s">
        <v>442</v>
      </c>
      <c r="C28" s="268">
        <v>0</v>
      </c>
      <c r="D28" s="268">
        <v>0</v>
      </c>
      <c r="E28" s="268">
        <v>205</v>
      </c>
      <c r="F28" s="268">
        <v>13434880</v>
      </c>
      <c r="G28" s="296"/>
    </row>
    <row r="29" spans="1:7" ht="30" customHeight="1" x14ac:dyDescent="0.25">
      <c r="A29" s="268" t="s">
        <v>443</v>
      </c>
      <c r="B29" s="268" t="s">
        <v>444</v>
      </c>
      <c r="C29" s="268">
        <v>0</v>
      </c>
      <c r="D29" s="268">
        <v>0</v>
      </c>
      <c r="E29" s="268">
        <v>139</v>
      </c>
      <c r="F29" s="268">
        <v>9109504</v>
      </c>
      <c r="G29" s="297"/>
    </row>
    <row r="30" spans="1:7" ht="30" customHeight="1" x14ac:dyDescent="0.25">
      <c r="A30" s="268" t="s">
        <v>445</v>
      </c>
      <c r="B30" s="268" t="s">
        <v>446</v>
      </c>
      <c r="C30" s="268">
        <v>138</v>
      </c>
      <c r="D30" s="268">
        <v>43</v>
      </c>
      <c r="E30" s="268">
        <v>226</v>
      </c>
      <c r="F30" s="268">
        <v>14822282</v>
      </c>
      <c r="G30" s="298"/>
    </row>
    <row r="31" spans="1:7" ht="30" customHeight="1" x14ac:dyDescent="0.25">
      <c r="A31" s="268" t="s">
        <v>281</v>
      </c>
      <c r="B31" s="268" t="s">
        <v>447</v>
      </c>
      <c r="C31" s="268">
        <v>0</v>
      </c>
      <c r="D31" s="268">
        <v>0</v>
      </c>
      <c r="E31" s="268">
        <v>255</v>
      </c>
      <c r="F31" s="268">
        <v>16711680</v>
      </c>
      <c r="G31" s="299"/>
    </row>
    <row r="32" spans="1:7" ht="30" customHeight="1" x14ac:dyDescent="0.25">
      <c r="A32" s="268" t="s">
        <v>170</v>
      </c>
      <c r="B32" s="268" t="s">
        <v>448</v>
      </c>
      <c r="C32" s="268">
        <v>156</v>
      </c>
      <c r="D32" s="268">
        <v>102</v>
      </c>
      <c r="E32" s="268">
        <v>31</v>
      </c>
      <c r="F32" s="268">
        <v>2057884</v>
      </c>
      <c r="G32" s="300"/>
    </row>
    <row r="33" spans="1:7" ht="30" customHeight="1" x14ac:dyDescent="0.25">
      <c r="A33" s="268" t="s">
        <v>192</v>
      </c>
      <c r="B33" s="268" t="s">
        <v>449</v>
      </c>
      <c r="C33" s="268">
        <v>165</v>
      </c>
      <c r="D33" s="268">
        <v>42</v>
      </c>
      <c r="E33" s="268">
        <v>42</v>
      </c>
      <c r="F33" s="268">
        <v>2763429</v>
      </c>
      <c r="G33" s="301"/>
    </row>
    <row r="34" spans="1:7" ht="30" customHeight="1" x14ac:dyDescent="0.25">
      <c r="A34" s="302" t="s">
        <v>192</v>
      </c>
      <c r="B34" s="287"/>
      <c r="C34" s="288">
        <v>128</v>
      </c>
      <c r="D34" s="288">
        <v>42</v>
      </c>
      <c r="E34" s="288">
        <v>42</v>
      </c>
      <c r="F34" s="287"/>
      <c r="G34" s="302"/>
    </row>
    <row r="35" spans="1:7" ht="30" customHeight="1" x14ac:dyDescent="0.25">
      <c r="A35" s="268" t="s">
        <v>450</v>
      </c>
      <c r="B35" s="268" t="s">
        <v>451</v>
      </c>
      <c r="C35" s="268">
        <v>255</v>
      </c>
      <c r="D35" s="268">
        <v>64</v>
      </c>
      <c r="E35" s="268">
        <v>64</v>
      </c>
      <c r="F35" s="268">
        <v>4210943</v>
      </c>
      <c r="G35" s="303"/>
    </row>
    <row r="36" spans="1:7" ht="30" customHeight="1" x14ac:dyDescent="0.25">
      <c r="A36" s="268" t="s">
        <v>452</v>
      </c>
      <c r="B36" s="268" t="s">
        <v>453</v>
      </c>
      <c r="C36" s="268">
        <v>238</v>
      </c>
      <c r="D36" s="268">
        <v>59</v>
      </c>
      <c r="E36" s="268">
        <v>59</v>
      </c>
      <c r="F36" s="268">
        <v>3881966</v>
      </c>
      <c r="G36" s="304"/>
    </row>
    <row r="37" spans="1:7" ht="30" customHeight="1" x14ac:dyDescent="0.25">
      <c r="A37" s="305" t="s">
        <v>454</v>
      </c>
      <c r="B37" s="287"/>
      <c r="C37" s="288">
        <v>219</v>
      </c>
      <c r="D37" s="288">
        <v>41</v>
      </c>
      <c r="E37" s="288">
        <v>41</v>
      </c>
      <c r="F37" s="287"/>
      <c r="G37" s="305"/>
    </row>
    <row r="38" spans="1:7" ht="30" customHeight="1" x14ac:dyDescent="0.25">
      <c r="A38" s="268" t="s">
        <v>455</v>
      </c>
      <c r="B38" s="268" t="s">
        <v>456</v>
      </c>
      <c r="C38" s="268">
        <v>205</v>
      </c>
      <c r="D38" s="268">
        <v>51</v>
      </c>
      <c r="E38" s="268">
        <v>51</v>
      </c>
      <c r="F38" s="268">
        <v>3355597</v>
      </c>
      <c r="G38" s="306"/>
    </row>
    <row r="39" spans="1:7" ht="30" customHeight="1" x14ac:dyDescent="0.25">
      <c r="A39" s="307" t="s">
        <v>457</v>
      </c>
      <c r="B39" s="287"/>
      <c r="C39" s="288">
        <v>227</v>
      </c>
      <c r="D39" s="288">
        <v>38</v>
      </c>
      <c r="E39" s="288">
        <v>54</v>
      </c>
      <c r="F39" s="287"/>
      <c r="G39" s="307"/>
    </row>
    <row r="40" spans="1:7" ht="30" customHeight="1" x14ac:dyDescent="0.25">
      <c r="A40" s="268" t="s">
        <v>458</v>
      </c>
      <c r="B40" s="268" t="s">
        <v>459</v>
      </c>
      <c r="C40" s="268">
        <v>139</v>
      </c>
      <c r="D40" s="268">
        <v>35</v>
      </c>
      <c r="E40" s="268">
        <v>35</v>
      </c>
      <c r="F40" s="268">
        <v>2302859</v>
      </c>
      <c r="G40" s="308"/>
    </row>
    <row r="41" spans="1:7" ht="30" customHeight="1" x14ac:dyDescent="0.25">
      <c r="A41" s="309" t="s">
        <v>460</v>
      </c>
      <c r="B41" s="287"/>
      <c r="C41" s="288">
        <v>135</v>
      </c>
      <c r="D41" s="288">
        <v>66</v>
      </c>
      <c r="E41" s="288">
        <v>31</v>
      </c>
      <c r="F41" s="287"/>
      <c r="G41" s="309"/>
    </row>
    <row r="42" spans="1:7" ht="30" customHeight="1" x14ac:dyDescent="0.25">
      <c r="A42" s="268" t="s">
        <v>461</v>
      </c>
      <c r="B42" s="268" t="s">
        <v>462</v>
      </c>
      <c r="C42" s="268">
        <v>222</v>
      </c>
      <c r="D42" s="268">
        <v>184</v>
      </c>
      <c r="E42" s="268">
        <v>135</v>
      </c>
      <c r="F42" s="268">
        <v>8894686</v>
      </c>
      <c r="G42" s="310"/>
    </row>
    <row r="43" spans="1:7" ht="30" customHeight="1" x14ac:dyDescent="0.25">
      <c r="A43" s="268" t="s">
        <v>463</v>
      </c>
      <c r="B43" s="268" t="s">
        <v>464</v>
      </c>
      <c r="C43" s="268">
        <v>255</v>
      </c>
      <c r="D43" s="268">
        <v>211</v>
      </c>
      <c r="E43" s="268">
        <v>155</v>
      </c>
      <c r="F43" s="268">
        <v>10212351</v>
      </c>
      <c r="G43" s="311"/>
    </row>
    <row r="44" spans="1:7" ht="30" customHeight="1" x14ac:dyDescent="0.25">
      <c r="A44" s="268" t="s">
        <v>465</v>
      </c>
      <c r="B44" s="268" t="s">
        <v>466</v>
      </c>
      <c r="C44" s="268">
        <v>238</v>
      </c>
      <c r="D44" s="268">
        <v>197</v>
      </c>
      <c r="E44" s="268">
        <v>145</v>
      </c>
      <c r="F44" s="268">
        <v>9553390</v>
      </c>
      <c r="G44" s="312"/>
    </row>
    <row r="45" spans="1:7" ht="30" customHeight="1" x14ac:dyDescent="0.25">
      <c r="A45" s="268" t="s">
        <v>467</v>
      </c>
      <c r="B45" s="268" t="s">
        <v>468</v>
      </c>
      <c r="C45" s="268">
        <v>205</v>
      </c>
      <c r="D45" s="268">
        <v>170</v>
      </c>
      <c r="E45" s="268">
        <v>125</v>
      </c>
      <c r="F45" s="268">
        <v>8235725</v>
      </c>
      <c r="G45" s="313"/>
    </row>
    <row r="46" spans="1:7" ht="30" customHeight="1" x14ac:dyDescent="0.25">
      <c r="A46" s="268" t="s">
        <v>469</v>
      </c>
      <c r="B46" s="268" t="s">
        <v>470</v>
      </c>
      <c r="C46" s="268">
        <v>139</v>
      </c>
      <c r="D46" s="268">
        <v>115</v>
      </c>
      <c r="E46" s="268">
        <v>85</v>
      </c>
      <c r="F46" s="268">
        <v>5600139</v>
      </c>
      <c r="G46" s="314"/>
    </row>
    <row r="47" spans="1:7" ht="30" customHeight="1" x14ac:dyDescent="0.25">
      <c r="A47" s="268" t="s">
        <v>471</v>
      </c>
      <c r="B47" s="268" t="s">
        <v>472</v>
      </c>
      <c r="C47" s="268">
        <v>138</v>
      </c>
      <c r="D47" s="268">
        <v>54</v>
      </c>
      <c r="E47" s="268">
        <v>15</v>
      </c>
      <c r="F47" s="268">
        <v>997002</v>
      </c>
      <c r="G47" s="315"/>
    </row>
    <row r="48" spans="1:7" ht="30" customHeight="1" x14ac:dyDescent="0.25">
      <c r="A48" s="268" t="s">
        <v>473</v>
      </c>
      <c r="B48" s="268" t="s">
        <v>474</v>
      </c>
      <c r="C48" s="268">
        <v>138</v>
      </c>
      <c r="D48" s="268">
        <v>51</v>
      </c>
      <c r="E48" s="268">
        <v>36</v>
      </c>
      <c r="F48" s="268">
        <v>2372490</v>
      </c>
      <c r="G48" s="316"/>
    </row>
    <row r="49" spans="1:7" ht="30" customHeight="1" x14ac:dyDescent="0.25">
      <c r="A49" s="268" t="s">
        <v>475</v>
      </c>
      <c r="B49" s="268" t="s">
        <v>476</v>
      </c>
      <c r="C49" s="268">
        <v>95</v>
      </c>
      <c r="D49" s="268">
        <v>158</v>
      </c>
      <c r="E49" s="268">
        <v>160</v>
      </c>
      <c r="F49" s="268">
        <v>10526303</v>
      </c>
      <c r="G49" s="317"/>
    </row>
    <row r="50" spans="1:7" ht="30" customHeight="1" x14ac:dyDescent="0.25">
      <c r="A50" s="268" t="s">
        <v>477</v>
      </c>
      <c r="B50" s="268" t="s">
        <v>478</v>
      </c>
      <c r="C50" s="268">
        <v>152</v>
      </c>
      <c r="D50" s="268">
        <v>245</v>
      </c>
      <c r="E50" s="268">
        <v>255</v>
      </c>
      <c r="F50" s="268">
        <v>16774552</v>
      </c>
      <c r="G50" s="318"/>
    </row>
    <row r="51" spans="1:7" ht="30" customHeight="1" x14ac:dyDescent="0.25">
      <c r="A51" s="268" t="s">
        <v>479</v>
      </c>
      <c r="B51" s="268" t="s">
        <v>480</v>
      </c>
      <c r="C51" s="268">
        <v>142</v>
      </c>
      <c r="D51" s="268">
        <v>229</v>
      </c>
      <c r="E51" s="268">
        <v>238</v>
      </c>
      <c r="F51" s="268">
        <v>15656334</v>
      </c>
      <c r="G51" s="319"/>
    </row>
    <row r="52" spans="1:7" ht="30" customHeight="1" x14ac:dyDescent="0.25">
      <c r="A52" s="268" t="s">
        <v>481</v>
      </c>
      <c r="B52" s="268" t="s">
        <v>482</v>
      </c>
      <c r="C52" s="268">
        <v>122</v>
      </c>
      <c r="D52" s="268">
        <v>197</v>
      </c>
      <c r="E52" s="268">
        <v>205</v>
      </c>
      <c r="F52" s="268">
        <v>13485434</v>
      </c>
      <c r="G52" s="320"/>
    </row>
    <row r="53" spans="1:7" ht="30" customHeight="1" x14ac:dyDescent="0.25">
      <c r="A53" s="321" t="s">
        <v>287</v>
      </c>
      <c r="B53" s="287"/>
      <c r="C53" s="288">
        <v>5</v>
      </c>
      <c r="D53" s="288">
        <v>184</v>
      </c>
      <c r="E53" s="288">
        <v>204</v>
      </c>
      <c r="F53" s="287"/>
      <c r="G53" s="321"/>
    </row>
    <row r="54" spans="1:7" ht="30" customHeight="1" x14ac:dyDescent="0.25">
      <c r="A54" s="268" t="s">
        <v>483</v>
      </c>
      <c r="B54" s="268" t="s">
        <v>484</v>
      </c>
      <c r="C54" s="268">
        <v>255</v>
      </c>
      <c r="D54" s="268">
        <v>97</v>
      </c>
      <c r="E54" s="268">
        <v>3</v>
      </c>
      <c r="F54" s="268">
        <v>221695</v>
      </c>
      <c r="G54" s="322"/>
    </row>
    <row r="55" spans="1:7" ht="30" customHeight="1" x14ac:dyDescent="0.25">
      <c r="A55" s="268" t="s">
        <v>485</v>
      </c>
      <c r="B55" s="268" t="s">
        <v>486</v>
      </c>
      <c r="C55" s="268">
        <v>0</v>
      </c>
      <c r="D55" s="268">
        <v>49</v>
      </c>
      <c r="E55" s="268">
        <v>125</v>
      </c>
      <c r="F55" s="268">
        <v>858083</v>
      </c>
      <c r="G55" s="323"/>
    </row>
    <row r="56" spans="1:7" ht="30" customHeight="1" x14ac:dyDescent="0.25">
      <c r="A56" s="324" t="s">
        <v>487</v>
      </c>
      <c r="B56" s="287"/>
      <c r="C56" s="288">
        <v>227</v>
      </c>
      <c r="D56" s="288">
        <v>23</v>
      </c>
      <c r="E56" s="288">
        <v>13</v>
      </c>
      <c r="F56" s="287"/>
      <c r="G56" s="324"/>
    </row>
    <row r="57" spans="1:7" ht="30" customHeight="1" x14ac:dyDescent="0.25">
      <c r="A57" s="325" t="s">
        <v>488</v>
      </c>
      <c r="B57" s="287"/>
      <c r="C57" s="288">
        <v>255</v>
      </c>
      <c r="D57" s="288">
        <v>3</v>
      </c>
      <c r="E57" s="288">
        <v>13</v>
      </c>
      <c r="F57" s="287"/>
      <c r="G57" s="325"/>
    </row>
    <row r="58" spans="1:7" ht="30" customHeight="1" x14ac:dyDescent="0.25">
      <c r="A58" s="268" t="s">
        <v>489</v>
      </c>
      <c r="B58" s="268" t="s">
        <v>490</v>
      </c>
      <c r="C58" s="268">
        <v>255</v>
      </c>
      <c r="D58" s="268">
        <v>153</v>
      </c>
      <c r="E58" s="268">
        <v>18</v>
      </c>
      <c r="F58" s="268">
        <v>1219071</v>
      </c>
      <c r="G58" s="326"/>
    </row>
    <row r="59" spans="1:7" ht="30" customHeight="1" x14ac:dyDescent="0.25">
      <c r="A59" s="268" t="s">
        <v>220</v>
      </c>
      <c r="B59" s="268" t="s">
        <v>491</v>
      </c>
      <c r="C59" s="268">
        <v>237</v>
      </c>
      <c r="D59" s="268">
        <v>145</v>
      </c>
      <c r="E59" s="268">
        <v>33</v>
      </c>
      <c r="F59" s="268">
        <v>2200045</v>
      </c>
      <c r="G59" s="327"/>
    </row>
    <row r="60" spans="1:7" ht="30" customHeight="1" x14ac:dyDescent="0.25">
      <c r="A60" s="268" t="s">
        <v>492</v>
      </c>
      <c r="B60" s="268" t="s">
        <v>493</v>
      </c>
      <c r="C60" s="268">
        <v>127</v>
      </c>
      <c r="D60" s="268">
        <v>255</v>
      </c>
      <c r="E60" s="268">
        <v>0</v>
      </c>
      <c r="F60" s="268">
        <v>65407</v>
      </c>
      <c r="G60" s="328"/>
    </row>
    <row r="61" spans="1:7" ht="30" customHeight="1" x14ac:dyDescent="0.25">
      <c r="A61" s="268" t="s">
        <v>494</v>
      </c>
      <c r="B61" s="268" t="s">
        <v>495</v>
      </c>
      <c r="C61" s="268">
        <v>118</v>
      </c>
      <c r="D61" s="268">
        <v>238</v>
      </c>
      <c r="E61" s="268">
        <v>0</v>
      </c>
      <c r="F61" s="268">
        <v>61046</v>
      </c>
      <c r="G61" s="329"/>
    </row>
    <row r="62" spans="1:7" ht="30" customHeight="1" x14ac:dyDescent="0.25">
      <c r="A62" s="268" t="s">
        <v>496</v>
      </c>
      <c r="B62" s="268" t="s">
        <v>497</v>
      </c>
      <c r="C62" s="268">
        <v>102</v>
      </c>
      <c r="D62" s="268">
        <v>205</v>
      </c>
      <c r="E62" s="268">
        <v>0</v>
      </c>
      <c r="F62" s="268">
        <v>52582</v>
      </c>
      <c r="G62" s="330"/>
    </row>
    <row r="63" spans="1:7" ht="30" customHeight="1" x14ac:dyDescent="0.25">
      <c r="A63" s="268" t="s">
        <v>498</v>
      </c>
      <c r="B63" s="268" t="s">
        <v>499</v>
      </c>
      <c r="C63" s="268">
        <v>69</v>
      </c>
      <c r="D63" s="268">
        <v>139</v>
      </c>
      <c r="E63" s="268">
        <v>0</v>
      </c>
      <c r="F63" s="268">
        <v>35653</v>
      </c>
      <c r="G63" s="331"/>
    </row>
    <row r="64" spans="1:7" ht="30" customHeight="1" x14ac:dyDescent="0.25">
      <c r="A64" s="268" t="s">
        <v>198</v>
      </c>
      <c r="B64" s="268" t="s">
        <v>500</v>
      </c>
      <c r="C64" s="268">
        <v>210</v>
      </c>
      <c r="D64" s="268">
        <v>105</v>
      </c>
      <c r="E64" s="268">
        <v>30</v>
      </c>
      <c r="F64" s="268">
        <v>1993170</v>
      </c>
      <c r="G64" s="332"/>
    </row>
    <row r="65" spans="1:7" ht="30" customHeight="1" x14ac:dyDescent="0.25">
      <c r="A65" s="268" t="s">
        <v>501</v>
      </c>
      <c r="B65" s="268" t="s">
        <v>502</v>
      </c>
      <c r="C65" s="268">
        <v>255</v>
      </c>
      <c r="D65" s="268">
        <v>127</v>
      </c>
      <c r="E65" s="268">
        <v>36</v>
      </c>
      <c r="F65" s="268">
        <v>2392063</v>
      </c>
      <c r="G65" s="333"/>
    </row>
    <row r="66" spans="1:7" ht="30" customHeight="1" x14ac:dyDescent="0.25">
      <c r="A66" s="268" t="s">
        <v>503</v>
      </c>
      <c r="B66" s="268" t="s">
        <v>504</v>
      </c>
      <c r="C66" s="268">
        <v>238</v>
      </c>
      <c r="D66" s="268">
        <v>118</v>
      </c>
      <c r="E66" s="268">
        <v>33</v>
      </c>
      <c r="F66" s="268">
        <v>2193134</v>
      </c>
      <c r="G66" s="334"/>
    </row>
    <row r="67" spans="1:7" ht="30" customHeight="1" x14ac:dyDescent="0.25">
      <c r="A67" s="268" t="s">
        <v>505</v>
      </c>
      <c r="B67" s="268" t="s">
        <v>506</v>
      </c>
      <c r="C67" s="268">
        <v>205</v>
      </c>
      <c r="D67" s="268">
        <v>102</v>
      </c>
      <c r="E67" s="268">
        <v>29</v>
      </c>
      <c r="F67" s="268">
        <v>1926861</v>
      </c>
      <c r="G67" s="335"/>
    </row>
    <row r="68" spans="1:7" ht="30" customHeight="1" x14ac:dyDescent="0.25">
      <c r="A68" s="268" t="s">
        <v>507</v>
      </c>
      <c r="B68" s="268" t="s">
        <v>508</v>
      </c>
      <c r="C68" s="268">
        <v>139</v>
      </c>
      <c r="D68" s="268">
        <v>69</v>
      </c>
      <c r="E68" s="268">
        <v>19</v>
      </c>
      <c r="F68" s="268">
        <v>1262987</v>
      </c>
      <c r="G68" s="336"/>
    </row>
    <row r="69" spans="1:7" ht="30" customHeight="1" x14ac:dyDescent="0.25">
      <c r="A69" s="337" t="s">
        <v>509</v>
      </c>
      <c r="B69" s="287"/>
      <c r="C69" s="288">
        <v>102</v>
      </c>
      <c r="D69" s="288">
        <v>128</v>
      </c>
      <c r="E69" s="288">
        <v>20</v>
      </c>
      <c r="F69" s="287"/>
      <c r="G69" s="337"/>
    </row>
    <row r="70" spans="1:7" ht="30" customHeight="1" x14ac:dyDescent="0.25">
      <c r="A70" s="338" t="s">
        <v>510</v>
      </c>
      <c r="B70" s="287"/>
      <c r="C70" s="288">
        <v>97</v>
      </c>
      <c r="D70" s="288">
        <v>179</v>
      </c>
      <c r="E70" s="288">
        <v>41</v>
      </c>
      <c r="F70" s="287"/>
      <c r="G70" s="338"/>
    </row>
    <row r="71" spans="1:7" ht="30" customHeight="1" x14ac:dyDescent="0.25">
      <c r="A71" s="268" t="s">
        <v>285</v>
      </c>
      <c r="B71" s="268" t="s">
        <v>511</v>
      </c>
      <c r="C71" s="268">
        <v>61</v>
      </c>
      <c r="D71" s="268">
        <v>89</v>
      </c>
      <c r="E71" s="268">
        <v>171</v>
      </c>
      <c r="F71" s="268">
        <v>11229501</v>
      </c>
      <c r="G71" s="339"/>
    </row>
    <row r="72" spans="1:7" ht="30" customHeight="1" x14ac:dyDescent="0.25">
      <c r="A72" s="268" t="s">
        <v>512</v>
      </c>
      <c r="B72" s="268" t="s">
        <v>513</v>
      </c>
      <c r="C72" s="268">
        <v>61</v>
      </c>
      <c r="D72" s="268">
        <v>145</v>
      </c>
      <c r="E72" s="268">
        <v>64</v>
      </c>
      <c r="F72" s="268">
        <v>4231485</v>
      </c>
      <c r="G72" s="340"/>
    </row>
    <row r="73" spans="1:7" ht="30" customHeight="1" x14ac:dyDescent="0.25">
      <c r="A73" s="268" t="s">
        <v>514</v>
      </c>
      <c r="B73" s="268" t="s">
        <v>515</v>
      </c>
      <c r="C73" s="268">
        <v>128</v>
      </c>
      <c r="D73" s="268">
        <v>138</v>
      </c>
      <c r="E73" s="268">
        <v>135</v>
      </c>
      <c r="F73" s="268">
        <v>8882816</v>
      </c>
      <c r="G73" s="341"/>
    </row>
    <row r="74" spans="1:7" ht="30" customHeight="1" x14ac:dyDescent="0.25">
      <c r="A74" s="268" t="s">
        <v>172</v>
      </c>
      <c r="B74" s="268" t="s">
        <v>516</v>
      </c>
      <c r="C74" s="268">
        <v>255</v>
      </c>
      <c r="D74" s="268">
        <v>127</v>
      </c>
      <c r="E74" s="268">
        <v>80</v>
      </c>
      <c r="F74" s="268">
        <v>5275647</v>
      </c>
      <c r="G74" s="342"/>
    </row>
    <row r="75" spans="1:7" ht="30" customHeight="1" x14ac:dyDescent="0.25">
      <c r="A75" s="268" t="s">
        <v>517</v>
      </c>
      <c r="B75" s="268" t="s">
        <v>518</v>
      </c>
      <c r="C75" s="268">
        <v>255</v>
      </c>
      <c r="D75" s="268">
        <v>114</v>
      </c>
      <c r="E75" s="268">
        <v>86</v>
      </c>
      <c r="F75" s="268">
        <v>5665535</v>
      </c>
      <c r="G75" s="343"/>
    </row>
    <row r="76" spans="1:7" ht="30" customHeight="1" x14ac:dyDescent="0.25">
      <c r="A76" s="268" t="s">
        <v>519</v>
      </c>
      <c r="B76" s="268" t="s">
        <v>520</v>
      </c>
      <c r="C76" s="268">
        <v>238</v>
      </c>
      <c r="D76" s="268">
        <v>106</v>
      </c>
      <c r="E76" s="268">
        <v>80</v>
      </c>
      <c r="F76" s="268">
        <v>5270254</v>
      </c>
      <c r="G76" s="344"/>
    </row>
    <row r="77" spans="1:7" ht="30" customHeight="1" x14ac:dyDescent="0.25">
      <c r="A77" s="268" t="s">
        <v>521</v>
      </c>
      <c r="B77" s="268" t="s">
        <v>522</v>
      </c>
      <c r="C77" s="268">
        <v>205</v>
      </c>
      <c r="D77" s="268">
        <v>91</v>
      </c>
      <c r="E77" s="268">
        <v>69</v>
      </c>
      <c r="F77" s="268">
        <v>4545485</v>
      </c>
      <c r="G77" s="345"/>
    </row>
    <row r="78" spans="1:7" ht="30" customHeight="1" x14ac:dyDescent="0.25">
      <c r="A78" s="268" t="s">
        <v>523</v>
      </c>
      <c r="B78" s="268" t="s">
        <v>524</v>
      </c>
      <c r="C78" s="268">
        <v>139</v>
      </c>
      <c r="D78" s="268">
        <v>62</v>
      </c>
      <c r="E78" s="268">
        <v>47</v>
      </c>
      <c r="F78" s="268">
        <v>3096203</v>
      </c>
      <c r="G78" s="346"/>
    </row>
    <row r="79" spans="1:7" ht="30" customHeight="1" x14ac:dyDescent="0.25">
      <c r="A79" s="347" t="s">
        <v>525</v>
      </c>
      <c r="B79" s="287"/>
      <c r="C79" s="288">
        <v>115</v>
      </c>
      <c r="D79" s="288">
        <v>61</v>
      </c>
      <c r="E79" s="288">
        <v>26</v>
      </c>
      <c r="F79" s="287"/>
      <c r="G79" s="347"/>
    </row>
    <row r="80" spans="1:7" ht="30" customHeight="1" x14ac:dyDescent="0.25">
      <c r="A80" s="268" t="s">
        <v>526</v>
      </c>
      <c r="B80" s="268" t="s">
        <v>527</v>
      </c>
      <c r="C80" s="268">
        <v>100</v>
      </c>
      <c r="D80" s="268">
        <v>149</v>
      </c>
      <c r="E80" s="268">
        <v>237</v>
      </c>
      <c r="F80" s="268">
        <v>15570276</v>
      </c>
      <c r="G80" s="348"/>
    </row>
    <row r="81" spans="1:7" ht="30" customHeight="1" x14ac:dyDescent="0.25">
      <c r="A81" s="268" t="s">
        <v>528</v>
      </c>
      <c r="B81" s="268" t="s">
        <v>529</v>
      </c>
      <c r="C81" s="268">
        <v>255</v>
      </c>
      <c r="D81" s="268">
        <v>248</v>
      </c>
      <c r="E81" s="268">
        <v>220</v>
      </c>
      <c r="F81" s="268">
        <v>14481663</v>
      </c>
      <c r="G81" s="349"/>
    </row>
    <row r="82" spans="1:7" ht="30" customHeight="1" x14ac:dyDescent="0.25">
      <c r="A82" s="268" t="s">
        <v>530</v>
      </c>
      <c r="B82" s="268" t="s">
        <v>531</v>
      </c>
      <c r="C82" s="268">
        <v>238</v>
      </c>
      <c r="D82" s="268">
        <v>232</v>
      </c>
      <c r="E82" s="268">
        <v>205</v>
      </c>
      <c r="F82" s="268">
        <v>13494510</v>
      </c>
      <c r="G82" s="350"/>
    </row>
    <row r="83" spans="1:7" ht="30" customHeight="1" x14ac:dyDescent="0.25">
      <c r="A83" s="268" t="s">
        <v>532</v>
      </c>
      <c r="B83" s="268" t="s">
        <v>533</v>
      </c>
      <c r="C83" s="268">
        <v>205</v>
      </c>
      <c r="D83" s="268">
        <v>200</v>
      </c>
      <c r="E83" s="268">
        <v>177</v>
      </c>
      <c r="F83" s="268">
        <v>11651277</v>
      </c>
      <c r="G83" s="351"/>
    </row>
    <row r="84" spans="1:7" ht="30" customHeight="1" x14ac:dyDescent="0.25">
      <c r="A84" s="268" t="s">
        <v>534</v>
      </c>
      <c r="B84" s="268" t="s">
        <v>535</v>
      </c>
      <c r="C84" s="268">
        <v>139</v>
      </c>
      <c r="D84" s="268">
        <v>136</v>
      </c>
      <c r="E84" s="268">
        <v>120</v>
      </c>
      <c r="F84" s="268">
        <v>7899275</v>
      </c>
      <c r="G84" s="352"/>
    </row>
    <row r="85" spans="1:7" ht="30" customHeight="1" x14ac:dyDescent="0.25">
      <c r="A85" s="268" t="s">
        <v>536</v>
      </c>
      <c r="B85" s="268" t="s">
        <v>537</v>
      </c>
      <c r="C85" s="268">
        <v>220</v>
      </c>
      <c r="D85" s="268">
        <v>20</v>
      </c>
      <c r="E85" s="268">
        <v>60</v>
      </c>
      <c r="F85" s="268">
        <v>3937500</v>
      </c>
      <c r="G85" s="353"/>
    </row>
    <row r="86" spans="1:7" ht="30" customHeight="1" x14ac:dyDescent="0.25">
      <c r="A86" s="268" t="s">
        <v>538</v>
      </c>
      <c r="B86" s="268" t="s">
        <v>408</v>
      </c>
      <c r="C86" s="268">
        <v>0</v>
      </c>
      <c r="D86" s="268">
        <v>255</v>
      </c>
      <c r="E86" s="268">
        <v>255</v>
      </c>
      <c r="F86" s="268">
        <v>16776960</v>
      </c>
      <c r="G86" s="275"/>
    </row>
    <row r="87" spans="1:7" ht="30" customHeight="1" x14ac:dyDescent="0.25">
      <c r="A87" s="268" t="s">
        <v>539</v>
      </c>
      <c r="B87" s="268" t="s">
        <v>540</v>
      </c>
      <c r="C87" s="268">
        <v>0</v>
      </c>
      <c r="D87" s="268">
        <v>238</v>
      </c>
      <c r="E87" s="268">
        <v>238</v>
      </c>
      <c r="F87" s="268">
        <v>15658496</v>
      </c>
      <c r="G87" s="354"/>
    </row>
    <row r="88" spans="1:7" ht="30" customHeight="1" x14ac:dyDescent="0.25">
      <c r="A88" s="268" t="s">
        <v>541</v>
      </c>
      <c r="B88" s="268" t="s">
        <v>542</v>
      </c>
      <c r="C88" s="268">
        <v>0</v>
      </c>
      <c r="D88" s="268">
        <v>205</v>
      </c>
      <c r="E88" s="268">
        <v>205</v>
      </c>
      <c r="F88" s="268">
        <v>13487360</v>
      </c>
      <c r="G88" s="355"/>
    </row>
    <row r="89" spans="1:7" ht="30" customHeight="1" x14ac:dyDescent="0.25">
      <c r="A89" s="268" t="s">
        <v>543</v>
      </c>
      <c r="B89" s="268" t="s">
        <v>544</v>
      </c>
      <c r="C89" s="268">
        <v>0</v>
      </c>
      <c r="D89" s="268">
        <v>139</v>
      </c>
      <c r="E89" s="268">
        <v>139</v>
      </c>
      <c r="F89" s="268">
        <v>9145088</v>
      </c>
      <c r="G89" s="356"/>
    </row>
    <row r="90" spans="1:7" ht="30" customHeight="1" x14ac:dyDescent="0.25">
      <c r="A90" s="268" t="s">
        <v>545</v>
      </c>
      <c r="B90" s="268" t="s">
        <v>546</v>
      </c>
      <c r="C90" s="268">
        <v>244</v>
      </c>
      <c r="D90" s="268">
        <v>164</v>
      </c>
      <c r="E90" s="268">
        <v>96</v>
      </c>
      <c r="F90" s="268">
        <v>6333684</v>
      </c>
      <c r="G90" s="357"/>
    </row>
    <row r="91" spans="1:7" ht="30" customHeight="1" x14ac:dyDescent="0.25">
      <c r="A91" s="268" t="s">
        <v>547</v>
      </c>
      <c r="B91" s="268" t="s">
        <v>548</v>
      </c>
      <c r="C91" s="268">
        <v>184</v>
      </c>
      <c r="D91" s="268">
        <v>134</v>
      </c>
      <c r="E91" s="268">
        <v>11</v>
      </c>
      <c r="F91" s="268">
        <v>755384</v>
      </c>
      <c r="G91" s="358"/>
    </row>
    <row r="92" spans="1:7" ht="30" customHeight="1" x14ac:dyDescent="0.25">
      <c r="A92" s="268" t="s">
        <v>549</v>
      </c>
      <c r="B92" s="268" t="s">
        <v>550</v>
      </c>
      <c r="C92" s="268">
        <v>255</v>
      </c>
      <c r="D92" s="268">
        <v>185</v>
      </c>
      <c r="E92" s="268">
        <v>15</v>
      </c>
      <c r="F92" s="268">
        <v>1030655</v>
      </c>
      <c r="G92" s="359"/>
    </row>
    <row r="93" spans="1:7" ht="30" customHeight="1" x14ac:dyDescent="0.25">
      <c r="A93" s="268" t="s">
        <v>551</v>
      </c>
      <c r="B93" s="268" t="s">
        <v>552</v>
      </c>
      <c r="C93" s="268">
        <v>238</v>
      </c>
      <c r="D93" s="268">
        <v>173</v>
      </c>
      <c r="E93" s="268">
        <v>14</v>
      </c>
      <c r="F93" s="268">
        <v>962030</v>
      </c>
      <c r="G93" s="360"/>
    </row>
    <row r="94" spans="1:7" ht="30" customHeight="1" x14ac:dyDescent="0.25">
      <c r="A94" s="268" t="s">
        <v>553</v>
      </c>
      <c r="B94" s="268" t="s">
        <v>554</v>
      </c>
      <c r="C94" s="268">
        <v>205</v>
      </c>
      <c r="D94" s="268">
        <v>149</v>
      </c>
      <c r="E94" s="268">
        <v>12</v>
      </c>
      <c r="F94" s="268">
        <v>824781</v>
      </c>
      <c r="G94" s="361"/>
    </row>
    <row r="95" spans="1:7" ht="30" customHeight="1" x14ac:dyDescent="0.25">
      <c r="A95" s="268" t="s">
        <v>555</v>
      </c>
      <c r="B95" s="268" t="s">
        <v>556</v>
      </c>
      <c r="C95" s="268">
        <v>139</v>
      </c>
      <c r="D95" s="268">
        <v>101</v>
      </c>
      <c r="E95" s="268">
        <v>8</v>
      </c>
      <c r="F95" s="268">
        <v>550283</v>
      </c>
      <c r="G95" s="362"/>
    </row>
    <row r="96" spans="1:7" ht="30" customHeight="1" x14ac:dyDescent="0.25">
      <c r="A96" s="268" t="s">
        <v>557</v>
      </c>
      <c r="B96" s="268" t="s">
        <v>558</v>
      </c>
      <c r="C96" s="268">
        <v>169</v>
      </c>
      <c r="D96" s="268">
        <v>169</v>
      </c>
      <c r="E96" s="268">
        <v>169</v>
      </c>
      <c r="F96" s="268">
        <v>11119017</v>
      </c>
      <c r="G96" s="363"/>
    </row>
    <row r="97" spans="1:7" ht="30" customHeight="1" x14ac:dyDescent="0.25">
      <c r="A97" s="268" t="s">
        <v>559</v>
      </c>
      <c r="B97" s="268" t="s">
        <v>560</v>
      </c>
      <c r="C97" s="268">
        <v>0</v>
      </c>
      <c r="D97" s="268">
        <v>100</v>
      </c>
      <c r="E97" s="268">
        <v>0</v>
      </c>
      <c r="F97" s="268">
        <v>25600</v>
      </c>
      <c r="G97" s="364"/>
    </row>
    <row r="98" spans="1:7" ht="30" customHeight="1" x14ac:dyDescent="0.25">
      <c r="A98" s="268" t="s">
        <v>561</v>
      </c>
      <c r="B98" s="268" t="s">
        <v>562</v>
      </c>
      <c r="C98" s="268">
        <v>189</v>
      </c>
      <c r="D98" s="268">
        <v>183</v>
      </c>
      <c r="E98" s="268">
        <v>107</v>
      </c>
      <c r="F98" s="268">
        <v>7059389</v>
      </c>
      <c r="G98" s="365"/>
    </row>
    <row r="99" spans="1:7" ht="30" customHeight="1" x14ac:dyDescent="0.25">
      <c r="A99" s="268" t="s">
        <v>563</v>
      </c>
      <c r="B99" s="268" t="s">
        <v>564</v>
      </c>
      <c r="C99" s="268">
        <v>85</v>
      </c>
      <c r="D99" s="268">
        <v>107</v>
      </c>
      <c r="E99" s="268">
        <v>47</v>
      </c>
      <c r="F99" s="268">
        <v>3107669</v>
      </c>
      <c r="G99" s="366"/>
    </row>
    <row r="100" spans="1:7" ht="30" customHeight="1" x14ac:dyDescent="0.25">
      <c r="A100" s="268" t="s">
        <v>565</v>
      </c>
      <c r="B100" s="268" t="s">
        <v>566</v>
      </c>
      <c r="C100" s="268">
        <v>202</v>
      </c>
      <c r="D100" s="268">
        <v>255</v>
      </c>
      <c r="E100" s="268">
        <v>112</v>
      </c>
      <c r="F100" s="268">
        <v>7405514</v>
      </c>
      <c r="G100" s="367"/>
    </row>
    <row r="101" spans="1:7" ht="30" customHeight="1" x14ac:dyDescent="0.25">
      <c r="A101" s="268" t="s">
        <v>567</v>
      </c>
      <c r="B101" s="268" t="s">
        <v>568</v>
      </c>
      <c r="C101" s="268">
        <v>188</v>
      </c>
      <c r="D101" s="268">
        <v>238</v>
      </c>
      <c r="E101" s="268">
        <v>104</v>
      </c>
      <c r="F101" s="268">
        <v>6876860</v>
      </c>
      <c r="G101" s="368"/>
    </row>
    <row r="102" spans="1:7" ht="30" customHeight="1" x14ac:dyDescent="0.25">
      <c r="A102" s="268" t="s">
        <v>569</v>
      </c>
      <c r="B102" s="268" t="s">
        <v>570</v>
      </c>
      <c r="C102" s="268">
        <v>162</v>
      </c>
      <c r="D102" s="268">
        <v>205</v>
      </c>
      <c r="E102" s="268">
        <v>90</v>
      </c>
      <c r="F102" s="268">
        <v>5950882</v>
      </c>
      <c r="G102" s="369"/>
    </row>
    <row r="103" spans="1:7" ht="30" customHeight="1" x14ac:dyDescent="0.25">
      <c r="A103" s="268" t="s">
        <v>571</v>
      </c>
      <c r="B103" s="268" t="s">
        <v>572</v>
      </c>
      <c r="C103" s="268">
        <v>110</v>
      </c>
      <c r="D103" s="268">
        <v>139</v>
      </c>
      <c r="E103" s="268">
        <v>61</v>
      </c>
      <c r="F103" s="268">
        <v>4033390</v>
      </c>
      <c r="G103" s="370"/>
    </row>
    <row r="104" spans="1:7" ht="30" customHeight="1" x14ac:dyDescent="0.25">
      <c r="A104" s="268" t="s">
        <v>573</v>
      </c>
      <c r="B104" s="268" t="s">
        <v>574</v>
      </c>
      <c r="C104" s="268">
        <v>255</v>
      </c>
      <c r="D104" s="268">
        <v>140</v>
      </c>
      <c r="E104" s="268">
        <v>0</v>
      </c>
      <c r="F104" s="268">
        <v>36095</v>
      </c>
      <c r="G104" s="371"/>
    </row>
    <row r="105" spans="1:7" ht="30" customHeight="1" x14ac:dyDescent="0.25">
      <c r="A105" s="268" t="s">
        <v>575</v>
      </c>
      <c r="B105" s="268" t="s">
        <v>576</v>
      </c>
      <c r="C105" s="268">
        <v>255</v>
      </c>
      <c r="D105" s="268">
        <v>127</v>
      </c>
      <c r="E105" s="268">
        <v>0</v>
      </c>
      <c r="F105" s="268">
        <v>32767</v>
      </c>
      <c r="G105" s="372"/>
    </row>
    <row r="106" spans="1:7" ht="30" customHeight="1" x14ac:dyDescent="0.25">
      <c r="A106" s="268" t="s">
        <v>577</v>
      </c>
      <c r="B106" s="268" t="s">
        <v>578</v>
      </c>
      <c r="C106" s="268">
        <v>238</v>
      </c>
      <c r="D106" s="268">
        <v>118</v>
      </c>
      <c r="E106" s="268">
        <v>0</v>
      </c>
      <c r="F106" s="268">
        <v>30446</v>
      </c>
      <c r="G106" s="373"/>
    </row>
    <row r="107" spans="1:7" ht="30" customHeight="1" x14ac:dyDescent="0.25">
      <c r="A107" s="268" t="s">
        <v>579</v>
      </c>
      <c r="B107" s="268" t="s">
        <v>580</v>
      </c>
      <c r="C107" s="268">
        <v>205</v>
      </c>
      <c r="D107" s="268">
        <v>102</v>
      </c>
      <c r="E107" s="268">
        <v>0</v>
      </c>
      <c r="F107" s="268">
        <v>26317</v>
      </c>
      <c r="G107" s="374"/>
    </row>
    <row r="108" spans="1:7" ht="30" customHeight="1" x14ac:dyDescent="0.25">
      <c r="A108" s="268" t="s">
        <v>581</v>
      </c>
      <c r="B108" s="268" t="s">
        <v>582</v>
      </c>
      <c r="C108" s="268">
        <v>139</v>
      </c>
      <c r="D108" s="268">
        <v>69</v>
      </c>
      <c r="E108" s="268">
        <v>0</v>
      </c>
      <c r="F108" s="268">
        <v>17803</v>
      </c>
      <c r="G108" s="375"/>
    </row>
    <row r="109" spans="1:7" ht="30" customHeight="1" x14ac:dyDescent="0.25">
      <c r="A109" s="268" t="s">
        <v>583</v>
      </c>
      <c r="B109" s="268" t="s">
        <v>584</v>
      </c>
      <c r="C109" s="268">
        <v>153</v>
      </c>
      <c r="D109" s="268">
        <v>50</v>
      </c>
      <c r="E109" s="268">
        <v>204</v>
      </c>
      <c r="F109" s="268">
        <v>13382297</v>
      </c>
      <c r="G109" s="376"/>
    </row>
    <row r="110" spans="1:7" ht="30" customHeight="1" x14ac:dyDescent="0.25">
      <c r="A110" s="268" t="s">
        <v>585</v>
      </c>
      <c r="B110" s="268" t="s">
        <v>586</v>
      </c>
      <c r="C110" s="268">
        <v>191</v>
      </c>
      <c r="D110" s="268">
        <v>62</v>
      </c>
      <c r="E110" s="268">
        <v>255</v>
      </c>
      <c r="F110" s="268">
        <v>16727743</v>
      </c>
      <c r="G110" s="377"/>
    </row>
    <row r="111" spans="1:7" ht="30" customHeight="1" x14ac:dyDescent="0.25">
      <c r="A111" s="268" t="s">
        <v>587</v>
      </c>
      <c r="B111" s="268" t="s">
        <v>588</v>
      </c>
      <c r="C111" s="268">
        <v>178</v>
      </c>
      <c r="D111" s="268">
        <v>58</v>
      </c>
      <c r="E111" s="268">
        <v>238</v>
      </c>
      <c r="F111" s="268">
        <v>15612594</v>
      </c>
      <c r="G111" s="378"/>
    </row>
    <row r="112" spans="1:7" ht="30" customHeight="1" x14ac:dyDescent="0.25">
      <c r="A112" s="268" t="s">
        <v>589</v>
      </c>
      <c r="B112" s="268" t="s">
        <v>590</v>
      </c>
      <c r="C112" s="268">
        <v>154</v>
      </c>
      <c r="D112" s="268">
        <v>50</v>
      </c>
      <c r="E112" s="268">
        <v>205</v>
      </c>
      <c r="F112" s="268">
        <v>13447834</v>
      </c>
      <c r="G112" s="379"/>
    </row>
    <row r="113" spans="1:7" ht="30" customHeight="1" x14ac:dyDescent="0.25">
      <c r="A113" s="268" t="s">
        <v>591</v>
      </c>
      <c r="B113" s="268" t="s">
        <v>592</v>
      </c>
      <c r="C113" s="268">
        <v>104</v>
      </c>
      <c r="D113" s="268">
        <v>34</v>
      </c>
      <c r="E113" s="268">
        <v>139</v>
      </c>
      <c r="F113" s="268">
        <v>9118312</v>
      </c>
      <c r="G113" s="380"/>
    </row>
    <row r="114" spans="1:7" ht="30" customHeight="1" x14ac:dyDescent="0.25">
      <c r="A114" s="268" t="s">
        <v>593</v>
      </c>
      <c r="B114" s="268" t="s">
        <v>594</v>
      </c>
      <c r="C114" s="268">
        <v>233</v>
      </c>
      <c r="D114" s="268">
        <v>150</v>
      </c>
      <c r="E114" s="268">
        <v>122</v>
      </c>
      <c r="F114" s="268">
        <v>8034025</v>
      </c>
      <c r="G114" s="381"/>
    </row>
    <row r="115" spans="1:7" ht="30" customHeight="1" x14ac:dyDescent="0.25">
      <c r="A115" s="268" t="s">
        <v>595</v>
      </c>
      <c r="B115" s="268" t="s">
        <v>596</v>
      </c>
      <c r="C115" s="268">
        <v>143</v>
      </c>
      <c r="D115" s="268">
        <v>188</v>
      </c>
      <c r="E115" s="268">
        <v>143</v>
      </c>
      <c r="F115" s="268">
        <v>9419919</v>
      </c>
      <c r="G115" s="382"/>
    </row>
    <row r="116" spans="1:7" ht="30" customHeight="1" x14ac:dyDescent="0.25">
      <c r="A116" s="268" t="s">
        <v>597</v>
      </c>
      <c r="B116" s="268" t="s">
        <v>598</v>
      </c>
      <c r="C116" s="268">
        <v>193</v>
      </c>
      <c r="D116" s="268">
        <v>255</v>
      </c>
      <c r="E116" s="268">
        <v>193</v>
      </c>
      <c r="F116" s="268">
        <v>12713921</v>
      </c>
      <c r="G116" s="383"/>
    </row>
    <row r="117" spans="1:7" ht="30" customHeight="1" x14ac:dyDescent="0.25">
      <c r="A117" s="268" t="s">
        <v>599</v>
      </c>
      <c r="B117" s="268" t="s">
        <v>600</v>
      </c>
      <c r="C117" s="268">
        <v>180</v>
      </c>
      <c r="D117" s="268">
        <v>238</v>
      </c>
      <c r="E117" s="268">
        <v>180</v>
      </c>
      <c r="F117" s="268">
        <v>11857588</v>
      </c>
      <c r="G117" s="384"/>
    </row>
    <row r="118" spans="1:7" ht="30" customHeight="1" x14ac:dyDescent="0.25">
      <c r="A118" s="268" t="s">
        <v>601</v>
      </c>
      <c r="B118" s="268" t="s">
        <v>602</v>
      </c>
      <c r="C118" s="268">
        <v>155</v>
      </c>
      <c r="D118" s="268">
        <v>205</v>
      </c>
      <c r="E118" s="268">
        <v>155</v>
      </c>
      <c r="F118" s="268">
        <v>10210715</v>
      </c>
      <c r="G118" s="385"/>
    </row>
    <row r="119" spans="1:7" ht="30" customHeight="1" x14ac:dyDescent="0.25">
      <c r="A119" s="268" t="s">
        <v>603</v>
      </c>
      <c r="B119" s="268" t="s">
        <v>604</v>
      </c>
      <c r="C119" s="268">
        <v>105</v>
      </c>
      <c r="D119" s="268">
        <v>139</v>
      </c>
      <c r="E119" s="268">
        <v>105</v>
      </c>
      <c r="F119" s="268">
        <v>6916969</v>
      </c>
      <c r="G119" s="386"/>
    </row>
    <row r="120" spans="1:7" ht="30" customHeight="1" x14ac:dyDescent="0.25">
      <c r="A120" s="268" t="s">
        <v>605</v>
      </c>
      <c r="B120" s="268" t="s">
        <v>606</v>
      </c>
      <c r="C120" s="268">
        <v>72</v>
      </c>
      <c r="D120" s="268">
        <v>61</v>
      </c>
      <c r="E120" s="268">
        <v>139</v>
      </c>
      <c r="F120" s="268">
        <v>9125192</v>
      </c>
      <c r="G120" s="387"/>
    </row>
    <row r="121" spans="1:7" ht="30" customHeight="1" x14ac:dyDescent="0.25">
      <c r="A121" s="268" t="s">
        <v>607</v>
      </c>
      <c r="B121" s="268" t="s">
        <v>608</v>
      </c>
      <c r="C121" s="268">
        <v>47</v>
      </c>
      <c r="D121" s="268">
        <v>79</v>
      </c>
      <c r="E121" s="268">
        <v>79</v>
      </c>
      <c r="F121" s="268">
        <v>5197615</v>
      </c>
      <c r="G121" s="388"/>
    </row>
    <row r="122" spans="1:7" ht="30" customHeight="1" x14ac:dyDescent="0.25">
      <c r="A122" s="268" t="s">
        <v>609</v>
      </c>
      <c r="B122" s="268" t="s">
        <v>610</v>
      </c>
      <c r="C122" s="268">
        <v>151</v>
      </c>
      <c r="D122" s="268">
        <v>255</v>
      </c>
      <c r="E122" s="268">
        <v>255</v>
      </c>
      <c r="F122" s="268">
        <v>16777111</v>
      </c>
      <c r="G122" s="389"/>
    </row>
    <row r="123" spans="1:7" ht="30" customHeight="1" x14ac:dyDescent="0.25">
      <c r="A123" s="268" t="s">
        <v>611</v>
      </c>
      <c r="B123" s="268" t="s">
        <v>612</v>
      </c>
      <c r="C123" s="268">
        <v>141</v>
      </c>
      <c r="D123" s="268">
        <v>238</v>
      </c>
      <c r="E123" s="268">
        <v>238</v>
      </c>
      <c r="F123" s="268">
        <v>15658637</v>
      </c>
      <c r="G123" s="390"/>
    </row>
    <row r="124" spans="1:7" ht="30" customHeight="1" x14ac:dyDescent="0.25">
      <c r="A124" s="268" t="s">
        <v>613</v>
      </c>
      <c r="B124" s="268" t="s">
        <v>614</v>
      </c>
      <c r="C124" s="268">
        <v>121</v>
      </c>
      <c r="D124" s="268">
        <v>205</v>
      </c>
      <c r="E124" s="268">
        <v>205</v>
      </c>
      <c r="F124" s="268">
        <v>13487481</v>
      </c>
      <c r="G124" s="391"/>
    </row>
    <row r="125" spans="1:7" ht="30" customHeight="1" x14ac:dyDescent="0.25">
      <c r="A125" s="268" t="s">
        <v>615</v>
      </c>
      <c r="B125" s="268" t="s">
        <v>616</v>
      </c>
      <c r="C125" s="268">
        <v>82</v>
      </c>
      <c r="D125" s="268">
        <v>139</v>
      </c>
      <c r="E125" s="268">
        <v>139</v>
      </c>
      <c r="F125" s="268">
        <v>9145170</v>
      </c>
      <c r="G125" s="392"/>
    </row>
    <row r="126" spans="1:7" ht="30" customHeight="1" x14ac:dyDescent="0.25">
      <c r="A126" s="268" t="s">
        <v>617</v>
      </c>
      <c r="B126" s="268" t="s">
        <v>618</v>
      </c>
      <c r="C126" s="268">
        <v>0</v>
      </c>
      <c r="D126" s="268">
        <v>206</v>
      </c>
      <c r="E126" s="268">
        <v>209</v>
      </c>
      <c r="F126" s="268">
        <v>13749760</v>
      </c>
      <c r="G126" s="393"/>
    </row>
    <row r="127" spans="1:7" ht="30" customHeight="1" x14ac:dyDescent="0.25">
      <c r="A127" s="268" t="s">
        <v>619</v>
      </c>
      <c r="B127" s="268" t="s">
        <v>620</v>
      </c>
      <c r="C127" s="268">
        <v>148</v>
      </c>
      <c r="D127" s="268">
        <v>0</v>
      </c>
      <c r="E127" s="268">
        <v>211</v>
      </c>
      <c r="F127" s="268">
        <v>13828244</v>
      </c>
      <c r="G127" s="394"/>
    </row>
    <row r="128" spans="1:7" ht="30" customHeight="1" x14ac:dyDescent="0.25">
      <c r="A128" s="268" t="s">
        <v>621</v>
      </c>
      <c r="B128" s="268" t="s">
        <v>622</v>
      </c>
      <c r="C128" s="268">
        <v>255</v>
      </c>
      <c r="D128" s="268">
        <v>20</v>
      </c>
      <c r="E128" s="268">
        <v>147</v>
      </c>
      <c r="F128" s="268">
        <v>9639167</v>
      </c>
      <c r="G128" s="395"/>
    </row>
    <row r="129" spans="1:7" ht="30" customHeight="1" x14ac:dyDescent="0.25">
      <c r="A129" s="268" t="s">
        <v>623</v>
      </c>
      <c r="B129" s="268" t="s">
        <v>624</v>
      </c>
      <c r="C129" s="268">
        <v>238</v>
      </c>
      <c r="D129" s="268">
        <v>18</v>
      </c>
      <c r="E129" s="268">
        <v>137</v>
      </c>
      <c r="F129" s="268">
        <v>8983278</v>
      </c>
      <c r="G129" s="396"/>
    </row>
    <row r="130" spans="1:7" ht="30" customHeight="1" x14ac:dyDescent="0.25">
      <c r="A130" s="268" t="s">
        <v>625</v>
      </c>
      <c r="B130" s="268" t="s">
        <v>626</v>
      </c>
      <c r="C130" s="268">
        <v>205</v>
      </c>
      <c r="D130" s="268">
        <v>16</v>
      </c>
      <c r="E130" s="268">
        <v>118</v>
      </c>
      <c r="F130" s="268">
        <v>7737549</v>
      </c>
      <c r="G130" s="397"/>
    </row>
    <row r="131" spans="1:7" ht="30" customHeight="1" x14ac:dyDescent="0.25">
      <c r="A131" s="268" t="s">
        <v>627</v>
      </c>
      <c r="B131" s="268" t="s">
        <v>628</v>
      </c>
      <c r="C131" s="268">
        <v>139</v>
      </c>
      <c r="D131" s="268">
        <v>10</v>
      </c>
      <c r="E131" s="268">
        <v>80</v>
      </c>
      <c r="F131" s="268">
        <v>5245579</v>
      </c>
      <c r="G131" s="398"/>
    </row>
    <row r="132" spans="1:7" ht="30" customHeight="1" x14ac:dyDescent="0.25">
      <c r="A132" s="268" t="s">
        <v>629</v>
      </c>
      <c r="B132" s="268" t="s">
        <v>630</v>
      </c>
      <c r="C132" s="268">
        <v>0</v>
      </c>
      <c r="D132" s="268">
        <v>191</v>
      </c>
      <c r="E132" s="268">
        <v>255</v>
      </c>
      <c r="F132" s="268">
        <v>16760576</v>
      </c>
      <c r="G132" s="399"/>
    </row>
    <row r="133" spans="1:7" ht="30" customHeight="1" x14ac:dyDescent="0.25">
      <c r="A133" s="268" t="s">
        <v>631</v>
      </c>
      <c r="B133" s="268" t="s">
        <v>632</v>
      </c>
      <c r="C133" s="268">
        <v>0</v>
      </c>
      <c r="D133" s="268">
        <v>178</v>
      </c>
      <c r="E133" s="268">
        <v>238</v>
      </c>
      <c r="F133" s="268">
        <v>15643136</v>
      </c>
      <c r="G133" s="400"/>
    </row>
    <row r="134" spans="1:7" ht="30" customHeight="1" x14ac:dyDescent="0.25">
      <c r="A134" s="268" t="s">
        <v>633</v>
      </c>
      <c r="B134" s="268" t="s">
        <v>634</v>
      </c>
      <c r="C134" s="268">
        <v>0</v>
      </c>
      <c r="D134" s="268">
        <v>154</v>
      </c>
      <c r="E134" s="268">
        <v>205</v>
      </c>
      <c r="F134" s="268">
        <v>13474304</v>
      </c>
      <c r="G134" s="401"/>
    </row>
    <row r="135" spans="1:7" ht="30" customHeight="1" x14ac:dyDescent="0.25">
      <c r="A135" s="268" t="s">
        <v>635</v>
      </c>
      <c r="B135" s="268" t="s">
        <v>636</v>
      </c>
      <c r="C135" s="268">
        <v>0</v>
      </c>
      <c r="D135" s="268">
        <v>104</v>
      </c>
      <c r="E135" s="268">
        <v>139</v>
      </c>
      <c r="F135" s="268">
        <v>9136128</v>
      </c>
      <c r="G135" s="402"/>
    </row>
    <row r="136" spans="1:7" ht="30" customHeight="1" x14ac:dyDescent="0.25">
      <c r="A136" s="268" t="s">
        <v>637</v>
      </c>
      <c r="B136" s="268" t="s">
        <v>638</v>
      </c>
      <c r="C136" s="268">
        <v>30</v>
      </c>
      <c r="D136" s="268">
        <v>144</v>
      </c>
      <c r="E136" s="268">
        <v>255</v>
      </c>
      <c r="F136" s="268">
        <v>16748574</v>
      </c>
      <c r="G136" s="403"/>
    </row>
    <row r="137" spans="1:7" ht="30" customHeight="1" x14ac:dyDescent="0.25">
      <c r="A137" s="268" t="s">
        <v>639</v>
      </c>
      <c r="B137" s="268" t="s">
        <v>640</v>
      </c>
      <c r="C137" s="268">
        <v>28</v>
      </c>
      <c r="D137" s="268">
        <v>134</v>
      </c>
      <c r="E137" s="268">
        <v>238</v>
      </c>
      <c r="F137" s="268">
        <v>15631900</v>
      </c>
      <c r="G137" s="404"/>
    </row>
    <row r="138" spans="1:7" ht="30" customHeight="1" x14ac:dyDescent="0.25">
      <c r="A138" s="268" t="s">
        <v>641</v>
      </c>
      <c r="B138" s="268" t="s">
        <v>642</v>
      </c>
      <c r="C138" s="268">
        <v>24</v>
      </c>
      <c r="D138" s="268">
        <v>116</v>
      </c>
      <c r="E138" s="268">
        <v>205</v>
      </c>
      <c r="F138" s="268">
        <v>13464600</v>
      </c>
      <c r="G138" s="405"/>
    </row>
    <row r="139" spans="1:7" ht="30" customHeight="1" x14ac:dyDescent="0.25">
      <c r="A139" s="268" t="s">
        <v>643</v>
      </c>
      <c r="B139" s="268" t="s">
        <v>644</v>
      </c>
      <c r="C139" s="268">
        <v>16</v>
      </c>
      <c r="D139" s="268">
        <v>78</v>
      </c>
      <c r="E139" s="268">
        <v>139</v>
      </c>
      <c r="F139" s="268">
        <v>9129488</v>
      </c>
      <c r="G139" s="406"/>
    </row>
    <row r="140" spans="1:7" ht="30" customHeight="1" x14ac:dyDescent="0.25">
      <c r="A140" s="268" t="s">
        <v>130</v>
      </c>
      <c r="B140" s="268" t="s">
        <v>645</v>
      </c>
      <c r="C140" s="268">
        <v>252</v>
      </c>
      <c r="D140" s="268">
        <v>230</v>
      </c>
      <c r="E140" s="268">
        <v>201</v>
      </c>
      <c r="F140" s="268">
        <v>13231868</v>
      </c>
      <c r="G140" s="407"/>
    </row>
    <row r="141" spans="1:7" ht="30" customHeight="1" x14ac:dyDescent="0.25">
      <c r="A141" s="268" t="s">
        <v>646</v>
      </c>
      <c r="B141" s="268" t="s">
        <v>647</v>
      </c>
      <c r="C141" s="268">
        <v>0</v>
      </c>
      <c r="D141" s="268">
        <v>201</v>
      </c>
      <c r="E141" s="268">
        <v>87</v>
      </c>
      <c r="F141" s="268">
        <v>5753088</v>
      </c>
      <c r="G141" s="408"/>
    </row>
    <row r="142" spans="1:7" ht="30" customHeight="1" x14ac:dyDescent="0.25">
      <c r="A142" s="268" t="s">
        <v>176</v>
      </c>
      <c r="B142" s="268" t="s">
        <v>648</v>
      </c>
      <c r="C142" s="268">
        <v>178</v>
      </c>
      <c r="D142" s="268">
        <v>34</v>
      </c>
      <c r="E142" s="268">
        <v>34</v>
      </c>
      <c r="F142" s="268">
        <v>2237106</v>
      </c>
      <c r="G142" s="409"/>
    </row>
    <row r="143" spans="1:7" ht="30" customHeight="1" x14ac:dyDescent="0.25">
      <c r="A143" s="268" t="s">
        <v>649</v>
      </c>
      <c r="B143" s="268" t="s">
        <v>650</v>
      </c>
      <c r="C143" s="268">
        <v>255</v>
      </c>
      <c r="D143" s="268">
        <v>48</v>
      </c>
      <c r="E143" s="268">
        <v>48</v>
      </c>
      <c r="F143" s="268">
        <v>3158271</v>
      </c>
      <c r="G143" s="410"/>
    </row>
    <row r="144" spans="1:7" ht="30" customHeight="1" x14ac:dyDescent="0.25">
      <c r="A144" s="268" t="s">
        <v>651</v>
      </c>
      <c r="B144" s="268" t="s">
        <v>652</v>
      </c>
      <c r="C144" s="268">
        <v>238</v>
      </c>
      <c r="D144" s="268">
        <v>44</v>
      </c>
      <c r="E144" s="268">
        <v>44</v>
      </c>
      <c r="F144" s="268">
        <v>2895086</v>
      </c>
      <c r="G144" s="411"/>
    </row>
    <row r="145" spans="1:7" ht="30" customHeight="1" x14ac:dyDescent="0.25">
      <c r="A145" s="268" t="s">
        <v>653</v>
      </c>
      <c r="B145" s="268" t="s">
        <v>654</v>
      </c>
      <c r="C145" s="268">
        <v>205</v>
      </c>
      <c r="D145" s="268">
        <v>38</v>
      </c>
      <c r="E145" s="268">
        <v>38</v>
      </c>
      <c r="F145" s="268">
        <v>2500301</v>
      </c>
      <c r="G145" s="412"/>
    </row>
    <row r="146" spans="1:7" ht="30" customHeight="1" x14ac:dyDescent="0.25">
      <c r="A146" s="268" t="s">
        <v>655</v>
      </c>
      <c r="B146" s="268" t="s">
        <v>656</v>
      </c>
      <c r="C146" s="268">
        <v>139</v>
      </c>
      <c r="D146" s="268">
        <v>26</v>
      </c>
      <c r="E146" s="268">
        <v>26</v>
      </c>
      <c r="F146" s="268">
        <v>1710731</v>
      </c>
      <c r="G146" s="413"/>
    </row>
    <row r="147" spans="1:7" ht="30" customHeight="1" x14ac:dyDescent="0.25">
      <c r="A147" s="268" t="s">
        <v>200</v>
      </c>
      <c r="B147" s="268" t="s">
        <v>657</v>
      </c>
      <c r="C147" s="268">
        <v>255</v>
      </c>
      <c r="D147" s="268">
        <v>125</v>
      </c>
      <c r="E147" s="268">
        <v>64</v>
      </c>
      <c r="F147" s="268">
        <v>4226559</v>
      </c>
      <c r="G147" s="414"/>
    </row>
    <row r="148" spans="1:7" ht="30" customHeight="1" x14ac:dyDescent="0.25">
      <c r="A148" s="415" t="s">
        <v>658</v>
      </c>
      <c r="B148" s="287"/>
      <c r="C148" s="288">
        <v>255</v>
      </c>
      <c r="D148" s="288">
        <v>87</v>
      </c>
      <c r="E148" s="288">
        <v>33</v>
      </c>
      <c r="F148" s="287"/>
      <c r="G148" s="415"/>
    </row>
    <row r="149" spans="1:7" ht="30" customHeight="1" x14ac:dyDescent="0.25">
      <c r="A149" s="416" t="s">
        <v>659</v>
      </c>
      <c r="B149" s="287"/>
      <c r="C149" s="288">
        <v>212</v>
      </c>
      <c r="D149" s="288">
        <v>61</v>
      </c>
      <c r="E149" s="288">
        <v>26</v>
      </c>
      <c r="F149" s="287"/>
      <c r="G149" s="416"/>
    </row>
    <row r="150" spans="1:7" ht="30" customHeight="1" x14ac:dyDescent="0.25">
      <c r="A150" s="268" t="s">
        <v>660</v>
      </c>
      <c r="B150" s="268" t="s">
        <v>661</v>
      </c>
      <c r="C150" s="268">
        <v>255</v>
      </c>
      <c r="D150" s="268">
        <v>250</v>
      </c>
      <c r="E150" s="268">
        <v>240</v>
      </c>
      <c r="F150" s="268">
        <v>15792895</v>
      </c>
      <c r="G150" s="417"/>
    </row>
    <row r="151" spans="1:7" ht="30" customHeight="1" x14ac:dyDescent="0.25">
      <c r="A151" s="268" t="s">
        <v>662</v>
      </c>
      <c r="B151" s="268" t="s">
        <v>663</v>
      </c>
      <c r="C151" s="268">
        <v>34</v>
      </c>
      <c r="D151" s="268">
        <v>139</v>
      </c>
      <c r="E151" s="268">
        <v>34</v>
      </c>
      <c r="F151" s="268">
        <v>2263842</v>
      </c>
      <c r="G151" s="418"/>
    </row>
    <row r="152" spans="1:7" ht="30" customHeight="1" x14ac:dyDescent="0.25">
      <c r="A152" s="268" t="s">
        <v>1505</v>
      </c>
      <c r="B152" s="268" t="s">
        <v>664</v>
      </c>
      <c r="C152" s="268">
        <v>255</v>
      </c>
      <c r="D152" s="268">
        <v>0</v>
      </c>
      <c r="E152" s="268">
        <v>255</v>
      </c>
      <c r="F152" s="268">
        <v>16711935</v>
      </c>
      <c r="G152" s="419"/>
    </row>
    <row r="153" spans="1:7" ht="30" customHeight="1" x14ac:dyDescent="0.25">
      <c r="A153" s="268" t="s">
        <v>132</v>
      </c>
      <c r="B153" s="268" t="s">
        <v>665</v>
      </c>
      <c r="C153" s="268">
        <v>220</v>
      </c>
      <c r="D153" s="268">
        <v>220</v>
      </c>
      <c r="E153" s="268">
        <v>220</v>
      </c>
      <c r="F153" s="268">
        <v>14474460</v>
      </c>
      <c r="G153" s="420"/>
    </row>
    <row r="154" spans="1:7" ht="30" customHeight="1" x14ac:dyDescent="0.25">
      <c r="A154" s="421" t="s">
        <v>666</v>
      </c>
      <c r="B154" s="287"/>
      <c r="C154" s="288">
        <v>227</v>
      </c>
      <c r="D154" s="288">
        <v>18</v>
      </c>
      <c r="E154" s="288">
        <v>48</v>
      </c>
      <c r="F154" s="287"/>
      <c r="G154" s="421"/>
    </row>
    <row r="155" spans="1:7" ht="30" customHeight="1" x14ac:dyDescent="0.25">
      <c r="A155" s="268" t="s">
        <v>667</v>
      </c>
      <c r="B155" s="268" t="s">
        <v>668</v>
      </c>
      <c r="C155" s="268">
        <v>248</v>
      </c>
      <c r="D155" s="268">
        <v>248</v>
      </c>
      <c r="E155" s="268">
        <v>255</v>
      </c>
      <c r="F155" s="268">
        <v>16775416</v>
      </c>
      <c r="G155" s="422"/>
    </row>
    <row r="156" spans="1:7" ht="30" customHeight="1" x14ac:dyDescent="0.25">
      <c r="A156" s="268" t="s">
        <v>669</v>
      </c>
      <c r="B156" s="268" t="s">
        <v>670</v>
      </c>
      <c r="C156" s="268">
        <v>255</v>
      </c>
      <c r="D156" s="268">
        <v>215</v>
      </c>
      <c r="E156" s="268">
        <v>0</v>
      </c>
      <c r="F156" s="268">
        <v>55295</v>
      </c>
      <c r="G156" s="423"/>
    </row>
    <row r="157" spans="1:7" ht="30" customHeight="1" x14ac:dyDescent="0.25">
      <c r="A157" s="268" t="s">
        <v>671</v>
      </c>
      <c r="B157" s="268" t="s">
        <v>672</v>
      </c>
      <c r="C157" s="268">
        <v>238</v>
      </c>
      <c r="D157" s="268">
        <v>201</v>
      </c>
      <c r="E157" s="268">
        <v>0</v>
      </c>
      <c r="F157" s="268">
        <v>51694</v>
      </c>
      <c r="G157" s="424"/>
    </row>
    <row r="158" spans="1:7" ht="30" customHeight="1" x14ac:dyDescent="0.25">
      <c r="A158" s="268" t="s">
        <v>673</v>
      </c>
      <c r="B158" s="268" t="s">
        <v>674</v>
      </c>
      <c r="C158" s="268">
        <v>205</v>
      </c>
      <c r="D158" s="268">
        <v>173</v>
      </c>
      <c r="E158" s="268">
        <v>0</v>
      </c>
      <c r="F158" s="268">
        <v>44493</v>
      </c>
      <c r="G158" s="425"/>
    </row>
    <row r="159" spans="1:7" ht="30" customHeight="1" x14ac:dyDescent="0.25">
      <c r="A159" s="268" t="s">
        <v>675</v>
      </c>
      <c r="B159" s="268" t="s">
        <v>676</v>
      </c>
      <c r="C159" s="268">
        <v>139</v>
      </c>
      <c r="D159" s="268">
        <v>117</v>
      </c>
      <c r="E159" s="268">
        <v>0</v>
      </c>
      <c r="F159" s="268">
        <v>30091</v>
      </c>
      <c r="G159" s="426"/>
    </row>
    <row r="160" spans="1:7" ht="30" customHeight="1" x14ac:dyDescent="0.25">
      <c r="A160" s="427" t="s">
        <v>677</v>
      </c>
      <c r="B160" s="287"/>
      <c r="C160" s="288">
        <v>199</v>
      </c>
      <c r="D160" s="288">
        <v>120</v>
      </c>
      <c r="E160" s="288">
        <v>38</v>
      </c>
      <c r="F160" s="287"/>
      <c r="G160" s="427"/>
    </row>
    <row r="161" spans="1:7" ht="30" customHeight="1" x14ac:dyDescent="0.25">
      <c r="A161" s="268" t="s">
        <v>233</v>
      </c>
      <c r="B161" s="268" t="s">
        <v>678</v>
      </c>
      <c r="C161" s="268">
        <v>218</v>
      </c>
      <c r="D161" s="268">
        <v>165</v>
      </c>
      <c r="E161" s="268">
        <v>32</v>
      </c>
      <c r="F161" s="268">
        <v>2139610</v>
      </c>
      <c r="G161" s="428"/>
    </row>
    <row r="162" spans="1:7" ht="30" customHeight="1" x14ac:dyDescent="0.25">
      <c r="A162" s="268" t="s">
        <v>679</v>
      </c>
      <c r="B162" s="268" t="s">
        <v>680</v>
      </c>
      <c r="C162" s="268">
        <v>255</v>
      </c>
      <c r="D162" s="268">
        <v>193</v>
      </c>
      <c r="E162" s="268">
        <v>37</v>
      </c>
      <c r="F162" s="268">
        <v>2474495</v>
      </c>
      <c r="G162" s="429"/>
    </row>
    <row r="163" spans="1:7" ht="30" customHeight="1" x14ac:dyDescent="0.25">
      <c r="A163" s="268" t="s">
        <v>681</v>
      </c>
      <c r="B163" s="268" t="s">
        <v>682</v>
      </c>
      <c r="C163" s="268">
        <v>238</v>
      </c>
      <c r="D163" s="268">
        <v>180</v>
      </c>
      <c r="E163" s="268">
        <v>34</v>
      </c>
      <c r="F163" s="268">
        <v>2274542</v>
      </c>
      <c r="G163" s="430"/>
    </row>
    <row r="164" spans="1:7" ht="30" customHeight="1" x14ac:dyDescent="0.25">
      <c r="A164" s="268" t="s">
        <v>683</v>
      </c>
      <c r="B164" s="268" t="s">
        <v>684</v>
      </c>
      <c r="C164" s="268">
        <v>205</v>
      </c>
      <c r="D164" s="268">
        <v>155</v>
      </c>
      <c r="E164" s="268">
        <v>29</v>
      </c>
      <c r="F164" s="268">
        <v>1940429</v>
      </c>
      <c r="G164" s="431"/>
    </row>
    <row r="165" spans="1:7" ht="30" customHeight="1" x14ac:dyDescent="0.25">
      <c r="A165" s="268" t="s">
        <v>685</v>
      </c>
      <c r="B165" s="268" t="s">
        <v>686</v>
      </c>
      <c r="C165" s="268">
        <v>139</v>
      </c>
      <c r="D165" s="268">
        <v>105</v>
      </c>
      <c r="E165" s="268">
        <v>20</v>
      </c>
      <c r="F165" s="268">
        <v>1337739</v>
      </c>
      <c r="G165" s="432"/>
    </row>
    <row r="166" spans="1:7" ht="30" customHeight="1" x14ac:dyDescent="0.25">
      <c r="A166" s="268" t="s">
        <v>687</v>
      </c>
      <c r="B166" s="268" t="s">
        <v>688</v>
      </c>
      <c r="C166" s="268">
        <v>190</v>
      </c>
      <c r="D166" s="268">
        <v>190</v>
      </c>
      <c r="E166" s="268">
        <v>190</v>
      </c>
      <c r="F166" s="268">
        <v>12500670</v>
      </c>
      <c r="G166" s="433"/>
    </row>
    <row r="167" spans="1:7" ht="30" customHeight="1" x14ac:dyDescent="0.25">
      <c r="A167" s="268" t="s">
        <v>689</v>
      </c>
      <c r="B167" s="268" t="s">
        <v>690</v>
      </c>
      <c r="C167" s="268">
        <v>3</v>
      </c>
      <c r="D167" s="268">
        <v>3</v>
      </c>
      <c r="E167" s="268">
        <v>3</v>
      </c>
      <c r="F167" s="268">
        <v>197379</v>
      </c>
      <c r="G167" s="434"/>
    </row>
    <row r="168" spans="1:7" ht="30" customHeight="1" x14ac:dyDescent="0.25">
      <c r="A168" s="268" t="s">
        <v>691</v>
      </c>
      <c r="B168" s="268" t="s">
        <v>692</v>
      </c>
      <c r="C168" s="268">
        <v>26</v>
      </c>
      <c r="D168" s="268">
        <v>26</v>
      </c>
      <c r="E168" s="268">
        <v>26</v>
      </c>
      <c r="F168" s="268">
        <v>1710618</v>
      </c>
      <c r="G168" s="435"/>
    </row>
    <row r="169" spans="1:7" ht="30" customHeight="1" x14ac:dyDescent="0.25">
      <c r="A169" s="268" t="s">
        <v>693</v>
      </c>
      <c r="B169" s="268" t="s">
        <v>694</v>
      </c>
      <c r="C169" s="268">
        <v>28</v>
      </c>
      <c r="D169" s="268">
        <v>28</v>
      </c>
      <c r="E169" s="268">
        <v>28</v>
      </c>
      <c r="F169" s="268">
        <v>1842204</v>
      </c>
      <c r="G169" s="436"/>
    </row>
    <row r="170" spans="1:7" ht="30" customHeight="1" x14ac:dyDescent="0.25">
      <c r="A170" s="268" t="s">
        <v>695</v>
      </c>
      <c r="B170" s="268" t="s">
        <v>696</v>
      </c>
      <c r="C170" s="268">
        <v>31</v>
      </c>
      <c r="D170" s="268">
        <v>31</v>
      </c>
      <c r="E170" s="268">
        <v>31</v>
      </c>
      <c r="F170" s="268">
        <v>2039583</v>
      </c>
      <c r="G170" s="437"/>
    </row>
    <row r="171" spans="1:7" ht="30" customHeight="1" x14ac:dyDescent="0.25">
      <c r="A171" s="268" t="s">
        <v>697</v>
      </c>
      <c r="B171" s="268" t="s">
        <v>698</v>
      </c>
      <c r="C171" s="268">
        <v>33</v>
      </c>
      <c r="D171" s="268">
        <v>33</v>
      </c>
      <c r="E171" s="268">
        <v>33</v>
      </c>
      <c r="F171" s="268">
        <v>2171169</v>
      </c>
      <c r="G171" s="438"/>
    </row>
    <row r="172" spans="1:7" ht="30" customHeight="1" x14ac:dyDescent="0.25">
      <c r="A172" s="268" t="s">
        <v>699</v>
      </c>
      <c r="B172" s="268" t="s">
        <v>700</v>
      </c>
      <c r="C172" s="268">
        <v>36</v>
      </c>
      <c r="D172" s="268">
        <v>36</v>
      </c>
      <c r="E172" s="268">
        <v>36</v>
      </c>
      <c r="F172" s="268">
        <v>2368548</v>
      </c>
      <c r="G172" s="439"/>
    </row>
    <row r="173" spans="1:7" ht="30" customHeight="1" x14ac:dyDescent="0.25">
      <c r="A173" s="268" t="s">
        <v>701</v>
      </c>
      <c r="B173" s="268" t="s">
        <v>702</v>
      </c>
      <c r="C173" s="268">
        <v>38</v>
      </c>
      <c r="D173" s="268">
        <v>38</v>
      </c>
      <c r="E173" s="268">
        <v>38</v>
      </c>
      <c r="F173" s="268">
        <v>2500134</v>
      </c>
      <c r="G173" s="440"/>
    </row>
    <row r="174" spans="1:7" ht="30" customHeight="1" x14ac:dyDescent="0.25">
      <c r="A174" s="268" t="s">
        <v>703</v>
      </c>
      <c r="B174" s="268" t="s">
        <v>704</v>
      </c>
      <c r="C174" s="268">
        <v>41</v>
      </c>
      <c r="D174" s="268">
        <v>41</v>
      </c>
      <c r="E174" s="268">
        <v>41</v>
      </c>
      <c r="F174" s="268">
        <v>2697513</v>
      </c>
      <c r="G174" s="441"/>
    </row>
    <row r="175" spans="1:7" ht="30" customHeight="1" x14ac:dyDescent="0.25">
      <c r="A175" s="268" t="s">
        <v>705</v>
      </c>
      <c r="B175" s="268" t="s">
        <v>706</v>
      </c>
      <c r="C175" s="268">
        <v>43</v>
      </c>
      <c r="D175" s="268">
        <v>43</v>
      </c>
      <c r="E175" s="268">
        <v>43</v>
      </c>
      <c r="F175" s="268">
        <v>2829099</v>
      </c>
      <c r="G175" s="442"/>
    </row>
    <row r="176" spans="1:7" ht="30" customHeight="1" x14ac:dyDescent="0.25">
      <c r="A176" s="268" t="s">
        <v>707</v>
      </c>
      <c r="B176" s="268" t="s">
        <v>708</v>
      </c>
      <c r="C176" s="268">
        <v>46</v>
      </c>
      <c r="D176" s="268">
        <v>46</v>
      </c>
      <c r="E176" s="268">
        <v>46</v>
      </c>
      <c r="F176" s="268">
        <v>3026478</v>
      </c>
      <c r="G176" s="443"/>
    </row>
    <row r="177" spans="1:7" ht="30" customHeight="1" x14ac:dyDescent="0.25">
      <c r="A177" s="268" t="s">
        <v>709</v>
      </c>
      <c r="B177" s="268" t="s">
        <v>710</v>
      </c>
      <c r="C177" s="268">
        <v>48</v>
      </c>
      <c r="D177" s="268">
        <v>48</v>
      </c>
      <c r="E177" s="268">
        <v>48</v>
      </c>
      <c r="F177" s="268">
        <v>3158064</v>
      </c>
      <c r="G177" s="444"/>
    </row>
    <row r="178" spans="1:7" ht="30" customHeight="1" x14ac:dyDescent="0.25">
      <c r="A178" s="268" t="s">
        <v>711</v>
      </c>
      <c r="B178" s="268" t="s">
        <v>712</v>
      </c>
      <c r="C178" s="268">
        <v>5</v>
      </c>
      <c r="D178" s="268">
        <v>5</v>
      </c>
      <c r="E178" s="268">
        <v>5</v>
      </c>
      <c r="F178" s="268">
        <v>328965</v>
      </c>
      <c r="G178" s="445"/>
    </row>
    <row r="179" spans="1:7" ht="30" customHeight="1" x14ac:dyDescent="0.25">
      <c r="A179" s="268" t="s">
        <v>713</v>
      </c>
      <c r="B179" s="268" t="s">
        <v>714</v>
      </c>
      <c r="C179" s="268">
        <v>51</v>
      </c>
      <c r="D179" s="268">
        <v>51</v>
      </c>
      <c r="E179" s="268">
        <v>51</v>
      </c>
      <c r="F179" s="268">
        <v>3355443</v>
      </c>
      <c r="G179" s="446"/>
    </row>
    <row r="180" spans="1:7" ht="30" customHeight="1" x14ac:dyDescent="0.25">
      <c r="A180" s="268" t="s">
        <v>715</v>
      </c>
      <c r="B180" s="268" t="s">
        <v>716</v>
      </c>
      <c r="C180" s="268">
        <v>54</v>
      </c>
      <c r="D180" s="268">
        <v>54</v>
      </c>
      <c r="E180" s="268">
        <v>54</v>
      </c>
      <c r="F180" s="268">
        <v>3552822</v>
      </c>
      <c r="G180" s="447"/>
    </row>
    <row r="181" spans="1:7" ht="30" customHeight="1" x14ac:dyDescent="0.25">
      <c r="A181" s="268" t="s">
        <v>717</v>
      </c>
      <c r="B181" s="268" t="s">
        <v>718</v>
      </c>
      <c r="C181" s="268">
        <v>56</v>
      </c>
      <c r="D181" s="268">
        <v>56</v>
      </c>
      <c r="E181" s="268">
        <v>56</v>
      </c>
      <c r="F181" s="268">
        <v>3684408</v>
      </c>
      <c r="G181" s="448"/>
    </row>
    <row r="182" spans="1:7" ht="30" customHeight="1" x14ac:dyDescent="0.25">
      <c r="A182" s="268" t="s">
        <v>719</v>
      </c>
      <c r="B182" s="268" t="s">
        <v>720</v>
      </c>
      <c r="C182" s="268">
        <v>59</v>
      </c>
      <c r="D182" s="268">
        <v>59</v>
      </c>
      <c r="E182" s="268">
        <v>59</v>
      </c>
      <c r="F182" s="268">
        <v>3881787</v>
      </c>
      <c r="G182" s="449"/>
    </row>
    <row r="183" spans="1:7" ht="30" customHeight="1" x14ac:dyDescent="0.25">
      <c r="A183" s="268" t="s">
        <v>721</v>
      </c>
      <c r="B183" s="268" t="s">
        <v>722</v>
      </c>
      <c r="C183" s="268">
        <v>61</v>
      </c>
      <c r="D183" s="268">
        <v>61</v>
      </c>
      <c r="E183" s="268">
        <v>61</v>
      </c>
      <c r="F183" s="268">
        <v>4013373</v>
      </c>
      <c r="G183" s="450"/>
    </row>
    <row r="184" spans="1:7" ht="30" customHeight="1" x14ac:dyDescent="0.25">
      <c r="A184" s="268" t="s">
        <v>723</v>
      </c>
      <c r="B184" s="268" t="s">
        <v>724</v>
      </c>
      <c r="C184" s="268">
        <v>64</v>
      </c>
      <c r="D184" s="268">
        <v>64</v>
      </c>
      <c r="E184" s="268">
        <v>64</v>
      </c>
      <c r="F184" s="268">
        <v>4210752</v>
      </c>
      <c r="G184" s="451"/>
    </row>
    <row r="185" spans="1:7" ht="30" customHeight="1" x14ac:dyDescent="0.25">
      <c r="A185" s="268" t="s">
        <v>725</v>
      </c>
      <c r="B185" s="268" t="s">
        <v>726</v>
      </c>
      <c r="C185" s="268">
        <v>66</v>
      </c>
      <c r="D185" s="268">
        <v>66</v>
      </c>
      <c r="E185" s="268">
        <v>66</v>
      </c>
      <c r="F185" s="268">
        <v>4342338</v>
      </c>
      <c r="G185" s="452"/>
    </row>
    <row r="186" spans="1:7" ht="30" customHeight="1" x14ac:dyDescent="0.25">
      <c r="A186" s="268" t="s">
        <v>727</v>
      </c>
      <c r="B186" s="268" t="s">
        <v>728</v>
      </c>
      <c r="C186" s="268">
        <v>69</v>
      </c>
      <c r="D186" s="268">
        <v>69</v>
      </c>
      <c r="E186" s="268">
        <v>69</v>
      </c>
      <c r="F186" s="268">
        <v>4539717</v>
      </c>
      <c r="G186" s="453"/>
    </row>
    <row r="187" spans="1:7" ht="30" customHeight="1" x14ac:dyDescent="0.25">
      <c r="A187" s="268" t="s">
        <v>729</v>
      </c>
      <c r="B187" s="268" t="s">
        <v>730</v>
      </c>
      <c r="C187" s="268">
        <v>71</v>
      </c>
      <c r="D187" s="268">
        <v>71</v>
      </c>
      <c r="E187" s="268">
        <v>71</v>
      </c>
      <c r="F187" s="268">
        <v>4671303</v>
      </c>
      <c r="G187" s="454"/>
    </row>
    <row r="188" spans="1:7" ht="30" customHeight="1" x14ac:dyDescent="0.25">
      <c r="A188" s="268" t="s">
        <v>731</v>
      </c>
      <c r="B188" s="268" t="s">
        <v>732</v>
      </c>
      <c r="C188" s="268">
        <v>74</v>
      </c>
      <c r="D188" s="268">
        <v>74</v>
      </c>
      <c r="E188" s="268">
        <v>74</v>
      </c>
      <c r="F188" s="268">
        <v>4868682</v>
      </c>
      <c r="G188" s="455"/>
    </row>
    <row r="189" spans="1:7" ht="30" customHeight="1" x14ac:dyDescent="0.25">
      <c r="A189" s="268" t="s">
        <v>733</v>
      </c>
      <c r="B189" s="268" t="s">
        <v>734</v>
      </c>
      <c r="C189" s="268">
        <v>8</v>
      </c>
      <c r="D189" s="268">
        <v>8</v>
      </c>
      <c r="E189" s="268">
        <v>8</v>
      </c>
      <c r="F189" s="268">
        <v>526344</v>
      </c>
      <c r="G189" s="456"/>
    </row>
    <row r="190" spans="1:7" ht="30" customHeight="1" x14ac:dyDescent="0.25">
      <c r="A190" s="268" t="s">
        <v>735</v>
      </c>
      <c r="B190" s="268" t="s">
        <v>736</v>
      </c>
      <c r="C190" s="268">
        <v>77</v>
      </c>
      <c r="D190" s="268">
        <v>77</v>
      </c>
      <c r="E190" s="268">
        <v>77</v>
      </c>
      <c r="F190" s="268">
        <v>5066061</v>
      </c>
      <c r="G190" s="457"/>
    </row>
    <row r="191" spans="1:7" ht="30" customHeight="1" x14ac:dyDescent="0.25">
      <c r="A191" s="268" t="s">
        <v>737</v>
      </c>
      <c r="B191" s="268" t="s">
        <v>738</v>
      </c>
      <c r="C191" s="268">
        <v>79</v>
      </c>
      <c r="D191" s="268">
        <v>79</v>
      </c>
      <c r="E191" s="268">
        <v>79</v>
      </c>
      <c r="F191" s="268">
        <v>5197647</v>
      </c>
      <c r="G191" s="458"/>
    </row>
    <row r="192" spans="1:7" ht="30" customHeight="1" x14ac:dyDescent="0.25">
      <c r="A192" s="268" t="s">
        <v>739</v>
      </c>
      <c r="B192" s="268" t="s">
        <v>740</v>
      </c>
      <c r="C192" s="268">
        <v>82</v>
      </c>
      <c r="D192" s="268">
        <v>82</v>
      </c>
      <c r="E192" s="268">
        <v>82</v>
      </c>
      <c r="F192" s="268">
        <v>5395026</v>
      </c>
      <c r="G192" s="459"/>
    </row>
    <row r="193" spans="1:7" ht="30" customHeight="1" x14ac:dyDescent="0.25">
      <c r="A193" s="268" t="s">
        <v>741</v>
      </c>
      <c r="B193" s="268" t="s">
        <v>742</v>
      </c>
      <c r="C193" s="268">
        <v>84</v>
      </c>
      <c r="D193" s="268">
        <v>84</v>
      </c>
      <c r="E193" s="268">
        <v>84</v>
      </c>
      <c r="F193" s="268">
        <v>5526612</v>
      </c>
      <c r="G193" s="460"/>
    </row>
    <row r="194" spans="1:7" ht="30" customHeight="1" x14ac:dyDescent="0.25">
      <c r="A194" s="268" t="s">
        <v>743</v>
      </c>
      <c r="B194" s="268" t="s">
        <v>744</v>
      </c>
      <c r="C194" s="268">
        <v>87</v>
      </c>
      <c r="D194" s="268">
        <v>87</v>
      </c>
      <c r="E194" s="268">
        <v>87</v>
      </c>
      <c r="F194" s="268">
        <v>5723991</v>
      </c>
      <c r="G194" s="461"/>
    </row>
    <row r="195" spans="1:7" ht="30" customHeight="1" x14ac:dyDescent="0.25">
      <c r="A195" s="268" t="s">
        <v>745</v>
      </c>
      <c r="B195" s="268" t="s">
        <v>746</v>
      </c>
      <c r="C195" s="268">
        <v>89</v>
      </c>
      <c r="D195" s="268">
        <v>89</v>
      </c>
      <c r="E195" s="268">
        <v>89</v>
      </c>
      <c r="F195" s="268">
        <v>5855577</v>
      </c>
      <c r="G195" s="462"/>
    </row>
    <row r="196" spans="1:7" ht="30" customHeight="1" x14ac:dyDescent="0.25">
      <c r="A196" s="268" t="s">
        <v>747</v>
      </c>
      <c r="B196" s="268" t="s">
        <v>748</v>
      </c>
      <c r="C196" s="268">
        <v>92</v>
      </c>
      <c r="D196" s="268">
        <v>92</v>
      </c>
      <c r="E196" s="268">
        <v>92</v>
      </c>
      <c r="F196" s="268">
        <v>6052956</v>
      </c>
      <c r="G196" s="463"/>
    </row>
    <row r="197" spans="1:7" ht="30" customHeight="1" x14ac:dyDescent="0.25">
      <c r="A197" s="268" t="s">
        <v>749</v>
      </c>
      <c r="B197" s="268" t="s">
        <v>750</v>
      </c>
      <c r="C197" s="268">
        <v>94</v>
      </c>
      <c r="D197" s="268">
        <v>94</v>
      </c>
      <c r="E197" s="268">
        <v>94</v>
      </c>
      <c r="F197" s="268">
        <v>6184542</v>
      </c>
      <c r="G197" s="464"/>
    </row>
    <row r="198" spans="1:7" ht="30" customHeight="1" x14ac:dyDescent="0.25">
      <c r="A198" s="268" t="s">
        <v>751</v>
      </c>
      <c r="B198" s="268" t="s">
        <v>752</v>
      </c>
      <c r="C198" s="268">
        <v>97</v>
      </c>
      <c r="D198" s="268">
        <v>97</v>
      </c>
      <c r="E198" s="268">
        <v>97</v>
      </c>
      <c r="F198" s="268">
        <v>6381921</v>
      </c>
      <c r="G198" s="465"/>
    </row>
    <row r="199" spans="1:7" ht="30" customHeight="1" x14ac:dyDescent="0.25">
      <c r="A199" s="268" t="s">
        <v>753</v>
      </c>
      <c r="B199" s="268" t="s">
        <v>754</v>
      </c>
      <c r="C199" s="268">
        <v>99</v>
      </c>
      <c r="D199" s="268">
        <v>99</v>
      </c>
      <c r="E199" s="268">
        <v>99</v>
      </c>
      <c r="F199" s="268">
        <v>6513507</v>
      </c>
      <c r="G199" s="466"/>
    </row>
    <row r="200" spans="1:7" ht="30" customHeight="1" x14ac:dyDescent="0.25">
      <c r="A200" s="268" t="s">
        <v>755</v>
      </c>
      <c r="B200" s="268" t="s">
        <v>756</v>
      </c>
      <c r="C200" s="268">
        <v>10</v>
      </c>
      <c r="D200" s="268">
        <v>10</v>
      </c>
      <c r="E200" s="268">
        <v>10</v>
      </c>
      <c r="F200" s="268">
        <v>657930</v>
      </c>
      <c r="G200" s="467"/>
    </row>
    <row r="201" spans="1:7" ht="30" customHeight="1" x14ac:dyDescent="0.25">
      <c r="A201" s="268" t="s">
        <v>757</v>
      </c>
      <c r="B201" s="268" t="s">
        <v>758</v>
      </c>
      <c r="C201" s="268">
        <v>102</v>
      </c>
      <c r="D201" s="268">
        <v>102</v>
      </c>
      <c r="E201" s="268">
        <v>102</v>
      </c>
      <c r="F201" s="268">
        <v>6710886</v>
      </c>
      <c r="G201" s="468"/>
    </row>
    <row r="202" spans="1:7" ht="30" customHeight="1" x14ac:dyDescent="0.25">
      <c r="A202" s="268" t="s">
        <v>759</v>
      </c>
      <c r="B202" s="268" t="s">
        <v>760</v>
      </c>
      <c r="C202" s="268">
        <v>105</v>
      </c>
      <c r="D202" s="268">
        <v>105</v>
      </c>
      <c r="E202" s="268">
        <v>105</v>
      </c>
      <c r="F202" s="268">
        <v>6908265</v>
      </c>
      <c r="G202" s="469"/>
    </row>
    <row r="203" spans="1:7" ht="30" customHeight="1" x14ac:dyDescent="0.25">
      <c r="A203" s="268" t="s">
        <v>761</v>
      </c>
      <c r="B203" s="268" t="s">
        <v>762</v>
      </c>
      <c r="C203" s="268">
        <v>107</v>
      </c>
      <c r="D203" s="268">
        <v>107</v>
      </c>
      <c r="E203" s="268">
        <v>107</v>
      </c>
      <c r="F203" s="268">
        <v>7039851</v>
      </c>
      <c r="G203" s="470"/>
    </row>
    <row r="204" spans="1:7" ht="30" customHeight="1" x14ac:dyDescent="0.25">
      <c r="A204" s="268" t="s">
        <v>763</v>
      </c>
      <c r="B204" s="268" t="s">
        <v>764</v>
      </c>
      <c r="C204" s="268">
        <v>110</v>
      </c>
      <c r="D204" s="268">
        <v>110</v>
      </c>
      <c r="E204" s="268">
        <v>110</v>
      </c>
      <c r="F204" s="268">
        <v>7237230</v>
      </c>
      <c r="G204" s="471"/>
    </row>
    <row r="205" spans="1:7" ht="30" customHeight="1" x14ac:dyDescent="0.25">
      <c r="A205" s="268" t="s">
        <v>765</v>
      </c>
      <c r="B205" s="268" t="s">
        <v>766</v>
      </c>
      <c r="C205" s="268">
        <v>112</v>
      </c>
      <c r="D205" s="268">
        <v>112</v>
      </c>
      <c r="E205" s="268">
        <v>112</v>
      </c>
      <c r="F205" s="268">
        <v>7368816</v>
      </c>
      <c r="G205" s="472"/>
    </row>
    <row r="206" spans="1:7" ht="30" customHeight="1" x14ac:dyDescent="0.25">
      <c r="A206" s="268" t="s">
        <v>767</v>
      </c>
      <c r="B206" s="268" t="s">
        <v>768</v>
      </c>
      <c r="C206" s="268">
        <v>115</v>
      </c>
      <c r="D206" s="268">
        <v>115</v>
      </c>
      <c r="E206" s="268">
        <v>115</v>
      </c>
      <c r="F206" s="268">
        <v>7566195</v>
      </c>
      <c r="G206" s="473"/>
    </row>
    <row r="207" spans="1:7" ht="30" customHeight="1" x14ac:dyDescent="0.25">
      <c r="A207" s="268" t="s">
        <v>769</v>
      </c>
      <c r="B207" s="268" t="s">
        <v>770</v>
      </c>
      <c r="C207" s="268">
        <v>117</v>
      </c>
      <c r="D207" s="268">
        <v>117</v>
      </c>
      <c r="E207" s="268">
        <v>117</v>
      </c>
      <c r="F207" s="268">
        <v>7697781</v>
      </c>
      <c r="G207" s="474"/>
    </row>
    <row r="208" spans="1:7" ht="30" customHeight="1" x14ac:dyDescent="0.25">
      <c r="A208" s="268" t="s">
        <v>771</v>
      </c>
      <c r="B208" s="268" t="s">
        <v>772</v>
      </c>
      <c r="C208" s="268">
        <v>120</v>
      </c>
      <c r="D208" s="268">
        <v>120</v>
      </c>
      <c r="E208" s="268">
        <v>120</v>
      </c>
      <c r="F208" s="268">
        <v>7895160</v>
      </c>
      <c r="G208" s="475"/>
    </row>
    <row r="209" spans="1:7" ht="30" customHeight="1" x14ac:dyDescent="0.25">
      <c r="A209" s="268" t="s">
        <v>773</v>
      </c>
      <c r="B209" s="268" t="s">
        <v>774</v>
      </c>
      <c r="C209" s="268">
        <v>122</v>
      </c>
      <c r="D209" s="268">
        <v>122</v>
      </c>
      <c r="E209" s="268">
        <v>122</v>
      </c>
      <c r="F209" s="268">
        <v>8026746</v>
      </c>
      <c r="G209" s="476"/>
    </row>
    <row r="210" spans="1:7" ht="30" customHeight="1" x14ac:dyDescent="0.25">
      <c r="A210" s="268" t="s">
        <v>775</v>
      </c>
      <c r="B210" s="268" t="s">
        <v>776</v>
      </c>
      <c r="C210" s="268">
        <v>125</v>
      </c>
      <c r="D210" s="268">
        <v>125</v>
      </c>
      <c r="E210" s="268">
        <v>125</v>
      </c>
      <c r="F210" s="268">
        <v>8224125</v>
      </c>
      <c r="G210" s="477"/>
    </row>
    <row r="211" spans="1:7" ht="30" customHeight="1" x14ac:dyDescent="0.25">
      <c r="A211" s="268" t="s">
        <v>777</v>
      </c>
      <c r="B211" s="268" t="s">
        <v>778</v>
      </c>
      <c r="C211" s="268">
        <v>13</v>
      </c>
      <c r="D211" s="268">
        <v>13</v>
      </c>
      <c r="E211" s="268">
        <v>13</v>
      </c>
      <c r="F211" s="268">
        <v>855309</v>
      </c>
      <c r="G211" s="478"/>
    </row>
    <row r="212" spans="1:7" ht="30" customHeight="1" x14ac:dyDescent="0.25">
      <c r="A212" s="268" t="s">
        <v>779</v>
      </c>
      <c r="B212" s="268" t="s">
        <v>780</v>
      </c>
      <c r="C212" s="268">
        <v>127</v>
      </c>
      <c r="D212" s="268">
        <v>127</v>
      </c>
      <c r="E212" s="268">
        <v>127</v>
      </c>
      <c r="F212" s="268">
        <v>8355711</v>
      </c>
      <c r="G212" s="479"/>
    </row>
    <row r="213" spans="1:7" ht="30" customHeight="1" x14ac:dyDescent="0.25">
      <c r="A213" s="268" t="s">
        <v>781</v>
      </c>
      <c r="B213" s="268" t="s">
        <v>782</v>
      </c>
      <c r="C213" s="268">
        <v>130</v>
      </c>
      <c r="D213" s="268">
        <v>130</v>
      </c>
      <c r="E213" s="268">
        <v>130</v>
      </c>
      <c r="F213" s="268">
        <v>8553090</v>
      </c>
      <c r="G213" s="480"/>
    </row>
    <row r="214" spans="1:7" ht="30" customHeight="1" x14ac:dyDescent="0.25">
      <c r="A214" s="268" t="s">
        <v>783</v>
      </c>
      <c r="B214" s="268" t="s">
        <v>784</v>
      </c>
      <c r="C214" s="268">
        <v>133</v>
      </c>
      <c r="D214" s="268">
        <v>133</v>
      </c>
      <c r="E214" s="268">
        <v>133</v>
      </c>
      <c r="F214" s="268">
        <v>8750469</v>
      </c>
      <c r="G214" s="481"/>
    </row>
    <row r="215" spans="1:7" ht="30" customHeight="1" x14ac:dyDescent="0.25">
      <c r="A215" s="268" t="s">
        <v>785</v>
      </c>
      <c r="B215" s="268" t="s">
        <v>786</v>
      </c>
      <c r="C215" s="268">
        <v>135</v>
      </c>
      <c r="D215" s="268">
        <v>135</v>
      </c>
      <c r="E215" s="268">
        <v>135</v>
      </c>
      <c r="F215" s="268">
        <v>8882055</v>
      </c>
      <c r="G215" s="482"/>
    </row>
    <row r="216" spans="1:7" ht="30" customHeight="1" x14ac:dyDescent="0.25">
      <c r="A216" s="268" t="s">
        <v>787</v>
      </c>
      <c r="B216" s="268" t="s">
        <v>788</v>
      </c>
      <c r="C216" s="268">
        <v>138</v>
      </c>
      <c r="D216" s="268">
        <v>138</v>
      </c>
      <c r="E216" s="268">
        <v>138</v>
      </c>
      <c r="F216" s="268">
        <v>9079434</v>
      </c>
      <c r="G216" s="483"/>
    </row>
    <row r="217" spans="1:7" ht="30" customHeight="1" x14ac:dyDescent="0.25">
      <c r="A217" s="268" t="s">
        <v>789</v>
      </c>
      <c r="B217" s="268" t="s">
        <v>790</v>
      </c>
      <c r="C217" s="268">
        <v>140</v>
      </c>
      <c r="D217" s="268">
        <v>140</v>
      </c>
      <c r="E217" s="268">
        <v>140</v>
      </c>
      <c r="F217" s="268">
        <v>9211020</v>
      </c>
      <c r="G217" s="484"/>
    </row>
    <row r="218" spans="1:7" ht="30" customHeight="1" x14ac:dyDescent="0.25">
      <c r="A218" s="268" t="s">
        <v>791</v>
      </c>
      <c r="B218" s="268" t="s">
        <v>792</v>
      </c>
      <c r="C218" s="268">
        <v>143</v>
      </c>
      <c r="D218" s="268">
        <v>143</v>
      </c>
      <c r="E218" s="268">
        <v>143</v>
      </c>
      <c r="F218" s="268">
        <v>9408399</v>
      </c>
      <c r="G218" s="485"/>
    </row>
    <row r="219" spans="1:7" ht="30" customHeight="1" x14ac:dyDescent="0.25">
      <c r="A219" s="268" t="s">
        <v>793</v>
      </c>
      <c r="B219" s="268" t="s">
        <v>794</v>
      </c>
      <c r="C219" s="268">
        <v>145</v>
      </c>
      <c r="D219" s="268">
        <v>145</v>
      </c>
      <c r="E219" s="268">
        <v>145</v>
      </c>
      <c r="F219" s="268">
        <v>9539985</v>
      </c>
      <c r="G219" s="486"/>
    </row>
    <row r="220" spans="1:7" ht="30" customHeight="1" x14ac:dyDescent="0.25">
      <c r="A220" s="268" t="s">
        <v>795</v>
      </c>
      <c r="B220" s="268" t="s">
        <v>796</v>
      </c>
      <c r="C220" s="268">
        <v>148</v>
      </c>
      <c r="D220" s="268">
        <v>148</v>
      </c>
      <c r="E220" s="268">
        <v>148</v>
      </c>
      <c r="F220" s="268">
        <v>9737364</v>
      </c>
      <c r="G220" s="487"/>
    </row>
    <row r="221" spans="1:7" ht="30" customHeight="1" x14ac:dyDescent="0.25">
      <c r="A221" s="268" t="s">
        <v>797</v>
      </c>
      <c r="B221" s="268" t="s">
        <v>798</v>
      </c>
      <c r="C221" s="268">
        <v>150</v>
      </c>
      <c r="D221" s="268">
        <v>150</v>
      </c>
      <c r="E221" s="268">
        <v>150</v>
      </c>
      <c r="F221" s="268">
        <v>9868950</v>
      </c>
      <c r="G221" s="488"/>
    </row>
    <row r="222" spans="1:7" ht="30" customHeight="1" x14ac:dyDescent="0.25">
      <c r="A222" s="268" t="s">
        <v>799</v>
      </c>
      <c r="B222" s="268" t="s">
        <v>800</v>
      </c>
      <c r="C222" s="268">
        <v>15</v>
      </c>
      <c r="D222" s="268">
        <v>15</v>
      </c>
      <c r="E222" s="268">
        <v>15</v>
      </c>
      <c r="F222" s="268">
        <v>986895</v>
      </c>
      <c r="G222" s="489"/>
    </row>
    <row r="223" spans="1:7" ht="30" customHeight="1" x14ac:dyDescent="0.25">
      <c r="A223" s="268" t="s">
        <v>801</v>
      </c>
      <c r="B223" s="268" t="s">
        <v>802</v>
      </c>
      <c r="C223" s="268">
        <v>153</v>
      </c>
      <c r="D223" s="268">
        <v>153</v>
      </c>
      <c r="E223" s="268">
        <v>153</v>
      </c>
      <c r="F223" s="268">
        <v>10066329</v>
      </c>
      <c r="G223" s="490"/>
    </row>
    <row r="224" spans="1:7" ht="30" customHeight="1" x14ac:dyDescent="0.25">
      <c r="A224" s="268" t="s">
        <v>803</v>
      </c>
      <c r="B224" s="268" t="s">
        <v>804</v>
      </c>
      <c r="C224" s="268">
        <v>156</v>
      </c>
      <c r="D224" s="268">
        <v>156</v>
      </c>
      <c r="E224" s="268">
        <v>156</v>
      </c>
      <c r="F224" s="268">
        <v>10263708</v>
      </c>
      <c r="G224" s="491"/>
    </row>
    <row r="225" spans="1:7" ht="30" customHeight="1" x14ac:dyDescent="0.25">
      <c r="A225" s="268" t="s">
        <v>805</v>
      </c>
      <c r="B225" s="268" t="s">
        <v>806</v>
      </c>
      <c r="C225" s="268">
        <v>158</v>
      </c>
      <c r="D225" s="268">
        <v>158</v>
      </c>
      <c r="E225" s="268">
        <v>158</v>
      </c>
      <c r="F225" s="268">
        <v>10395294</v>
      </c>
      <c r="G225" s="492"/>
    </row>
    <row r="226" spans="1:7" ht="30" customHeight="1" x14ac:dyDescent="0.25">
      <c r="A226" s="268" t="s">
        <v>807</v>
      </c>
      <c r="B226" s="268" t="s">
        <v>808</v>
      </c>
      <c r="C226" s="268">
        <v>161</v>
      </c>
      <c r="D226" s="268">
        <v>161</v>
      </c>
      <c r="E226" s="268">
        <v>161</v>
      </c>
      <c r="F226" s="268">
        <v>10592673</v>
      </c>
      <c r="G226" s="493"/>
    </row>
    <row r="227" spans="1:7" ht="30" customHeight="1" x14ac:dyDescent="0.25">
      <c r="A227" s="268" t="s">
        <v>809</v>
      </c>
      <c r="B227" s="268" t="s">
        <v>810</v>
      </c>
      <c r="C227" s="268">
        <v>163</v>
      </c>
      <c r="D227" s="268">
        <v>163</v>
      </c>
      <c r="E227" s="268">
        <v>163</v>
      </c>
      <c r="F227" s="268">
        <v>10724259</v>
      </c>
      <c r="G227" s="494"/>
    </row>
    <row r="228" spans="1:7" ht="30" customHeight="1" x14ac:dyDescent="0.25">
      <c r="A228" s="268" t="s">
        <v>811</v>
      </c>
      <c r="B228" s="268" t="s">
        <v>812</v>
      </c>
      <c r="C228" s="268">
        <v>166</v>
      </c>
      <c r="D228" s="268">
        <v>166</v>
      </c>
      <c r="E228" s="268">
        <v>166</v>
      </c>
      <c r="F228" s="268">
        <v>10921638</v>
      </c>
      <c r="G228" s="495"/>
    </row>
    <row r="229" spans="1:7" ht="30" customHeight="1" x14ac:dyDescent="0.25">
      <c r="A229" s="268" t="s">
        <v>813</v>
      </c>
      <c r="B229" s="268" t="s">
        <v>814</v>
      </c>
      <c r="C229" s="268">
        <v>168</v>
      </c>
      <c r="D229" s="268">
        <v>168</v>
      </c>
      <c r="E229" s="268">
        <v>168</v>
      </c>
      <c r="F229" s="268">
        <v>11053224</v>
      </c>
      <c r="G229" s="496"/>
    </row>
    <row r="230" spans="1:7" ht="30" customHeight="1" x14ac:dyDescent="0.25">
      <c r="A230" s="268" t="s">
        <v>815</v>
      </c>
      <c r="B230" s="268" t="s">
        <v>816</v>
      </c>
      <c r="C230" s="268">
        <v>171</v>
      </c>
      <c r="D230" s="268">
        <v>171</v>
      </c>
      <c r="E230" s="268">
        <v>171</v>
      </c>
      <c r="F230" s="268">
        <v>11250603</v>
      </c>
      <c r="G230" s="497"/>
    </row>
    <row r="231" spans="1:7" ht="30" customHeight="1" x14ac:dyDescent="0.25">
      <c r="A231" s="268" t="s">
        <v>817</v>
      </c>
      <c r="B231" s="268" t="s">
        <v>818</v>
      </c>
      <c r="C231" s="268">
        <v>173</v>
      </c>
      <c r="D231" s="268">
        <v>173</v>
      </c>
      <c r="E231" s="268">
        <v>173</v>
      </c>
      <c r="F231" s="268">
        <v>11382189</v>
      </c>
      <c r="G231" s="498"/>
    </row>
    <row r="232" spans="1:7" ht="30" customHeight="1" x14ac:dyDescent="0.25">
      <c r="A232" s="268" t="s">
        <v>819</v>
      </c>
      <c r="B232" s="268" t="s">
        <v>820</v>
      </c>
      <c r="C232" s="268">
        <v>176</v>
      </c>
      <c r="D232" s="268">
        <v>176</v>
      </c>
      <c r="E232" s="268">
        <v>176</v>
      </c>
      <c r="F232" s="268">
        <v>11579568</v>
      </c>
      <c r="G232" s="499"/>
    </row>
    <row r="233" spans="1:7" ht="30" customHeight="1" x14ac:dyDescent="0.25">
      <c r="A233" s="268" t="s">
        <v>821</v>
      </c>
      <c r="B233" s="268" t="s">
        <v>822</v>
      </c>
      <c r="C233" s="268">
        <v>18</v>
      </c>
      <c r="D233" s="268">
        <v>18</v>
      </c>
      <c r="E233" s="268">
        <v>18</v>
      </c>
      <c r="F233" s="268">
        <v>1184274</v>
      </c>
      <c r="G233" s="500"/>
    </row>
    <row r="234" spans="1:7" ht="30" customHeight="1" x14ac:dyDescent="0.25">
      <c r="A234" s="268" t="s">
        <v>823</v>
      </c>
      <c r="B234" s="268" t="s">
        <v>824</v>
      </c>
      <c r="C234" s="268">
        <v>179</v>
      </c>
      <c r="D234" s="268">
        <v>179</v>
      </c>
      <c r="E234" s="268">
        <v>179</v>
      </c>
      <c r="F234" s="268">
        <v>11776947</v>
      </c>
      <c r="G234" s="501"/>
    </row>
    <row r="235" spans="1:7" ht="30" customHeight="1" x14ac:dyDescent="0.25">
      <c r="A235" s="268" t="s">
        <v>825</v>
      </c>
      <c r="B235" s="268" t="s">
        <v>826</v>
      </c>
      <c r="C235" s="268">
        <v>181</v>
      </c>
      <c r="D235" s="268">
        <v>181</v>
      </c>
      <c r="E235" s="268">
        <v>181</v>
      </c>
      <c r="F235" s="268">
        <v>11908533</v>
      </c>
      <c r="G235" s="502"/>
    </row>
    <row r="236" spans="1:7" ht="30" customHeight="1" x14ac:dyDescent="0.25">
      <c r="A236" s="268" t="s">
        <v>827</v>
      </c>
      <c r="B236" s="268" t="s">
        <v>828</v>
      </c>
      <c r="C236" s="268">
        <v>184</v>
      </c>
      <c r="D236" s="268">
        <v>184</v>
      </c>
      <c r="E236" s="268">
        <v>184</v>
      </c>
      <c r="F236" s="268">
        <v>12105912</v>
      </c>
      <c r="G236" s="503"/>
    </row>
    <row r="237" spans="1:7" ht="30" customHeight="1" x14ac:dyDescent="0.25">
      <c r="A237" s="268" t="s">
        <v>829</v>
      </c>
      <c r="B237" s="268" t="s">
        <v>830</v>
      </c>
      <c r="C237" s="268">
        <v>186</v>
      </c>
      <c r="D237" s="268">
        <v>186</v>
      </c>
      <c r="E237" s="268">
        <v>186</v>
      </c>
      <c r="F237" s="268">
        <v>12237498</v>
      </c>
      <c r="G237" s="504"/>
    </row>
    <row r="238" spans="1:7" ht="30" customHeight="1" x14ac:dyDescent="0.25">
      <c r="A238" s="268" t="s">
        <v>831</v>
      </c>
      <c r="B238" s="268" t="s">
        <v>832</v>
      </c>
      <c r="C238" s="268">
        <v>189</v>
      </c>
      <c r="D238" s="268">
        <v>189</v>
      </c>
      <c r="E238" s="268">
        <v>189</v>
      </c>
      <c r="F238" s="268">
        <v>12434877</v>
      </c>
      <c r="G238" s="505"/>
    </row>
    <row r="239" spans="1:7" ht="30" customHeight="1" x14ac:dyDescent="0.25">
      <c r="A239" s="268" t="s">
        <v>833</v>
      </c>
      <c r="B239" s="268" t="s">
        <v>834</v>
      </c>
      <c r="C239" s="268">
        <v>191</v>
      </c>
      <c r="D239" s="268">
        <v>191</v>
      </c>
      <c r="E239" s="268">
        <v>191</v>
      </c>
      <c r="F239" s="268">
        <v>12566463</v>
      </c>
      <c r="G239" s="506"/>
    </row>
    <row r="240" spans="1:7" ht="30" customHeight="1" x14ac:dyDescent="0.25">
      <c r="A240" s="268" t="s">
        <v>835</v>
      </c>
      <c r="B240" s="268" t="s">
        <v>836</v>
      </c>
      <c r="C240" s="268">
        <v>194</v>
      </c>
      <c r="D240" s="268">
        <v>194</v>
      </c>
      <c r="E240" s="268">
        <v>194</v>
      </c>
      <c r="F240" s="268">
        <v>12763842</v>
      </c>
      <c r="G240" s="507"/>
    </row>
    <row r="241" spans="1:7" ht="30" customHeight="1" x14ac:dyDescent="0.25">
      <c r="A241" s="268" t="s">
        <v>837</v>
      </c>
      <c r="B241" s="268" t="s">
        <v>838</v>
      </c>
      <c r="C241" s="268">
        <v>196</v>
      </c>
      <c r="D241" s="268">
        <v>196</v>
      </c>
      <c r="E241" s="268">
        <v>196</v>
      </c>
      <c r="F241" s="268">
        <v>12895428</v>
      </c>
      <c r="G241" s="508"/>
    </row>
    <row r="242" spans="1:7" ht="30" customHeight="1" x14ac:dyDescent="0.25">
      <c r="A242" s="268" t="s">
        <v>839</v>
      </c>
      <c r="B242" s="268" t="s">
        <v>840</v>
      </c>
      <c r="C242" s="268">
        <v>199</v>
      </c>
      <c r="D242" s="268">
        <v>199</v>
      </c>
      <c r="E242" s="268">
        <v>199</v>
      </c>
      <c r="F242" s="268">
        <v>13092807</v>
      </c>
      <c r="G242" s="509"/>
    </row>
    <row r="243" spans="1:7" ht="30" customHeight="1" x14ac:dyDescent="0.25">
      <c r="A243" s="268" t="s">
        <v>841</v>
      </c>
      <c r="B243" s="268" t="s">
        <v>842</v>
      </c>
      <c r="C243" s="268">
        <v>201</v>
      </c>
      <c r="D243" s="268">
        <v>201</v>
      </c>
      <c r="E243" s="268">
        <v>201</v>
      </c>
      <c r="F243" s="268">
        <v>13224393</v>
      </c>
      <c r="G243" s="510"/>
    </row>
    <row r="244" spans="1:7" ht="30" customHeight="1" x14ac:dyDescent="0.25">
      <c r="A244" s="268" t="s">
        <v>843</v>
      </c>
      <c r="B244" s="268" t="s">
        <v>844</v>
      </c>
      <c r="C244" s="268">
        <v>20</v>
      </c>
      <c r="D244" s="268">
        <v>20</v>
      </c>
      <c r="E244" s="268">
        <v>20</v>
      </c>
      <c r="F244" s="268">
        <v>1315860</v>
      </c>
      <c r="G244" s="511"/>
    </row>
    <row r="245" spans="1:7" ht="30" customHeight="1" x14ac:dyDescent="0.25">
      <c r="A245" s="268" t="s">
        <v>845</v>
      </c>
      <c r="B245" s="268" t="s">
        <v>846</v>
      </c>
      <c r="C245" s="268">
        <v>204</v>
      </c>
      <c r="D245" s="268">
        <v>204</v>
      </c>
      <c r="E245" s="268">
        <v>204</v>
      </c>
      <c r="F245" s="268">
        <v>13421772</v>
      </c>
      <c r="G245" s="512"/>
    </row>
    <row r="246" spans="1:7" ht="30" customHeight="1" x14ac:dyDescent="0.25">
      <c r="A246" s="268" t="s">
        <v>847</v>
      </c>
      <c r="B246" s="268" t="s">
        <v>848</v>
      </c>
      <c r="C246" s="268">
        <v>207</v>
      </c>
      <c r="D246" s="268">
        <v>207</v>
      </c>
      <c r="E246" s="268">
        <v>207</v>
      </c>
      <c r="F246" s="268">
        <v>13619151</v>
      </c>
      <c r="G246" s="513"/>
    </row>
    <row r="247" spans="1:7" ht="30" customHeight="1" x14ac:dyDescent="0.25">
      <c r="A247" s="268" t="s">
        <v>849</v>
      </c>
      <c r="B247" s="268" t="s">
        <v>850</v>
      </c>
      <c r="C247" s="268">
        <v>209</v>
      </c>
      <c r="D247" s="268">
        <v>209</v>
      </c>
      <c r="E247" s="268">
        <v>209</v>
      </c>
      <c r="F247" s="268">
        <v>13750737</v>
      </c>
      <c r="G247" s="514"/>
    </row>
    <row r="248" spans="1:7" ht="30" customHeight="1" x14ac:dyDescent="0.25">
      <c r="A248" s="268" t="s">
        <v>851</v>
      </c>
      <c r="B248" s="268" t="s">
        <v>852</v>
      </c>
      <c r="C248" s="268">
        <v>212</v>
      </c>
      <c r="D248" s="268">
        <v>212</v>
      </c>
      <c r="E248" s="268">
        <v>212</v>
      </c>
      <c r="F248" s="268">
        <v>13948116</v>
      </c>
      <c r="G248" s="515"/>
    </row>
    <row r="249" spans="1:7" ht="30" customHeight="1" x14ac:dyDescent="0.25">
      <c r="A249" s="268" t="s">
        <v>853</v>
      </c>
      <c r="B249" s="268" t="s">
        <v>854</v>
      </c>
      <c r="C249" s="268">
        <v>214</v>
      </c>
      <c r="D249" s="268">
        <v>214</v>
      </c>
      <c r="E249" s="268">
        <v>214</v>
      </c>
      <c r="F249" s="268">
        <v>14079702</v>
      </c>
      <c r="G249" s="516"/>
    </row>
    <row r="250" spans="1:7" ht="30" customHeight="1" x14ac:dyDescent="0.25">
      <c r="A250" s="268" t="s">
        <v>855</v>
      </c>
      <c r="B250" s="268" t="s">
        <v>856</v>
      </c>
      <c r="C250" s="268">
        <v>217</v>
      </c>
      <c r="D250" s="268">
        <v>217</v>
      </c>
      <c r="E250" s="268">
        <v>217</v>
      </c>
      <c r="F250" s="268">
        <v>14277081</v>
      </c>
      <c r="G250" s="517"/>
    </row>
    <row r="251" spans="1:7" ht="30" customHeight="1" x14ac:dyDescent="0.25">
      <c r="A251" s="268" t="s">
        <v>857</v>
      </c>
      <c r="B251" s="268" t="s">
        <v>858</v>
      </c>
      <c r="C251" s="268">
        <v>219</v>
      </c>
      <c r="D251" s="268">
        <v>219</v>
      </c>
      <c r="E251" s="268">
        <v>219</v>
      </c>
      <c r="F251" s="268">
        <v>14408667</v>
      </c>
      <c r="G251" s="518"/>
    </row>
    <row r="252" spans="1:7" ht="30" customHeight="1" x14ac:dyDescent="0.25">
      <c r="A252" s="268" t="s">
        <v>859</v>
      </c>
      <c r="B252" s="268" t="s">
        <v>860</v>
      </c>
      <c r="C252" s="268">
        <v>222</v>
      </c>
      <c r="D252" s="268">
        <v>222</v>
      </c>
      <c r="E252" s="268">
        <v>222</v>
      </c>
      <c r="F252" s="268">
        <v>14606046</v>
      </c>
      <c r="G252" s="519"/>
    </row>
    <row r="253" spans="1:7" ht="30" customHeight="1" x14ac:dyDescent="0.25">
      <c r="A253" s="268" t="s">
        <v>861</v>
      </c>
      <c r="B253" s="268" t="s">
        <v>862</v>
      </c>
      <c r="C253" s="268">
        <v>224</v>
      </c>
      <c r="D253" s="268">
        <v>224</v>
      </c>
      <c r="E253" s="268">
        <v>224</v>
      </c>
      <c r="F253" s="268">
        <v>14737632</v>
      </c>
      <c r="G253" s="520"/>
    </row>
    <row r="254" spans="1:7" ht="30" customHeight="1" x14ac:dyDescent="0.25">
      <c r="A254" s="268" t="s">
        <v>863</v>
      </c>
      <c r="B254" s="268" t="s">
        <v>864</v>
      </c>
      <c r="C254" s="268">
        <v>227</v>
      </c>
      <c r="D254" s="268">
        <v>227</v>
      </c>
      <c r="E254" s="268">
        <v>227</v>
      </c>
      <c r="F254" s="268">
        <v>14935011</v>
      </c>
      <c r="G254" s="521"/>
    </row>
    <row r="255" spans="1:7" ht="30" customHeight="1" x14ac:dyDescent="0.25">
      <c r="A255" s="268" t="s">
        <v>865</v>
      </c>
      <c r="B255" s="268" t="s">
        <v>866</v>
      </c>
      <c r="C255" s="268">
        <v>23</v>
      </c>
      <c r="D255" s="268">
        <v>23</v>
      </c>
      <c r="E255" s="268">
        <v>23</v>
      </c>
      <c r="F255" s="268">
        <v>1513239</v>
      </c>
      <c r="G255" s="522"/>
    </row>
    <row r="256" spans="1:7" ht="30" customHeight="1" x14ac:dyDescent="0.25">
      <c r="A256" s="268" t="s">
        <v>867</v>
      </c>
      <c r="B256" s="268" t="s">
        <v>868</v>
      </c>
      <c r="C256" s="268">
        <v>229</v>
      </c>
      <c r="D256" s="268">
        <v>229</v>
      </c>
      <c r="E256" s="268">
        <v>229</v>
      </c>
      <c r="F256" s="268">
        <v>15066597</v>
      </c>
      <c r="G256" s="523"/>
    </row>
    <row r="257" spans="1:7" ht="30" customHeight="1" x14ac:dyDescent="0.25">
      <c r="A257" s="268" t="s">
        <v>869</v>
      </c>
      <c r="B257" s="268" t="s">
        <v>870</v>
      </c>
      <c r="C257" s="268">
        <v>232</v>
      </c>
      <c r="D257" s="268">
        <v>232</v>
      </c>
      <c r="E257" s="268">
        <v>232</v>
      </c>
      <c r="F257" s="268">
        <v>15263976</v>
      </c>
      <c r="G257" s="524"/>
    </row>
    <row r="258" spans="1:7" ht="30" customHeight="1" x14ac:dyDescent="0.25">
      <c r="A258" s="268" t="s">
        <v>871</v>
      </c>
      <c r="B258" s="268" t="s">
        <v>872</v>
      </c>
      <c r="C258" s="268">
        <v>235</v>
      </c>
      <c r="D258" s="268">
        <v>235</v>
      </c>
      <c r="E258" s="268">
        <v>235</v>
      </c>
      <c r="F258" s="268">
        <v>15461355</v>
      </c>
      <c r="G258" s="525"/>
    </row>
    <row r="259" spans="1:7" ht="30" customHeight="1" x14ac:dyDescent="0.25">
      <c r="A259" s="268" t="s">
        <v>873</v>
      </c>
      <c r="B259" s="268" t="s">
        <v>874</v>
      </c>
      <c r="C259" s="268">
        <v>237</v>
      </c>
      <c r="D259" s="268">
        <v>237</v>
      </c>
      <c r="E259" s="268">
        <v>237</v>
      </c>
      <c r="F259" s="268">
        <v>15592941</v>
      </c>
      <c r="G259" s="526"/>
    </row>
    <row r="260" spans="1:7" ht="30" customHeight="1" x14ac:dyDescent="0.25">
      <c r="A260" s="268" t="s">
        <v>875</v>
      </c>
      <c r="B260" s="268" t="s">
        <v>876</v>
      </c>
      <c r="C260" s="268">
        <v>240</v>
      </c>
      <c r="D260" s="268">
        <v>240</v>
      </c>
      <c r="E260" s="268">
        <v>240</v>
      </c>
      <c r="F260" s="268">
        <v>15790320</v>
      </c>
      <c r="G260" s="527"/>
    </row>
    <row r="261" spans="1:7" ht="30" customHeight="1" x14ac:dyDescent="0.25">
      <c r="A261" s="268" t="s">
        <v>877</v>
      </c>
      <c r="B261" s="268" t="s">
        <v>878</v>
      </c>
      <c r="C261" s="268">
        <v>242</v>
      </c>
      <c r="D261" s="268">
        <v>242</v>
      </c>
      <c r="E261" s="268">
        <v>242</v>
      </c>
      <c r="F261" s="268">
        <v>15921906</v>
      </c>
      <c r="G261" s="528"/>
    </row>
    <row r="262" spans="1:7" ht="30" customHeight="1" x14ac:dyDescent="0.25">
      <c r="A262" s="268" t="s">
        <v>879</v>
      </c>
      <c r="B262" s="268" t="s">
        <v>880</v>
      </c>
      <c r="C262" s="268">
        <v>245</v>
      </c>
      <c r="D262" s="268">
        <v>245</v>
      </c>
      <c r="E262" s="268">
        <v>245</v>
      </c>
      <c r="F262" s="268">
        <v>16119285</v>
      </c>
      <c r="G262" s="529"/>
    </row>
    <row r="263" spans="1:7" ht="30" customHeight="1" x14ac:dyDescent="0.25">
      <c r="A263" s="268" t="s">
        <v>881</v>
      </c>
      <c r="B263" s="268" t="s">
        <v>882</v>
      </c>
      <c r="C263" s="268">
        <v>247</v>
      </c>
      <c r="D263" s="268">
        <v>247</v>
      </c>
      <c r="E263" s="268">
        <v>247</v>
      </c>
      <c r="F263" s="268">
        <v>16250871</v>
      </c>
      <c r="G263" s="530"/>
    </row>
    <row r="264" spans="1:7" ht="30" customHeight="1" x14ac:dyDescent="0.25">
      <c r="A264" s="268" t="s">
        <v>883</v>
      </c>
      <c r="B264" s="268" t="s">
        <v>884</v>
      </c>
      <c r="C264" s="268">
        <v>250</v>
      </c>
      <c r="D264" s="268">
        <v>250</v>
      </c>
      <c r="E264" s="268">
        <v>250</v>
      </c>
      <c r="F264" s="268">
        <v>16448250</v>
      </c>
      <c r="G264" s="531"/>
    </row>
    <row r="265" spans="1:7" ht="30" customHeight="1" x14ac:dyDescent="0.25">
      <c r="A265" s="268" t="s">
        <v>885</v>
      </c>
      <c r="B265" s="268" t="s">
        <v>886</v>
      </c>
      <c r="C265" s="268">
        <v>252</v>
      </c>
      <c r="D265" s="268">
        <v>252</v>
      </c>
      <c r="E265" s="268">
        <v>252</v>
      </c>
      <c r="F265" s="268">
        <v>16579836</v>
      </c>
      <c r="G265" s="532"/>
    </row>
    <row r="266" spans="1:7" ht="30" customHeight="1" x14ac:dyDescent="0.25">
      <c r="A266" s="268" t="s">
        <v>887</v>
      </c>
      <c r="B266" s="268" t="s">
        <v>888</v>
      </c>
      <c r="C266" s="268">
        <v>0</v>
      </c>
      <c r="D266" s="268">
        <v>255</v>
      </c>
      <c r="E266" s="268">
        <v>0</v>
      </c>
      <c r="F266" s="268">
        <v>65280</v>
      </c>
      <c r="G266" s="533"/>
    </row>
    <row r="267" spans="1:7" ht="30" customHeight="1" x14ac:dyDescent="0.25">
      <c r="A267" s="268" t="s">
        <v>889</v>
      </c>
      <c r="B267" s="268" t="s">
        <v>890</v>
      </c>
      <c r="C267" s="268">
        <v>0</v>
      </c>
      <c r="D267" s="268">
        <v>238</v>
      </c>
      <c r="E267" s="268">
        <v>0</v>
      </c>
      <c r="F267" s="268">
        <v>60928</v>
      </c>
      <c r="G267" s="534"/>
    </row>
    <row r="268" spans="1:7" ht="30" customHeight="1" x14ac:dyDescent="0.25">
      <c r="A268" s="268" t="s">
        <v>891</v>
      </c>
      <c r="B268" s="268" t="s">
        <v>892</v>
      </c>
      <c r="C268" s="268">
        <v>0</v>
      </c>
      <c r="D268" s="268">
        <v>205</v>
      </c>
      <c r="E268" s="268">
        <v>0</v>
      </c>
      <c r="F268" s="268">
        <v>52480</v>
      </c>
      <c r="G268" s="535"/>
    </row>
    <row r="269" spans="1:7" ht="30" customHeight="1" x14ac:dyDescent="0.25">
      <c r="A269" s="268" t="s">
        <v>893</v>
      </c>
      <c r="B269" s="268" t="s">
        <v>894</v>
      </c>
      <c r="C269" s="268">
        <v>0</v>
      </c>
      <c r="D269" s="268">
        <v>139</v>
      </c>
      <c r="E269" s="268">
        <v>0</v>
      </c>
      <c r="F269" s="268">
        <v>35584</v>
      </c>
      <c r="G269" s="536"/>
    </row>
    <row r="270" spans="1:7" ht="30" customHeight="1" x14ac:dyDescent="0.25">
      <c r="A270" s="268" t="s">
        <v>895</v>
      </c>
      <c r="B270" s="268" t="s">
        <v>896</v>
      </c>
      <c r="C270" s="268">
        <v>173</v>
      </c>
      <c r="D270" s="268">
        <v>255</v>
      </c>
      <c r="E270" s="268">
        <v>47</v>
      </c>
      <c r="F270" s="268">
        <v>3145645</v>
      </c>
      <c r="G270" s="537"/>
    </row>
    <row r="271" spans="1:7" ht="30" customHeight="1" x14ac:dyDescent="0.25">
      <c r="A271" s="268" t="s">
        <v>249</v>
      </c>
      <c r="B271" s="268" t="s">
        <v>897</v>
      </c>
      <c r="C271" s="268">
        <v>0</v>
      </c>
      <c r="D271" s="268">
        <v>128</v>
      </c>
      <c r="E271" s="268">
        <v>0</v>
      </c>
      <c r="F271" s="268">
        <v>32768</v>
      </c>
      <c r="G271" s="538"/>
    </row>
    <row r="272" spans="1:7" ht="30" customHeight="1" x14ac:dyDescent="0.25">
      <c r="A272" s="539" t="s">
        <v>898</v>
      </c>
      <c r="B272" s="287"/>
      <c r="C272" s="288">
        <v>255</v>
      </c>
      <c r="D272" s="288">
        <v>61</v>
      </c>
      <c r="E272" s="288">
        <v>13</v>
      </c>
      <c r="F272" s="287"/>
      <c r="G272" s="539"/>
    </row>
    <row r="273" spans="1:7" ht="30" customHeight="1" x14ac:dyDescent="0.25">
      <c r="A273" s="268" t="s">
        <v>158</v>
      </c>
      <c r="B273" s="268" t="s">
        <v>899</v>
      </c>
      <c r="C273" s="268">
        <v>192</v>
      </c>
      <c r="D273" s="268">
        <v>192</v>
      </c>
      <c r="E273" s="268">
        <v>192</v>
      </c>
      <c r="F273" s="268">
        <v>12632256</v>
      </c>
      <c r="G273" s="540"/>
    </row>
    <row r="274" spans="1:7" ht="30" customHeight="1" x14ac:dyDescent="0.25">
      <c r="A274" s="268" t="s">
        <v>900</v>
      </c>
      <c r="B274" s="268" t="s">
        <v>901</v>
      </c>
      <c r="C274" s="268">
        <v>240</v>
      </c>
      <c r="D274" s="268">
        <v>255</v>
      </c>
      <c r="E274" s="268">
        <v>240</v>
      </c>
      <c r="F274" s="268">
        <v>15794160</v>
      </c>
      <c r="G274" s="541"/>
    </row>
    <row r="275" spans="1:7" ht="30" customHeight="1" x14ac:dyDescent="0.25">
      <c r="A275" s="268" t="s">
        <v>902</v>
      </c>
      <c r="B275" s="268" t="s">
        <v>903</v>
      </c>
      <c r="C275" s="268">
        <v>224</v>
      </c>
      <c r="D275" s="268">
        <v>238</v>
      </c>
      <c r="E275" s="268">
        <v>224</v>
      </c>
      <c r="F275" s="268">
        <v>14741216</v>
      </c>
      <c r="G275" s="542"/>
    </row>
    <row r="276" spans="1:7" ht="30" customHeight="1" x14ac:dyDescent="0.25">
      <c r="A276" s="268" t="s">
        <v>904</v>
      </c>
      <c r="B276" s="268" t="s">
        <v>905</v>
      </c>
      <c r="C276" s="268">
        <v>193</v>
      </c>
      <c r="D276" s="268">
        <v>205</v>
      </c>
      <c r="E276" s="268">
        <v>193</v>
      </c>
      <c r="F276" s="268">
        <v>12701121</v>
      </c>
      <c r="G276" s="543"/>
    </row>
    <row r="277" spans="1:7" ht="30" customHeight="1" x14ac:dyDescent="0.25">
      <c r="A277" s="268" t="s">
        <v>906</v>
      </c>
      <c r="B277" s="268" t="s">
        <v>907</v>
      </c>
      <c r="C277" s="268">
        <v>131</v>
      </c>
      <c r="D277" s="268">
        <v>139</v>
      </c>
      <c r="E277" s="268">
        <v>131</v>
      </c>
      <c r="F277" s="268">
        <v>8620931</v>
      </c>
      <c r="G277" s="544"/>
    </row>
    <row r="278" spans="1:7" ht="30" customHeight="1" x14ac:dyDescent="0.25">
      <c r="A278" s="268" t="s">
        <v>908</v>
      </c>
      <c r="B278" s="268" t="s">
        <v>909</v>
      </c>
      <c r="C278" s="268">
        <v>255</v>
      </c>
      <c r="D278" s="268">
        <v>105</v>
      </c>
      <c r="E278" s="268">
        <v>180</v>
      </c>
      <c r="F278" s="268">
        <v>11823615</v>
      </c>
      <c r="G278" s="545"/>
    </row>
    <row r="279" spans="1:7" ht="30" customHeight="1" x14ac:dyDescent="0.25">
      <c r="A279" s="268" t="s">
        <v>910</v>
      </c>
      <c r="B279" s="268" t="s">
        <v>911</v>
      </c>
      <c r="C279" s="268">
        <v>255</v>
      </c>
      <c r="D279" s="268">
        <v>110</v>
      </c>
      <c r="E279" s="268">
        <v>180</v>
      </c>
      <c r="F279" s="268">
        <v>11824895</v>
      </c>
      <c r="G279" s="546"/>
    </row>
    <row r="280" spans="1:7" ht="30" customHeight="1" x14ac:dyDescent="0.25">
      <c r="A280" s="268" t="s">
        <v>912</v>
      </c>
      <c r="B280" s="268" t="s">
        <v>913</v>
      </c>
      <c r="C280" s="268">
        <v>238</v>
      </c>
      <c r="D280" s="268">
        <v>106</v>
      </c>
      <c r="E280" s="268">
        <v>167</v>
      </c>
      <c r="F280" s="268">
        <v>10971886</v>
      </c>
      <c r="G280" s="547"/>
    </row>
    <row r="281" spans="1:7" ht="30" customHeight="1" x14ac:dyDescent="0.25">
      <c r="A281" s="268" t="s">
        <v>914</v>
      </c>
      <c r="B281" s="268" t="s">
        <v>915</v>
      </c>
      <c r="C281" s="268">
        <v>205</v>
      </c>
      <c r="D281" s="268">
        <v>96</v>
      </c>
      <c r="E281" s="268">
        <v>144</v>
      </c>
      <c r="F281" s="268">
        <v>9461965</v>
      </c>
      <c r="G281" s="548"/>
    </row>
    <row r="282" spans="1:7" ht="30" customHeight="1" x14ac:dyDescent="0.25">
      <c r="A282" s="268" t="s">
        <v>916</v>
      </c>
      <c r="B282" s="268" t="s">
        <v>917</v>
      </c>
      <c r="C282" s="268">
        <v>139</v>
      </c>
      <c r="D282" s="268">
        <v>58</v>
      </c>
      <c r="E282" s="268">
        <v>98</v>
      </c>
      <c r="F282" s="268">
        <v>6437515</v>
      </c>
      <c r="G282" s="549"/>
    </row>
    <row r="283" spans="1:7" ht="30" customHeight="1" x14ac:dyDescent="0.25">
      <c r="A283" s="268" t="s">
        <v>918</v>
      </c>
      <c r="B283" s="268" t="s">
        <v>919</v>
      </c>
      <c r="C283" s="268">
        <v>176</v>
      </c>
      <c r="D283" s="268">
        <v>23</v>
      </c>
      <c r="E283" s="268">
        <v>31</v>
      </c>
      <c r="F283" s="268">
        <v>2037680</v>
      </c>
      <c r="G283" s="550"/>
    </row>
    <row r="284" spans="1:7" ht="30" customHeight="1" x14ac:dyDescent="0.25">
      <c r="A284" s="268" t="s">
        <v>920</v>
      </c>
      <c r="B284" s="268" t="s">
        <v>921</v>
      </c>
      <c r="C284" s="268">
        <v>255</v>
      </c>
      <c r="D284" s="268">
        <v>106</v>
      </c>
      <c r="E284" s="268">
        <v>106</v>
      </c>
      <c r="F284" s="268">
        <v>6974207</v>
      </c>
      <c r="G284" s="551"/>
    </row>
    <row r="285" spans="1:7" ht="30" customHeight="1" x14ac:dyDescent="0.25">
      <c r="A285" s="268" t="s">
        <v>922</v>
      </c>
      <c r="B285" s="268" t="s">
        <v>923</v>
      </c>
      <c r="C285" s="268">
        <v>238</v>
      </c>
      <c r="D285" s="268">
        <v>99</v>
      </c>
      <c r="E285" s="268">
        <v>99</v>
      </c>
      <c r="F285" s="268">
        <v>6513646</v>
      </c>
      <c r="G285" s="552"/>
    </row>
    <row r="286" spans="1:7" ht="30" customHeight="1" x14ac:dyDescent="0.25">
      <c r="A286" s="268" t="s">
        <v>924</v>
      </c>
      <c r="B286" s="268" t="s">
        <v>925</v>
      </c>
      <c r="C286" s="268">
        <v>205</v>
      </c>
      <c r="D286" s="268">
        <v>85</v>
      </c>
      <c r="E286" s="268">
        <v>85</v>
      </c>
      <c r="F286" s="268">
        <v>5592525</v>
      </c>
      <c r="G286" s="553"/>
    </row>
    <row r="287" spans="1:7" ht="30" customHeight="1" x14ac:dyDescent="0.25">
      <c r="A287" s="268" t="s">
        <v>926</v>
      </c>
      <c r="B287" s="268" t="s">
        <v>927</v>
      </c>
      <c r="C287" s="268">
        <v>205</v>
      </c>
      <c r="D287" s="268">
        <v>92</v>
      </c>
      <c r="E287" s="268">
        <v>92</v>
      </c>
      <c r="F287" s="268">
        <v>6053069</v>
      </c>
      <c r="G287" s="554"/>
    </row>
    <row r="288" spans="1:7" ht="30" customHeight="1" x14ac:dyDescent="0.25">
      <c r="A288" s="268" t="s">
        <v>928</v>
      </c>
      <c r="B288" s="268" t="s">
        <v>929</v>
      </c>
      <c r="C288" s="268">
        <v>139</v>
      </c>
      <c r="D288" s="268">
        <v>58</v>
      </c>
      <c r="E288" s="268">
        <v>58</v>
      </c>
      <c r="F288" s="268">
        <v>3816075</v>
      </c>
      <c r="G288" s="555"/>
    </row>
    <row r="289" spans="1:7" ht="30" customHeight="1" x14ac:dyDescent="0.25">
      <c r="A289" s="556" t="s">
        <v>289</v>
      </c>
      <c r="B289" s="287"/>
      <c r="C289" s="288">
        <v>8</v>
      </c>
      <c r="D289" s="288">
        <v>46</v>
      </c>
      <c r="E289" s="288">
        <v>84</v>
      </c>
      <c r="F289" s="287"/>
      <c r="G289" s="556"/>
    </row>
    <row r="290" spans="1:7" ht="30" customHeight="1" x14ac:dyDescent="0.25">
      <c r="A290" s="268" t="s">
        <v>930</v>
      </c>
      <c r="B290" s="268" t="s">
        <v>931</v>
      </c>
      <c r="C290" s="268">
        <v>75</v>
      </c>
      <c r="D290" s="268">
        <v>0</v>
      </c>
      <c r="E290" s="268">
        <v>130</v>
      </c>
      <c r="F290" s="268">
        <v>8519755</v>
      </c>
      <c r="G290" s="557"/>
    </row>
    <row r="291" spans="1:7" ht="30" customHeight="1" x14ac:dyDescent="0.25">
      <c r="A291" s="268" t="s">
        <v>932</v>
      </c>
      <c r="B291" s="268" t="s">
        <v>933</v>
      </c>
      <c r="C291" s="268">
        <v>33</v>
      </c>
      <c r="D291" s="268">
        <v>136</v>
      </c>
      <c r="E291" s="268">
        <v>104</v>
      </c>
      <c r="F291" s="268">
        <v>6850593</v>
      </c>
      <c r="G291" s="558"/>
    </row>
    <row r="292" spans="1:7" ht="30" customHeight="1" x14ac:dyDescent="0.25">
      <c r="A292" s="268" t="s">
        <v>934</v>
      </c>
      <c r="B292" s="268" t="s">
        <v>935</v>
      </c>
      <c r="C292" s="268">
        <v>255</v>
      </c>
      <c r="D292" s="268">
        <v>255</v>
      </c>
      <c r="E292" s="268">
        <v>240</v>
      </c>
      <c r="F292" s="268">
        <v>15794175</v>
      </c>
      <c r="G292" s="559"/>
    </row>
    <row r="293" spans="1:7" ht="30" customHeight="1" x14ac:dyDescent="0.25">
      <c r="A293" s="268" t="s">
        <v>936</v>
      </c>
      <c r="B293" s="268" t="s">
        <v>937</v>
      </c>
      <c r="C293" s="268">
        <v>238</v>
      </c>
      <c r="D293" s="268">
        <v>238</v>
      </c>
      <c r="E293" s="268">
        <v>224</v>
      </c>
      <c r="F293" s="268">
        <v>14741230</v>
      </c>
      <c r="G293" s="560"/>
    </row>
    <row r="294" spans="1:7" ht="30" customHeight="1" x14ac:dyDescent="0.25">
      <c r="A294" s="268" t="s">
        <v>938</v>
      </c>
      <c r="B294" s="268" t="s">
        <v>939</v>
      </c>
      <c r="C294" s="268">
        <v>205</v>
      </c>
      <c r="D294" s="268">
        <v>205</v>
      </c>
      <c r="E294" s="268">
        <v>193</v>
      </c>
      <c r="F294" s="268">
        <v>12701133</v>
      </c>
      <c r="G294" s="561"/>
    </row>
    <row r="295" spans="1:7" ht="30" customHeight="1" x14ac:dyDescent="0.25">
      <c r="A295" s="268" t="s">
        <v>940</v>
      </c>
      <c r="B295" s="268" t="s">
        <v>941</v>
      </c>
      <c r="C295" s="268">
        <v>139</v>
      </c>
      <c r="D295" s="268">
        <v>139</v>
      </c>
      <c r="E295" s="268">
        <v>131</v>
      </c>
      <c r="F295" s="268">
        <v>8620939</v>
      </c>
      <c r="G295" s="562"/>
    </row>
    <row r="296" spans="1:7" ht="30" customHeight="1" x14ac:dyDescent="0.25">
      <c r="A296" s="268" t="s">
        <v>942</v>
      </c>
      <c r="B296" s="268" t="s">
        <v>943</v>
      </c>
      <c r="C296" s="268">
        <v>41</v>
      </c>
      <c r="D296" s="268">
        <v>36</v>
      </c>
      <c r="E296" s="268">
        <v>33</v>
      </c>
      <c r="F296" s="268">
        <v>2171945</v>
      </c>
      <c r="G296" s="563"/>
    </row>
    <row r="297" spans="1:7" ht="30" customHeight="1" x14ac:dyDescent="0.25">
      <c r="A297" s="268" t="s">
        <v>204</v>
      </c>
      <c r="B297" s="268" t="s">
        <v>944</v>
      </c>
      <c r="C297" s="268">
        <v>240</v>
      </c>
      <c r="D297" s="268">
        <v>230</v>
      </c>
      <c r="E297" s="268">
        <v>140</v>
      </c>
      <c r="F297" s="268">
        <v>9234160</v>
      </c>
      <c r="G297" s="564"/>
    </row>
    <row r="298" spans="1:7" ht="30" customHeight="1" x14ac:dyDescent="0.25">
      <c r="A298" s="268" t="s">
        <v>945</v>
      </c>
      <c r="B298" s="268" t="s">
        <v>946</v>
      </c>
      <c r="C298" s="268">
        <v>255</v>
      </c>
      <c r="D298" s="268">
        <v>246</v>
      </c>
      <c r="E298" s="268">
        <v>143</v>
      </c>
      <c r="F298" s="268">
        <v>9434879</v>
      </c>
      <c r="G298" s="565"/>
    </row>
    <row r="299" spans="1:7" ht="30" customHeight="1" x14ac:dyDescent="0.25">
      <c r="A299" s="268" t="s">
        <v>947</v>
      </c>
      <c r="B299" s="268" t="s">
        <v>948</v>
      </c>
      <c r="C299" s="268">
        <v>238</v>
      </c>
      <c r="D299" s="268">
        <v>230</v>
      </c>
      <c r="E299" s="268">
        <v>133</v>
      </c>
      <c r="F299" s="268">
        <v>8775406</v>
      </c>
      <c r="G299" s="566"/>
    </row>
    <row r="300" spans="1:7" ht="30" customHeight="1" x14ac:dyDescent="0.25">
      <c r="A300" s="268" t="s">
        <v>949</v>
      </c>
      <c r="B300" s="268" t="s">
        <v>950</v>
      </c>
      <c r="C300" s="268">
        <v>205</v>
      </c>
      <c r="D300" s="268">
        <v>198</v>
      </c>
      <c r="E300" s="268">
        <v>115</v>
      </c>
      <c r="F300" s="268">
        <v>7587533</v>
      </c>
      <c r="G300" s="567"/>
    </row>
    <row r="301" spans="1:7" ht="30" customHeight="1" x14ac:dyDescent="0.25">
      <c r="A301" s="268" t="s">
        <v>951</v>
      </c>
      <c r="B301" s="268" t="s">
        <v>952</v>
      </c>
      <c r="C301" s="268">
        <v>139</v>
      </c>
      <c r="D301" s="268">
        <v>134</v>
      </c>
      <c r="E301" s="268">
        <v>78</v>
      </c>
      <c r="F301" s="268">
        <v>5146251</v>
      </c>
      <c r="G301" s="568"/>
    </row>
    <row r="302" spans="1:7" ht="30" customHeight="1" x14ac:dyDescent="0.25">
      <c r="A302" s="569" t="s">
        <v>953</v>
      </c>
      <c r="B302" s="287"/>
      <c r="C302" s="288">
        <v>46</v>
      </c>
      <c r="D302" s="288">
        <v>71</v>
      </c>
      <c r="E302" s="288">
        <v>59</v>
      </c>
      <c r="F302" s="287"/>
      <c r="G302" s="569"/>
    </row>
    <row r="303" spans="1:7" ht="30" customHeight="1" x14ac:dyDescent="0.25">
      <c r="A303" s="268" t="s">
        <v>136</v>
      </c>
      <c r="B303" s="268" t="s">
        <v>954</v>
      </c>
      <c r="C303" s="268">
        <v>230</v>
      </c>
      <c r="D303" s="268">
        <v>230</v>
      </c>
      <c r="E303" s="268">
        <v>250</v>
      </c>
      <c r="F303" s="268">
        <v>16443110</v>
      </c>
      <c r="G303" s="570"/>
    </row>
    <row r="304" spans="1:7" ht="30" customHeight="1" x14ac:dyDescent="0.25">
      <c r="A304" s="268" t="s">
        <v>955</v>
      </c>
      <c r="B304" s="268" t="s">
        <v>956</v>
      </c>
      <c r="C304" s="268">
        <v>255</v>
      </c>
      <c r="D304" s="268">
        <v>240</v>
      </c>
      <c r="E304" s="268">
        <v>245</v>
      </c>
      <c r="F304" s="268">
        <v>16118015</v>
      </c>
      <c r="G304" s="571"/>
    </row>
    <row r="305" spans="1:7" ht="30" customHeight="1" x14ac:dyDescent="0.25">
      <c r="A305" s="268" t="s">
        <v>957</v>
      </c>
      <c r="B305" s="268" t="s">
        <v>958</v>
      </c>
      <c r="C305" s="268">
        <v>238</v>
      </c>
      <c r="D305" s="268">
        <v>224</v>
      </c>
      <c r="E305" s="268">
        <v>229</v>
      </c>
      <c r="F305" s="268">
        <v>15065326</v>
      </c>
      <c r="G305" s="572"/>
    </row>
    <row r="306" spans="1:7" ht="30" customHeight="1" x14ac:dyDescent="0.25">
      <c r="A306" s="268" t="s">
        <v>959</v>
      </c>
      <c r="B306" s="268" t="s">
        <v>960</v>
      </c>
      <c r="C306" s="268">
        <v>205</v>
      </c>
      <c r="D306" s="268">
        <v>193</v>
      </c>
      <c r="E306" s="268">
        <v>197</v>
      </c>
      <c r="F306" s="268">
        <v>12960205</v>
      </c>
      <c r="G306" s="573"/>
    </row>
    <row r="307" spans="1:7" ht="30" customHeight="1" x14ac:dyDescent="0.25">
      <c r="A307" s="268" t="s">
        <v>961</v>
      </c>
      <c r="B307" s="268" t="s">
        <v>962</v>
      </c>
      <c r="C307" s="268">
        <v>139</v>
      </c>
      <c r="D307" s="268">
        <v>131</v>
      </c>
      <c r="E307" s="268">
        <v>134</v>
      </c>
      <c r="F307" s="268">
        <v>8815499</v>
      </c>
      <c r="G307" s="574"/>
    </row>
    <row r="308" spans="1:7" ht="30" customHeight="1" x14ac:dyDescent="0.25">
      <c r="A308" s="268" t="s">
        <v>963</v>
      </c>
      <c r="B308" s="268" t="s">
        <v>964</v>
      </c>
      <c r="C308" s="268">
        <v>124</v>
      </c>
      <c r="D308" s="268">
        <v>252</v>
      </c>
      <c r="E308" s="268">
        <v>0</v>
      </c>
      <c r="F308" s="268">
        <v>64636</v>
      </c>
      <c r="G308" s="575"/>
    </row>
    <row r="309" spans="1:7" ht="30" customHeight="1" x14ac:dyDescent="0.25">
      <c r="A309" s="268" t="s">
        <v>965</v>
      </c>
      <c r="B309" s="268" t="s">
        <v>966</v>
      </c>
      <c r="C309" s="268">
        <v>255</v>
      </c>
      <c r="D309" s="268">
        <v>250</v>
      </c>
      <c r="E309" s="268">
        <v>205</v>
      </c>
      <c r="F309" s="268">
        <v>13499135</v>
      </c>
      <c r="G309" s="576"/>
    </row>
    <row r="310" spans="1:7" ht="30" customHeight="1" x14ac:dyDescent="0.25">
      <c r="A310" s="268" t="s">
        <v>967</v>
      </c>
      <c r="B310" s="268" t="s">
        <v>968</v>
      </c>
      <c r="C310" s="268">
        <v>238</v>
      </c>
      <c r="D310" s="268">
        <v>233</v>
      </c>
      <c r="E310" s="268">
        <v>191</v>
      </c>
      <c r="F310" s="268">
        <v>12577262</v>
      </c>
      <c r="G310" s="577"/>
    </row>
    <row r="311" spans="1:7" ht="30" customHeight="1" x14ac:dyDescent="0.25">
      <c r="A311" s="268" t="s">
        <v>969</v>
      </c>
      <c r="B311" s="268" t="s">
        <v>970</v>
      </c>
      <c r="C311" s="268">
        <v>205</v>
      </c>
      <c r="D311" s="268">
        <v>201</v>
      </c>
      <c r="E311" s="268">
        <v>165</v>
      </c>
      <c r="F311" s="268">
        <v>10865101</v>
      </c>
      <c r="G311" s="578"/>
    </row>
    <row r="312" spans="1:7" ht="30" customHeight="1" x14ac:dyDescent="0.25">
      <c r="A312" s="268" t="s">
        <v>971</v>
      </c>
      <c r="B312" s="268" t="s">
        <v>972</v>
      </c>
      <c r="C312" s="268">
        <v>139</v>
      </c>
      <c r="D312" s="268">
        <v>137</v>
      </c>
      <c r="E312" s="268">
        <v>112</v>
      </c>
      <c r="F312" s="268">
        <v>7375243</v>
      </c>
      <c r="G312" s="579"/>
    </row>
    <row r="313" spans="1:7" ht="30" customHeight="1" x14ac:dyDescent="0.25">
      <c r="A313" s="268" t="s">
        <v>973</v>
      </c>
      <c r="B313" s="268" t="s">
        <v>974</v>
      </c>
      <c r="C313" s="268">
        <v>238</v>
      </c>
      <c r="D313" s="268">
        <v>220</v>
      </c>
      <c r="E313" s="268">
        <v>130</v>
      </c>
      <c r="F313" s="268">
        <v>8576238</v>
      </c>
      <c r="G313" s="580"/>
    </row>
    <row r="314" spans="1:7" ht="30" customHeight="1" x14ac:dyDescent="0.25">
      <c r="A314" s="268" t="s">
        <v>975</v>
      </c>
      <c r="B314" s="268" t="s">
        <v>976</v>
      </c>
      <c r="C314" s="268">
        <v>173</v>
      </c>
      <c r="D314" s="268">
        <v>216</v>
      </c>
      <c r="E314" s="268">
        <v>230</v>
      </c>
      <c r="F314" s="268">
        <v>15128749</v>
      </c>
      <c r="G314" s="581"/>
    </row>
    <row r="315" spans="1:7" ht="30" customHeight="1" x14ac:dyDescent="0.25">
      <c r="A315" s="268" t="s">
        <v>977</v>
      </c>
      <c r="B315" s="268" t="s">
        <v>978</v>
      </c>
      <c r="C315" s="268">
        <v>191</v>
      </c>
      <c r="D315" s="268">
        <v>239</v>
      </c>
      <c r="E315" s="268">
        <v>255</v>
      </c>
      <c r="F315" s="268">
        <v>16773055</v>
      </c>
      <c r="G315" s="582"/>
    </row>
    <row r="316" spans="1:7" ht="30" customHeight="1" x14ac:dyDescent="0.25">
      <c r="A316" s="268" t="s">
        <v>979</v>
      </c>
      <c r="B316" s="268" t="s">
        <v>980</v>
      </c>
      <c r="C316" s="268">
        <v>178</v>
      </c>
      <c r="D316" s="268">
        <v>223</v>
      </c>
      <c r="E316" s="268">
        <v>238</v>
      </c>
      <c r="F316" s="268">
        <v>15654834</v>
      </c>
      <c r="G316" s="583"/>
    </row>
    <row r="317" spans="1:7" ht="30" customHeight="1" x14ac:dyDescent="0.25">
      <c r="A317" s="268" t="s">
        <v>981</v>
      </c>
      <c r="B317" s="268" t="s">
        <v>982</v>
      </c>
      <c r="C317" s="268">
        <v>154</v>
      </c>
      <c r="D317" s="268">
        <v>192</v>
      </c>
      <c r="E317" s="268">
        <v>205</v>
      </c>
      <c r="F317" s="268">
        <v>13484186</v>
      </c>
      <c r="G317" s="584"/>
    </row>
    <row r="318" spans="1:7" ht="30" customHeight="1" x14ac:dyDescent="0.25">
      <c r="A318" s="268" t="s">
        <v>983</v>
      </c>
      <c r="B318" s="268" t="s">
        <v>984</v>
      </c>
      <c r="C318" s="268">
        <v>104</v>
      </c>
      <c r="D318" s="268">
        <v>131</v>
      </c>
      <c r="E318" s="268">
        <v>139</v>
      </c>
      <c r="F318" s="268">
        <v>9143144</v>
      </c>
      <c r="G318" s="585"/>
    </row>
    <row r="319" spans="1:7" ht="30" customHeight="1" x14ac:dyDescent="0.25">
      <c r="A319" s="268" t="s">
        <v>985</v>
      </c>
      <c r="B319" s="268" t="s">
        <v>986</v>
      </c>
      <c r="C319" s="268">
        <v>240</v>
      </c>
      <c r="D319" s="268">
        <v>128</v>
      </c>
      <c r="E319" s="268">
        <v>128</v>
      </c>
      <c r="F319" s="268">
        <v>8421616</v>
      </c>
      <c r="G319" s="586"/>
    </row>
    <row r="320" spans="1:7" ht="30" customHeight="1" x14ac:dyDescent="0.25">
      <c r="A320" s="268" t="s">
        <v>987</v>
      </c>
      <c r="B320" s="268" t="s">
        <v>988</v>
      </c>
      <c r="C320" s="268">
        <v>224</v>
      </c>
      <c r="D320" s="268">
        <v>255</v>
      </c>
      <c r="E320" s="268">
        <v>255</v>
      </c>
      <c r="F320" s="268">
        <v>16777184</v>
      </c>
      <c r="G320" s="587"/>
    </row>
    <row r="321" spans="1:7" ht="30" customHeight="1" x14ac:dyDescent="0.25">
      <c r="A321" s="268" t="s">
        <v>989</v>
      </c>
      <c r="B321" s="268" t="s">
        <v>990</v>
      </c>
      <c r="C321" s="268">
        <v>209</v>
      </c>
      <c r="D321" s="268">
        <v>238</v>
      </c>
      <c r="E321" s="268">
        <v>238</v>
      </c>
      <c r="F321" s="268">
        <v>15658705</v>
      </c>
      <c r="G321" s="588"/>
    </row>
    <row r="322" spans="1:7" ht="30" customHeight="1" x14ac:dyDescent="0.25">
      <c r="A322" s="268" t="s">
        <v>991</v>
      </c>
      <c r="B322" s="268" t="s">
        <v>992</v>
      </c>
      <c r="C322" s="268">
        <v>180</v>
      </c>
      <c r="D322" s="268">
        <v>205</v>
      </c>
      <c r="E322" s="268">
        <v>205</v>
      </c>
      <c r="F322" s="268">
        <v>13487540</v>
      </c>
      <c r="G322" s="589"/>
    </row>
    <row r="323" spans="1:7" ht="30" customHeight="1" x14ac:dyDescent="0.25">
      <c r="A323" s="268" t="s">
        <v>993</v>
      </c>
      <c r="B323" s="268" t="s">
        <v>994</v>
      </c>
      <c r="C323" s="268">
        <v>122</v>
      </c>
      <c r="D323" s="268">
        <v>139</v>
      </c>
      <c r="E323" s="268">
        <v>139</v>
      </c>
      <c r="F323" s="268">
        <v>9145210</v>
      </c>
      <c r="G323" s="590"/>
    </row>
    <row r="324" spans="1:7" ht="30" customHeight="1" x14ac:dyDescent="0.25">
      <c r="A324" s="591" t="s">
        <v>995</v>
      </c>
      <c r="B324" s="287"/>
      <c r="C324" s="288">
        <v>238</v>
      </c>
      <c r="D324" s="288">
        <v>221</v>
      </c>
      <c r="E324" s="288">
        <v>130</v>
      </c>
      <c r="F324" s="287"/>
      <c r="G324" s="591"/>
    </row>
    <row r="325" spans="1:7" ht="30" customHeight="1" x14ac:dyDescent="0.25">
      <c r="A325" s="268" t="s">
        <v>996</v>
      </c>
      <c r="B325" s="268" t="s">
        <v>997</v>
      </c>
      <c r="C325" s="268">
        <v>255</v>
      </c>
      <c r="D325" s="268">
        <v>236</v>
      </c>
      <c r="E325" s="268">
        <v>139</v>
      </c>
      <c r="F325" s="268">
        <v>9170175</v>
      </c>
      <c r="G325" s="592"/>
    </row>
    <row r="326" spans="1:7" ht="30" customHeight="1" x14ac:dyDescent="0.25">
      <c r="A326" s="268" t="s">
        <v>998</v>
      </c>
      <c r="B326" s="268" t="s">
        <v>999</v>
      </c>
      <c r="C326" s="268">
        <v>205</v>
      </c>
      <c r="D326" s="268">
        <v>190</v>
      </c>
      <c r="E326" s="268">
        <v>112</v>
      </c>
      <c r="F326" s="268">
        <v>7388877</v>
      </c>
      <c r="G326" s="593"/>
    </row>
    <row r="327" spans="1:7" ht="30" customHeight="1" x14ac:dyDescent="0.25">
      <c r="A327" s="268" t="s">
        <v>1000</v>
      </c>
      <c r="B327" s="268" t="s">
        <v>1001</v>
      </c>
      <c r="C327" s="268">
        <v>139</v>
      </c>
      <c r="D327" s="268">
        <v>129</v>
      </c>
      <c r="E327" s="268">
        <v>76</v>
      </c>
      <c r="F327" s="268">
        <v>5013899</v>
      </c>
      <c r="G327" s="594"/>
    </row>
    <row r="328" spans="1:7" ht="30" customHeight="1" x14ac:dyDescent="0.25">
      <c r="A328" s="268" t="s">
        <v>1002</v>
      </c>
      <c r="B328" s="268" t="s">
        <v>1003</v>
      </c>
      <c r="C328" s="268">
        <v>250</v>
      </c>
      <c r="D328" s="268">
        <v>250</v>
      </c>
      <c r="E328" s="268">
        <v>210</v>
      </c>
      <c r="F328" s="268">
        <v>13826810</v>
      </c>
      <c r="G328" s="595"/>
    </row>
    <row r="329" spans="1:7" ht="30" customHeight="1" x14ac:dyDescent="0.25">
      <c r="A329" s="268" t="s">
        <v>1004</v>
      </c>
      <c r="B329" s="268" t="s">
        <v>1005</v>
      </c>
      <c r="C329" s="268">
        <v>211</v>
      </c>
      <c r="D329" s="268">
        <v>211</v>
      </c>
      <c r="E329" s="268">
        <v>211</v>
      </c>
      <c r="F329" s="268">
        <v>13882323</v>
      </c>
      <c r="G329" s="596"/>
    </row>
    <row r="330" spans="1:7" ht="30" customHeight="1" x14ac:dyDescent="0.25">
      <c r="A330" s="268" t="s">
        <v>1006</v>
      </c>
      <c r="B330" s="268" t="s">
        <v>1007</v>
      </c>
      <c r="C330" s="268">
        <v>255</v>
      </c>
      <c r="D330" s="268">
        <v>182</v>
      </c>
      <c r="E330" s="268">
        <v>193</v>
      </c>
      <c r="F330" s="268">
        <v>12695295</v>
      </c>
      <c r="G330" s="597"/>
    </row>
    <row r="331" spans="1:7" ht="30" customHeight="1" x14ac:dyDescent="0.25">
      <c r="A331" s="268" t="s">
        <v>1008</v>
      </c>
      <c r="B331" s="268" t="s">
        <v>1009</v>
      </c>
      <c r="C331" s="268">
        <v>255</v>
      </c>
      <c r="D331" s="268">
        <v>174</v>
      </c>
      <c r="E331" s="268">
        <v>185</v>
      </c>
      <c r="F331" s="268">
        <v>12168959</v>
      </c>
      <c r="G331" s="598"/>
    </row>
    <row r="332" spans="1:7" ht="30" customHeight="1" x14ac:dyDescent="0.25">
      <c r="A332" s="268" t="s">
        <v>1010</v>
      </c>
      <c r="B332" s="268" t="s">
        <v>1011</v>
      </c>
      <c r="C332" s="268">
        <v>238</v>
      </c>
      <c r="D332" s="268">
        <v>162</v>
      </c>
      <c r="E332" s="268">
        <v>173</v>
      </c>
      <c r="F332" s="268">
        <v>11379438</v>
      </c>
      <c r="G332" s="599"/>
    </row>
    <row r="333" spans="1:7" ht="30" customHeight="1" x14ac:dyDescent="0.25">
      <c r="A333" s="268" t="s">
        <v>1012</v>
      </c>
      <c r="B333" s="268" t="s">
        <v>1013</v>
      </c>
      <c r="C333" s="268">
        <v>205</v>
      </c>
      <c r="D333" s="268">
        <v>140</v>
      </c>
      <c r="E333" s="268">
        <v>149</v>
      </c>
      <c r="F333" s="268">
        <v>9800909</v>
      </c>
      <c r="G333" s="600"/>
    </row>
    <row r="334" spans="1:7" ht="30" customHeight="1" x14ac:dyDescent="0.25">
      <c r="A334" s="268" t="s">
        <v>1014</v>
      </c>
      <c r="B334" s="268" t="s">
        <v>1015</v>
      </c>
      <c r="C334" s="268">
        <v>139</v>
      </c>
      <c r="D334" s="268">
        <v>95</v>
      </c>
      <c r="E334" s="268">
        <v>101</v>
      </c>
      <c r="F334" s="268">
        <v>6643595</v>
      </c>
      <c r="G334" s="601"/>
    </row>
    <row r="335" spans="1:7" ht="30" customHeight="1" x14ac:dyDescent="0.25">
      <c r="A335" s="268" t="s">
        <v>1016</v>
      </c>
      <c r="B335" s="268" t="s">
        <v>1017</v>
      </c>
      <c r="C335" s="268">
        <v>255</v>
      </c>
      <c r="D335" s="268">
        <v>160</v>
      </c>
      <c r="E335" s="268">
        <v>122</v>
      </c>
      <c r="F335" s="268">
        <v>8036607</v>
      </c>
      <c r="G335" s="602"/>
    </row>
    <row r="336" spans="1:7" ht="30" customHeight="1" x14ac:dyDescent="0.25">
      <c r="A336" s="268" t="s">
        <v>1018</v>
      </c>
      <c r="B336" s="268" t="s">
        <v>1019</v>
      </c>
      <c r="C336" s="268">
        <v>238</v>
      </c>
      <c r="D336" s="268">
        <v>149</v>
      </c>
      <c r="E336" s="268">
        <v>114</v>
      </c>
      <c r="F336" s="268">
        <v>7509486</v>
      </c>
      <c r="G336" s="603"/>
    </row>
    <row r="337" spans="1:7" ht="30" customHeight="1" x14ac:dyDescent="0.25">
      <c r="A337" s="268" t="s">
        <v>1020</v>
      </c>
      <c r="B337" s="268" t="s">
        <v>1021</v>
      </c>
      <c r="C337" s="268">
        <v>205</v>
      </c>
      <c r="D337" s="268">
        <v>129</v>
      </c>
      <c r="E337" s="268">
        <v>98</v>
      </c>
      <c r="F337" s="268">
        <v>6455757</v>
      </c>
      <c r="G337" s="604"/>
    </row>
    <row r="338" spans="1:7" ht="30" customHeight="1" x14ac:dyDescent="0.25">
      <c r="A338" s="268" t="s">
        <v>1022</v>
      </c>
      <c r="B338" s="268" t="s">
        <v>1023</v>
      </c>
      <c r="C338" s="268">
        <v>139</v>
      </c>
      <c r="D338" s="268">
        <v>87</v>
      </c>
      <c r="E338" s="268">
        <v>66</v>
      </c>
      <c r="F338" s="268">
        <v>4347787</v>
      </c>
      <c r="G338" s="605"/>
    </row>
    <row r="339" spans="1:7" ht="30" customHeight="1" x14ac:dyDescent="0.25">
      <c r="A339" s="268" t="s">
        <v>1024</v>
      </c>
      <c r="B339" s="268" t="s">
        <v>1025</v>
      </c>
      <c r="C339" s="268">
        <v>32</v>
      </c>
      <c r="D339" s="268">
        <v>178</v>
      </c>
      <c r="E339" s="268">
        <v>170</v>
      </c>
      <c r="F339" s="268">
        <v>11186720</v>
      </c>
      <c r="G339" s="606"/>
    </row>
    <row r="340" spans="1:7" ht="30" customHeight="1" x14ac:dyDescent="0.25">
      <c r="A340" s="268" t="s">
        <v>1026</v>
      </c>
      <c r="B340" s="268" t="s">
        <v>1027</v>
      </c>
      <c r="C340" s="268">
        <v>135</v>
      </c>
      <c r="D340" s="268">
        <v>206</v>
      </c>
      <c r="E340" s="268">
        <v>250</v>
      </c>
      <c r="F340" s="268">
        <v>16436871</v>
      </c>
      <c r="G340" s="607"/>
    </row>
    <row r="341" spans="1:7" ht="30" customHeight="1" x14ac:dyDescent="0.25">
      <c r="A341" s="268" t="s">
        <v>1028</v>
      </c>
      <c r="B341" s="268" t="s">
        <v>1029</v>
      </c>
      <c r="C341" s="268">
        <v>176</v>
      </c>
      <c r="D341" s="268">
        <v>226</v>
      </c>
      <c r="E341" s="268">
        <v>255</v>
      </c>
      <c r="F341" s="268">
        <v>16769712</v>
      </c>
      <c r="G341" s="608"/>
    </row>
    <row r="342" spans="1:7" ht="30" customHeight="1" x14ac:dyDescent="0.25">
      <c r="A342" s="268" t="s">
        <v>1030</v>
      </c>
      <c r="B342" s="268" t="s">
        <v>1031</v>
      </c>
      <c r="C342" s="268">
        <v>164</v>
      </c>
      <c r="D342" s="268">
        <v>211</v>
      </c>
      <c r="E342" s="268">
        <v>238</v>
      </c>
      <c r="F342" s="268">
        <v>15651748</v>
      </c>
      <c r="G342" s="609"/>
    </row>
    <row r="343" spans="1:7" ht="30" customHeight="1" x14ac:dyDescent="0.25">
      <c r="A343" s="268" t="s">
        <v>1032</v>
      </c>
      <c r="B343" s="268" t="s">
        <v>1033</v>
      </c>
      <c r="C343" s="268">
        <v>141</v>
      </c>
      <c r="D343" s="268">
        <v>182</v>
      </c>
      <c r="E343" s="268">
        <v>205</v>
      </c>
      <c r="F343" s="268">
        <v>13481613</v>
      </c>
      <c r="G343" s="610"/>
    </row>
    <row r="344" spans="1:7" ht="30" customHeight="1" x14ac:dyDescent="0.25">
      <c r="A344" s="268" t="s">
        <v>1034</v>
      </c>
      <c r="B344" s="268" t="s">
        <v>1035</v>
      </c>
      <c r="C344" s="268">
        <v>96</v>
      </c>
      <c r="D344" s="268">
        <v>123</v>
      </c>
      <c r="E344" s="268">
        <v>139</v>
      </c>
      <c r="F344" s="268">
        <v>9141088</v>
      </c>
      <c r="G344" s="611"/>
    </row>
    <row r="345" spans="1:7" ht="30" customHeight="1" x14ac:dyDescent="0.25">
      <c r="A345" s="268" t="s">
        <v>1036</v>
      </c>
      <c r="B345" s="268" t="s">
        <v>1037</v>
      </c>
      <c r="C345" s="268">
        <v>132</v>
      </c>
      <c r="D345" s="268">
        <v>112</v>
      </c>
      <c r="E345" s="268">
        <v>255</v>
      </c>
      <c r="F345" s="268">
        <v>16740484</v>
      </c>
      <c r="G345" s="612"/>
    </row>
    <row r="346" spans="1:7" ht="30" customHeight="1" x14ac:dyDescent="0.25">
      <c r="A346" s="268" t="s">
        <v>1038</v>
      </c>
      <c r="B346" s="268" t="s">
        <v>1039</v>
      </c>
      <c r="C346" s="268">
        <v>119</v>
      </c>
      <c r="D346" s="268">
        <v>136</v>
      </c>
      <c r="E346" s="268">
        <v>153</v>
      </c>
      <c r="F346" s="268">
        <v>10061943</v>
      </c>
      <c r="G346" s="613"/>
    </row>
    <row r="347" spans="1:7" ht="30" customHeight="1" x14ac:dyDescent="0.25">
      <c r="A347" s="268" t="s">
        <v>1040</v>
      </c>
      <c r="B347" s="268" t="s">
        <v>1041</v>
      </c>
      <c r="C347" s="268">
        <v>176</v>
      </c>
      <c r="D347" s="268">
        <v>196</v>
      </c>
      <c r="E347" s="268">
        <v>222</v>
      </c>
      <c r="F347" s="268">
        <v>14599344</v>
      </c>
      <c r="G347" s="614"/>
    </row>
    <row r="348" spans="1:7" ht="30" customHeight="1" x14ac:dyDescent="0.25">
      <c r="A348" s="268" t="s">
        <v>1042</v>
      </c>
      <c r="B348" s="268" t="s">
        <v>1043</v>
      </c>
      <c r="C348" s="268">
        <v>202</v>
      </c>
      <c r="D348" s="268">
        <v>225</v>
      </c>
      <c r="E348" s="268">
        <v>255</v>
      </c>
      <c r="F348" s="268">
        <v>16769482</v>
      </c>
      <c r="G348" s="615"/>
    </row>
    <row r="349" spans="1:7" ht="30" customHeight="1" x14ac:dyDescent="0.25">
      <c r="A349" s="268" t="s">
        <v>1044</v>
      </c>
      <c r="B349" s="268" t="s">
        <v>1045</v>
      </c>
      <c r="C349" s="268">
        <v>188</v>
      </c>
      <c r="D349" s="268">
        <v>210</v>
      </c>
      <c r="E349" s="268">
        <v>238</v>
      </c>
      <c r="F349" s="268">
        <v>15651516</v>
      </c>
      <c r="G349" s="616"/>
    </row>
    <row r="350" spans="1:7" ht="30" customHeight="1" x14ac:dyDescent="0.25">
      <c r="A350" s="268" t="s">
        <v>1046</v>
      </c>
      <c r="B350" s="268" t="s">
        <v>1047</v>
      </c>
      <c r="C350" s="268">
        <v>162</v>
      </c>
      <c r="D350" s="268">
        <v>181</v>
      </c>
      <c r="E350" s="268">
        <v>205</v>
      </c>
      <c r="F350" s="268">
        <v>13481378</v>
      </c>
      <c r="G350" s="617"/>
    </row>
    <row r="351" spans="1:7" ht="30" customHeight="1" x14ac:dyDescent="0.25">
      <c r="A351" s="268" t="s">
        <v>1048</v>
      </c>
      <c r="B351" s="268" t="s">
        <v>1049</v>
      </c>
      <c r="C351" s="268">
        <v>110</v>
      </c>
      <c r="D351" s="268">
        <v>123</v>
      </c>
      <c r="E351" s="268">
        <v>139</v>
      </c>
      <c r="F351" s="268">
        <v>9141102</v>
      </c>
      <c r="G351" s="618"/>
    </row>
    <row r="352" spans="1:7" ht="30" customHeight="1" x14ac:dyDescent="0.25">
      <c r="A352" s="268" t="s">
        <v>1050</v>
      </c>
      <c r="B352" s="268" t="s">
        <v>1051</v>
      </c>
      <c r="C352" s="268">
        <v>255</v>
      </c>
      <c r="D352" s="268">
        <v>255</v>
      </c>
      <c r="E352" s="268">
        <v>224</v>
      </c>
      <c r="F352" s="268">
        <v>14745599</v>
      </c>
      <c r="G352" s="619"/>
    </row>
    <row r="353" spans="1:7" ht="30" customHeight="1" x14ac:dyDescent="0.25">
      <c r="A353" s="268" t="s">
        <v>1052</v>
      </c>
      <c r="B353" s="268" t="s">
        <v>1053</v>
      </c>
      <c r="C353" s="268">
        <v>238</v>
      </c>
      <c r="D353" s="268">
        <v>238</v>
      </c>
      <c r="E353" s="268">
        <v>209</v>
      </c>
      <c r="F353" s="268">
        <v>13758190</v>
      </c>
      <c r="G353" s="620"/>
    </row>
    <row r="354" spans="1:7" ht="30" customHeight="1" x14ac:dyDescent="0.25">
      <c r="A354" s="268" t="s">
        <v>1054</v>
      </c>
      <c r="B354" s="268" t="s">
        <v>1055</v>
      </c>
      <c r="C354" s="268">
        <v>205</v>
      </c>
      <c r="D354" s="268">
        <v>205</v>
      </c>
      <c r="E354" s="268">
        <v>180</v>
      </c>
      <c r="F354" s="268">
        <v>11849165</v>
      </c>
      <c r="G354" s="621"/>
    </row>
    <row r="355" spans="1:7" ht="30" customHeight="1" x14ac:dyDescent="0.25">
      <c r="A355" s="268" t="s">
        <v>1056</v>
      </c>
      <c r="B355" s="268" t="s">
        <v>1057</v>
      </c>
      <c r="C355" s="268">
        <v>139</v>
      </c>
      <c r="D355" s="268">
        <v>139</v>
      </c>
      <c r="E355" s="268">
        <v>122</v>
      </c>
      <c r="F355" s="268">
        <v>8031115</v>
      </c>
      <c r="G355" s="622"/>
    </row>
    <row r="356" spans="1:7" ht="30" customHeight="1" x14ac:dyDescent="0.25">
      <c r="A356" s="268" t="s">
        <v>1058</v>
      </c>
      <c r="B356" s="268" t="s">
        <v>1059</v>
      </c>
      <c r="C356" s="268">
        <v>50</v>
      </c>
      <c r="D356" s="268">
        <v>205</v>
      </c>
      <c r="E356" s="268">
        <v>50</v>
      </c>
      <c r="F356" s="268">
        <v>3329330</v>
      </c>
      <c r="G356" s="623"/>
    </row>
    <row r="357" spans="1:7" ht="30" customHeight="1" x14ac:dyDescent="0.25">
      <c r="A357" s="268" t="s">
        <v>1506</v>
      </c>
      <c r="B357" s="268" t="s">
        <v>888</v>
      </c>
      <c r="C357" s="268">
        <v>0</v>
      </c>
      <c r="D357" s="268">
        <v>128</v>
      </c>
      <c r="E357" s="268">
        <v>0</v>
      </c>
      <c r="F357" s="268">
        <v>65280</v>
      </c>
      <c r="G357" s="533"/>
    </row>
    <row r="358" spans="1:7" ht="30" customHeight="1" x14ac:dyDescent="0.25">
      <c r="A358" s="268" t="s">
        <v>139</v>
      </c>
      <c r="B358" s="268" t="s">
        <v>1060</v>
      </c>
      <c r="C358" s="268">
        <v>250</v>
      </c>
      <c r="D358" s="268">
        <v>240</v>
      </c>
      <c r="E358" s="268">
        <v>230</v>
      </c>
      <c r="F358" s="268">
        <v>15134970</v>
      </c>
      <c r="G358" s="624"/>
    </row>
    <row r="359" spans="1:7" ht="30" customHeight="1" x14ac:dyDescent="0.25">
      <c r="A359" s="268" t="s">
        <v>1061</v>
      </c>
      <c r="B359" s="268" t="s">
        <v>664</v>
      </c>
      <c r="C359" s="268">
        <v>255</v>
      </c>
      <c r="D359" s="268">
        <v>0</v>
      </c>
      <c r="E359" s="268">
        <v>255</v>
      </c>
      <c r="F359" s="268">
        <v>16711935</v>
      </c>
      <c r="G359" s="419"/>
    </row>
    <row r="360" spans="1:7" ht="30" customHeight="1" x14ac:dyDescent="0.25">
      <c r="A360" s="268" t="s">
        <v>1062</v>
      </c>
      <c r="B360" s="268" t="s">
        <v>1063</v>
      </c>
      <c r="C360" s="268">
        <v>238</v>
      </c>
      <c r="D360" s="268">
        <v>0</v>
      </c>
      <c r="E360" s="268">
        <v>238</v>
      </c>
      <c r="F360" s="268">
        <v>15597806</v>
      </c>
      <c r="G360" s="625"/>
    </row>
    <row r="361" spans="1:7" ht="30" customHeight="1" x14ac:dyDescent="0.25">
      <c r="A361" s="268" t="s">
        <v>1064</v>
      </c>
      <c r="B361" s="268" t="s">
        <v>1065</v>
      </c>
      <c r="C361" s="268">
        <v>205</v>
      </c>
      <c r="D361" s="268">
        <v>0</v>
      </c>
      <c r="E361" s="268">
        <v>205</v>
      </c>
      <c r="F361" s="268">
        <v>13435085</v>
      </c>
      <c r="G361" s="626"/>
    </row>
    <row r="362" spans="1:7" ht="30" customHeight="1" x14ac:dyDescent="0.25">
      <c r="A362" s="268" t="s">
        <v>1066</v>
      </c>
      <c r="B362" s="268" t="s">
        <v>1067</v>
      </c>
      <c r="C362" s="268">
        <v>139</v>
      </c>
      <c r="D362" s="268">
        <v>0</v>
      </c>
      <c r="E362" s="268">
        <v>139</v>
      </c>
      <c r="F362" s="268">
        <v>9109643</v>
      </c>
      <c r="G362" s="627"/>
    </row>
    <row r="363" spans="1:7" ht="30" customHeight="1" x14ac:dyDescent="0.25">
      <c r="A363" s="268" t="s">
        <v>1068</v>
      </c>
      <c r="B363" s="268" t="s">
        <v>1069</v>
      </c>
      <c r="C363" s="268">
        <v>3</v>
      </c>
      <c r="D363" s="268">
        <v>168</v>
      </c>
      <c r="E363" s="268">
        <v>158</v>
      </c>
      <c r="F363" s="268">
        <v>10397699</v>
      </c>
      <c r="G363" s="628"/>
    </row>
    <row r="364" spans="1:7" ht="30" customHeight="1" x14ac:dyDescent="0.25">
      <c r="A364" s="629" t="s">
        <v>181</v>
      </c>
      <c r="B364" s="287"/>
      <c r="C364" s="288">
        <v>176</v>
      </c>
      <c r="D364" s="288">
        <v>48</v>
      </c>
      <c r="E364" s="288">
        <v>96</v>
      </c>
      <c r="F364" s="287"/>
      <c r="G364" s="629"/>
    </row>
    <row r="365" spans="1:7" ht="30" customHeight="1" x14ac:dyDescent="0.25">
      <c r="A365" s="268" t="s">
        <v>1070</v>
      </c>
      <c r="B365" s="268" t="s">
        <v>1071</v>
      </c>
      <c r="C365" s="268">
        <v>255</v>
      </c>
      <c r="D365" s="268">
        <v>52</v>
      </c>
      <c r="E365" s="268">
        <v>179</v>
      </c>
      <c r="F365" s="268">
        <v>11744511</v>
      </c>
      <c r="G365" s="630"/>
    </row>
    <row r="366" spans="1:7" ht="30" customHeight="1" x14ac:dyDescent="0.25">
      <c r="A366" s="268" t="s">
        <v>1072</v>
      </c>
      <c r="B366" s="268" t="s">
        <v>1073</v>
      </c>
      <c r="C366" s="268">
        <v>238</v>
      </c>
      <c r="D366" s="268">
        <v>48</v>
      </c>
      <c r="E366" s="268">
        <v>167</v>
      </c>
      <c r="F366" s="268">
        <v>10957038</v>
      </c>
      <c r="G366" s="631"/>
    </row>
    <row r="367" spans="1:7" ht="30" customHeight="1" x14ac:dyDescent="0.25">
      <c r="A367" s="268" t="s">
        <v>1074</v>
      </c>
      <c r="B367" s="268" t="s">
        <v>1075</v>
      </c>
      <c r="C367" s="268">
        <v>205</v>
      </c>
      <c r="D367" s="268">
        <v>41</v>
      </c>
      <c r="E367" s="268">
        <v>144</v>
      </c>
      <c r="F367" s="268">
        <v>9447885</v>
      </c>
      <c r="G367" s="632"/>
    </row>
    <row r="368" spans="1:7" ht="30" customHeight="1" x14ac:dyDescent="0.25">
      <c r="A368" s="268" t="s">
        <v>1076</v>
      </c>
      <c r="B368" s="268" t="s">
        <v>1077</v>
      </c>
      <c r="C368" s="268">
        <v>139</v>
      </c>
      <c r="D368" s="268">
        <v>28</v>
      </c>
      <c r="E368" s="268">
        <v>98</v>
      </c>
      <c r="F368" s="268">
        <v>6429835</v>
      </c>
      <c r="G368" s="633"/>
    </row>
    <row r="369" spans="1:7" ht="30" customHeight="1" x14ac:dyDescent="0.25">
      <c r="A369" s="268" t="s">
        <v>181</v>
      </c>
      <c r="B369" s="268" t="s">
        <v>1078</v>
      </c>
      <c r="C369" s="268">
        <v>128</v>
      </c>
      <c r="D369" s="268">
        <v>0</v>
      </c>
      <c r="E369" s="268">
        <v>0</v>
      </c>
      <c r="F369" s="268">
        <v>128</v>
      </c>
      <c r="G369" s="634"/>
    </row>
    <row r="370" spans="1:7" ht="30" customHeight="1" x14ac:dyDescent="0.25">
      <c r="A370" s="635" t="s">
        <v>1079</v>
      </c>
      <c r="B370" s="287"/>
      <c r="C370" s="288">
        <v>150</v>
      </c>
      <c r="D370" s="288">
        <v>69</v>
      </c>
      <c r="E370" s="288">
        <v>20</v>
      </c>
      <c r="F370" s="287"/>
      <c r="G370" s="635"/>
    </row>
    <row r="371" spans="1:7" ht="30" customHeight="1" x14ac:dyDescent="0.25">
      <c r="A371" s="636" t="s">
        <v>1080</v>
      </c>
      <c r="B371" s="287"/>
      <c r="C371" s="288">
        <v>227</v>
      </c>
      <c r="D371" s="288">
        <v>112</v>
      </c>
      <c r="E371" s="288">
        <v>26</v>
      </c>
      <c r="F371" s="287"/>
      <c r="G371" s="636"/>
    </row>
    <row r="372" spans="1:7" ht="30" customHeight="1" x14ac:dyDescent="0.25">
      <c r="A372" s="268" t="s">
        <v>1081</v>
      </c>
      <c r="B372" s="268" t="s">
        <v>1082</v>
      </c>
      <c r="C372" s="268">
        <v>186</v>
      </c>
      <c r="D372" s="268">
        <v>85</v>
      </c>
      <c r="E372" s="268">
        <v>211</v>
      </c>
      <c r="F372" s="268">
        <v>13850042</v>
      </c>
      <c r="G372" s="637"/>
    </row>
    <row r="373" spans="1:7" ht="30" customHeight="1" x14ac:dyDescent="0.25">
      <c r="A373" s="268" t="s">
        <v>1083</v>
      </c>
      <c r="B373" s="268" t="s">
        <v>1084</v>
      </c>
      <c r="C373" s="268">
        <v>224</v>
      </c>
      <c r="D373" s="268">
        <v>102</v>
      </c>
      <c r="E373" s="268">
        <v>255</v>
      </c>
      <c r="F373" s="268">
        <v>16738016</v>
      </c>
      <c r="G373" s="638"/>
    </row>
    <row r="374" spans="1:7" ht="30" customHeight="1" x14ac:dyDescent="0.25">
      <c r="A374" s="268" t="s">
        <v>1085</v>
      </c>
      <c r="B374" s="268" t="s">
        <v>1086</v>
      </c>
      <c r="C374" s="268">
        <v>209</v>
      </c>
      <c r="D374" s="268">
        <v>95</v>
      </c>
      <c r="E374" s="268">
        <v>238</v>
      </c>
      <c r="F374" s="268">
        <v>15622097</v>
      </c>
      <c r="G374" s="639"/>
    </row>
    <row r="375" spans="1:7" ht="30" customHeight="1" x14ac:dyDescent="0.25">
      <c r="A375" s="268" t="s">
        <v>1087</v>
      </c>
      <c r="B375" s="268" t="s">
        <v>1088</v>
      </c>
      <c r="C375" s="268">
        <v>180</v>
      </c>
      <c r="D375" s="268">
        <v>82</v>
      </c>
      <c r="E375" s="268">
        <v>205</v>
      </c>
      <c r="F375" s="268">
        <v>13456052</v>
      </c>
      <c r="G375" s="640"/>
    </row>
    <row r="376" spans="1:7" ht="30" customHeight="1" x14ac:dyDescent="0.25">
      <c r="A376" s="268" t="s">
        <v>1089</v>
      </c>
      <c r="B376" s="268" t="s">
        <v>1090</v>
      </c>
      <c r="C376" s="268">
        <v>122</v>
      </c>
      <c r="D376" s="268">
        <v>55</v>
      </c>
      <c r="E376" s="268">
        <v>139</v>
      </c>
      <c r="F376" s="268">
        <v>9123706</v>
      </c>
      <c r="G376" s="641"/>
    </row>
    <row r="377" spans="1:7" ht="30" customHeight="1" x14ac:dyDescent="0.25">
      <c r="A377" s="268" t="s">
        <v>1091</v>
      </c>
      <c r="B377" s="268" t="s">
        <v>1092</v>
      </c>
      <c r="C377" s="268">
        <v>147</v>
      </c>
      <c r="D377" s="268">
        <v>112</v>
      </c>
      <c r="E377" s="268">
        <v>219</v>
      </c>
      <c r="F377" s="268">
        <v>14381203</v>
      </c>
      <c r="G377" s="642"/>
    </row>
    <row r="378" spans="1:7" ht="30" customHeight="1" x14ac:dyDescent="0.25">
      <c r="A378" s="268" t="s">
        <v>1093</v>
      </c>
      <c r="B378" s="268" t="s">
        <v>1094</v>
      </c>
      <c r="C378" s="268">
        <v>171</v>
      </c>
      <c r="D378" s="268">
        <v>130</v>
      </c>
      <c r="E378" s="268">
        <v>255</v>
      </c>
      <c r="F378" s="268">
        <v>16745131</v>
      </c>
      <c r="G378" s="643"/>
    </row>
    <row r="379" spans="1:7" ht="30" customHeight="1" x14ac:dyDescent="0.25">
      <c r="A379" s="268" t="s">
        <v>1095</v>
      </c>
      <c r="B379" s="268" t="s">
        <v>1096</v>
      </c>
      <c r="C379" s="268">
        <v>159</v>
      </c>
      <c r="D379" s="268">
        <v>121</v>
      </c>
      <c r="E379" s="268">
        <v>238</v>
      </c>
      <c r="F379" s="268">
        <v>15628703</v>
      </c>
      <c r="G379" s="644"/>
    </row>
    <row r="380" spans="1:7" ht="30" customHeight="1" x14ac:dyDescent="0.25">
      <c r="A380" s="268" t="s">
        <v>1097</v>
      </c>
      <c r="B380" s="268" t="s">
        <v>1098</v>
      </c>
      <c r="C380" s="268">
        <v>137</v>
      </c>
      <c r="D380" s="268">
        <v>104</v>
      </c>
      <c r="E380" s="268">
        <v>205</v>
      </c>
      <c r="F380" s="268">
        <v>13461641</v>
      </c>
      <c r="G380" s="645"/>
    </row>
    <row r="381" spans="1:7" ht="30" customHeight="1" x14ac:dyDescent="0.25">
      <c r="A381" s="268" t="s">
        <v>1099</v>
      </c>
      <c r="B381" s="268" t="s">
        <v>1100</v>
      </c>
      <c r="C381" s="268">
        <v>93</v>
      </c>
      <c r="D381" s="268">
        <v>71</v>
      </c>
      <c r="E381" s="268">
        <v>139</v>
      </c>
      <c r="F381" s="268">
        <v>9127773</v>
      </c>
      <c r="G381" s="646"/>
    </row>
    <row r="382" spans="1:7" ht="30" customHeight="1" x14ac:dyDescent="0.25">
      <c r="A382" s="268" t="s">
        <v>1101</v>
      </c>
      <c r="B382" s="268" t="s">
        <v>1102</v>
      </c>
      <c r="C382" s="268">
        <v>60</v>
      </c>
      <c r="D382" s="268">
        <v>179</v>
      </c>
      <c r="E382" s="268">
        <v>113</v>
      </c>
      <c r="F382" s="268">
        <v>7451452</v>
      </c>
      <c r="G382" s="647"/>
    </row>
    <row r="383" spans="1:7" ht="30" customHeight="1" x14ac:dyDescent="0.25">
      <c r="A383" s="268" t="s">
        <v>1103</v>
      </c>
      <c r="B383" s="268" t="s">
        <v>1104</v>
      </c>
      <c r="C383" s="268">
        <v>123</v>
      </c>
      <c r="D383" s="268">
        <v>104</v>
      </c>
      <c r="E383" s="268">
        <v>238</v>
      </c>
      <c r="F383" s="268">
        <v>15624315</v>
      </c>
      <c r="G383" s="648"/>
    </row>
    <row r="384" spans="1:7" ht="30" customHeight="1" x14ac:dyDescent="0.25">
      <c r="A384" s="268" t="s">
        <v>1105</v>
      </c>
      <c r="B384" s="268" t="s">
        <v>1106</v>
      </c>
      <c r="C384" s="268">
        <v>0</v>
      </c>
      <c r="D384" s="268">
        <v>250</v>
      </c>
      <c r="E384" s="268">
        <v>154</v>
      </c>
      <c r="F384" s="268">
        <v>10156544</v>
      </c>
      <c r="G384" s="649"/>
    </row>
    <row r="385" spans="1:7" ht="30" customHeight="1" x14ac:dyDescent="0.25">
      <c r="A385" s="268" t="s">
        <v>1107</v>
      </c>
      <c r="B385" s="268" t="s">
        <v>1108</v>
      </c>
      <c r="C385" s="268">
        <v>72</v>
      </c>
      <c r="D385" s="268">
        <v>209</v>
      </c>
      <c r="E385" s="268">
        <v>204</v>
      </c>
      <c r="F385" s="268">
        <v>13422920</v>
      </c>
      <c r="G385" s="650"/>
    </row>
    <row r="386" spans="1:7" ht="30" customHeight="1" x14ac:dyDescent="0.25">
      <c r="A386" s="268" t="s">
        <v>1109</v>
      </c>
      <c r="B386" s="268" t="s">
        <v>1110</v>
      </c>
      <c r="C386" s="268">
        <v>199</v>
      </c>
      <c r="D386" s="268">
        <v>21</v>
      </c>
      <c r="E386" s="268">
        <v>133</v>
      </c>
      <c r="F386" s="268">
        <v>8721863</v>
      </c>
      <c r="G386" s="651"/>
    </row>
    <row r="387" spans="1:7" ht="30" customHeight="1" x14ac:dyDescent="0.25">
      <c r="A387" s="268" t="s">
        <v>238</v>
      </c>
      <c r="B387" s="268" t="s">
        <v>1111</v>
      </c>
      <c r="C387" s="268">
        <v>227</v>
      </c>
      <c r="D387" s="268">
        <v>168</v>
      </c>
      <c r="E387" s="268">
        <v>105</v>
      </c>
      <c r="F387" s="268">
        <v>6924515</v>
      </c>
      <c r="G387" s="652"/>
    </row>
    <row r="388" spans="1:7" ht="30" customHeight="1" x14ac:dyDescent="0.25">
      <c r="A388" s="268" t="s">
        <v>1112</v>
      </c>
      <c r="B388" s="268" t="s">
        <v>1113</v>
      </c>
      <c r="C388" s="268">
        <v>25</v>
      </c>
      <c r="D388" s="268">
        <v>25</v>
      </c>
      <c r="E388" s="268">
        <v>112</v>
      </c>
      <c r="F388" s="268">
        <v>7346457</v>
      </c>
      <c r="G388" s="653"/>
    </row>
    <row r="389" spans="1:7" ht="30" customHeight="1" x14ac:dyDescent="0.25">
      <c r="A389" s="268" t="s">
        <v>255</v>
      </c>
      <c r="B389" s="268" t="s">
        <v>1114</v>
      </c>
      <c r="C389" s="268">
        <v>189</v>
      </c>
      <c r="D389" s="268">
        <v>252</v>
      </c>
      <c r="E389" s="268">
        <v>201</v>
      </c>
      <c r="F389" s="268">
        <v>13237437</v>
      </c>
      <c r="G389" s="654"/>
    </row>
    <row r="390" spans="1:7" ht="30" customHeight="1" x14ac:dyDescent="0.25">
      <c r="A390" s="268" t="s">
        <v>1115</v>
      </c>
      <c r="B390" s="268" t="s">
        <v>1116</v>
      </c>
      <c r="C390" s="268">
        <v>245</v>
      </c>
      <c r="D390" s="268">
        <v>255</v>
      </c>
      <c r="E390" s="268">
        <v>250</v>
      </c>
      <c r="F390" s="268">
        <v>16449525</v>
      </c>
      <c r="G390" s="655"/>
    </row>
    <row r="391" spans="1:7" ht="30" customHeight="1" x14ac:dyDescent="0.25">
      <c r="A391" s="268" t="s">
        <v>1117</v>
      </c>
      <c r="B391" s="268" t="s">
        <v>1118</v>
      </c>
      <c r="C391" s="268">
        <v>255</v>
      </c>
      <c r="D391" s="268">
        <v>228</v>
      </c>
      <c r="E391" s="268">
        <v>225</v>
      </c>
      <c r="F391" s="268">
        <v>14804223</v>
      </c>
      <c r="G391" s="656"/>
    </row>
    <row r="392" spans="1:7" ht="30" customHeight="1" x14ac:dyDescent="0.25">
      <c r="A392" s="268" t="s">
        <v>1119</v>
      </c>
      <c r="B392" s="268" t="s">
        <v>1120</v>
      </c>
      <c r="C392" s="268">
        <v>238</v>
      </c>
      <c r="D392" s="268">
        <v>213</v>
      </c>
      <c r="E392" s="268">
        <v>210</v>
      </c>
      <c r="F392" s="268">
        <v>13817326</v>
      </c>
      <c r="G392" s="657"/>
    </row>
    <row r="393" spans="1:7" ht="30" customHeight="1" x14ac:dyDescent="0.25">
      <c r="A393" s="268" t="s">
        <v>1121</v>
      </c>
      <c r="B393" s="268" t="s">
        <v>1122</v>
      </c>
      <c r="C393" s="268">
        <v>205</v>
      </c>
      <c r="D393" s="268">
        <v>183</v>
      </c>
      <c r="E393" s="268">
        <v>181</v>
      </c>
      <c r="F393" s="268">
        <v>11909069</v>
      </c>
      <c r="G393" s="658"/>
    </row>
    <row r="394" spans="1:7" ht="30" customHeight="1" x14ac:dyDescent="0.25">
      <c r="A394" s="268" t="s">
        <v>1123</v>
      </c>
      <c r="B394" s="268" t="s">
        <v>1124</v>
      </c>
      <c r="C394" s="268">
        <v>139</v>
      </c>
      <c r="D394" s="268">
        <v>125</v>
      </c>
      <c r="E394" s="268">
        <v>123</v>
      </c>
      <c r="F394" s="268">
        <v>8093067</v>
      </c>
      <c r="G394" s="659"/>
    </row>
    <row r="395" spans="1:7" ht="30" customHeight="1" x14ac:dyDescent="0.25">
      <c r="A395" s="268" t="s">
        <v>142</v>
      </c>
      <c r="B395" s="268" t="s">
        <v>1125</v>
      </c>
      <c r="C395" s="268">
        <v>255</v>
      </c>
      <c r="D395" s="268">
        <v>228</v>
      </c>
      <c r="E395" s="268">
        <v>181</v>
      </c>
      <c r="F395" s="268">
        <v>11920639</v>
      </c>
      <c r="G395" s="660"/>
    </row>
    <row r="396" spans="1:7" ht="30" customHeight="1" x14ac:dyDescent="0.25">
      <c r="A396" s="661" t="s">
        <v>1126</v>
      </c>
      <c r="B396" s="287"/>
      <c r="C396" s="288">
        <v>255</v>
      </c>
      <c r="D396" s="288">
        <v>168</v>
      </c>
      <c r="E396" s="288">
        <v>18</v>
      </c>
      <c r="F396" s="287"/>
      <c r="G396" s="661"/>
    </row>
    <row r="397" spans="1:7" ht="30" customHeight="1" x14ac:dyDescent="0.25">
      <c r="A397" s="268" t="s">
        <v>1127</v>
      </c>
      <c r="B397" s="268" t="s">
        <v>1128</v>
      </c>
      <c r="C397" s="268">
        <v>255</v>
      </c>
      <c r="D397" s="268">
        <v>222</v>
      </c>
      <c r="E397" s="268">
        <v>173</v>
      </c>
      <c r="F397" s="268">
        <v>11394815</v>
      </c>
      <c r="G397" s="662"/>
    </row>
    <row r="398" spans="1:7" ht="30" customHeight="1" x14ac:dyDescent="0.25">
      <c r="A398" s="268" t="s">
        <v>1129</v>
      </c>
      <c r="B398" s="268" t="s">
        <v>1130</v>
      </c>
      <c r="C398" s="268">
        <v>238</v>
      </c>
      <c r="D398" s="268">
        <v>207</v>
      </c>
      <c r="E398" s="268">
        <v>161</v>
      </c>
      <c r="F398" s="268">
        <v>10604526</v>
      </c>
      <c r="G398" s="663"/>
    </row>
    <row r="399" spans="1:7" ht="30" customHeight="1" x14ac:dyDescent="0.25">
      <c r="A399" s="268" t="s">
        <v>1131</v>
      </c>
      <c r="B399" s="268" t="s">
        <v>1132</v>
      </c>
      <c r="C399" s="268">
        <v>205</v>
      </c>
      <c r="D399" s="268">
        <v>179</v>
      </c>
      <c r="E399" s="268">
        <v>139</v>
      </c>
      <c r="F399" s="268">
        <v>9155533</v>
      </c>
      <c r="G399" s="664"/>
    </row>
    <row r="400" spans="1:7" ht="30" customHeight="1" x14ac:dyDescent="0.25">
      <c r="A400" s="268" t="s">
        <v>1133</v>
      </c>
      <c r="B400" s="268" t="s">
        <v>1134</v>
      </c>
      <c r="C400" s="268">
        <v>139</v>
      </c>
      <c r="D400" s="268">
        <v>121</v>
      </c>
      <c r="E400" s="268">
        <v>94</v>
      </c>
      <c r="F400" s="268">
        <v>6191499</v>
      </c>
      <c r="G400" s="665"/>
    </row>
    <row r="401" spans="1:7" ht="30" customHeight="1" x14ac:dyDescent="0.25">
      <c r="A401" s="268" t="s">
        <v>1507</v>
      </c>
      <c r="B401" s="268" t="s">
        <v>1135</v>
      </c>
      <c r="C401" s="268">
        <v>0</v>
      </c>
      <c r="D401" s="268">
        <v>0</v>
      </c>
      <c r="E401" s="268">
        <v>128</v>
      </c>
      <c r="F401" s="268">
        <v>8388608</v>
      </c>
      <c r="G401" s="666"/>
    </row>
    <row r="402" spans="1:7" ht="30" customHeight="1" x14ac:dyDescent="0.25">
      <c r="A402" s="268" t="s">
        <v>1136</v>
      </c>
      <c r="B402" s="268" t="s">
        <v>1137</v>
      </c>
      <c r="C402" s="268">
        <v>253</v>
      </c>
      <c r="D402" s="268">
        <v>245</v>
      </c>
      <c r="E402" s="268">
        <v>230</v>
      </c>
      <c r="F402" s="268">
        <v>15136253</v>
      </c>
      <c r="G402" s="667"/>
    </row>
    <row r="403" spans="1:7" ht="30" customHeight="1" x14ac:dyDescent="0.25">
      <c r="A403" s="668" t="s">
        <v>256</v>
      </c>
      <c r="B403" s="287"/>
      <c r="C403" s="288">
        <v>59</v>
      </c>
      <c r="D403" s="288">
        <v>94</v>
      </c>
      <c r="E403" s="288">
        <v>43</v>
      </c>
      <c r="F403" s="287"/>
      <c r="G403" s="668"/>
    </row>
    <row r="404" spans="1:7" ht="30" customHeight="1" x14ac:dyDescent="0.25">
      <c r="A404" s="268" t="s">
        <v>1138</v>
      </c>
      <c r="B404" s="268" t="s">
        <v>1139</v>
      </c>
      <c r="C404" s="268">
        <v>107</v>
      </c>
      <c r="D404" s="268">
        <v>142</v>
      </c>
      <c r="E404" s="268">
        <v>35</v>
      </c>
      <c r="F404" s="268">
        <v>2330219</v>
      </c>
      <c r="G404" s="669"/>
    </row>
    <row r="405" spans="1:7" ht="30" customHeight="1" x14ac:dyDescent="0.25">
      <c r="A405" s="268" t="s">
        <v>1140</v>
      </c>
      <c r="B405" s="268" t="s">
        <v>1141</v>
      </c>
      <c r="C405" s="268">
        <v>192</v>
      </c>
      <c r="D405" s="268">
        <v>255</v>
      </c>
      <c r="E405" s="268">
        <v>62</v>
      </c>
      <c r="F405" s="268">
        <v>4128704</v>
      </c>
      <c r="G405" s="670"/>
    </row>
    <row r="406" spans="1:7" ht="30" customHeight="1" x14ac:dyDescent="0.25">
      <c r="A406" s="268" t="s">
        <v>1142</v>
      </c>
      <c r="B406" s="268" t="s">
        <v>1143</v>
      </c>
      <c r="C406" s="268">
        <v>179</v>
      </c>
      <c r="D406" s="268">
        <v>238</v>
      </c>
      <c r="E406" s="268">
        <v>58</v>
      </c>
      <c r="F406" s="268">
        <v>3862195</v>
      </c>
      <c r="G406" s="671"/>
    </row>
    <row r="407" spans="1:7" ht="30" customHeight="1" x14ac:dyDescent="0.25">
      <c r="A407" s="268" t="s">
        <v>1144</v>
      </c>
      <c r="B407" s="268" t="s">
        <v>1145</v>
      </c>
      <c r="C407" s="268">
        <v>154</v>
      </c>
      <c r="D407" s="268">
        <v>205</v>
      </c>
      <c r="E407" s="268">
        <v>50</v>
      </c>
      <c r="F407" s="268">
        <v>3329434</v>
      </c>
      <c r="G407" s="672"/>
    </row>
    <row r="408" spans="1:7" ht="30" customHeight="1" x14ac:dyDescent="0.25">
      <c r="A408" s="268" t="s">
        <v>1146</v>
      </c>
      <c r="B408" s="268" t="s">
        <v>1147</v>
      </c>
      <c r="C408" s="268">
        <v>105</v>
      </c>
      <c r="D408" s="268">
        <v>139</v>
      </c>
      <c r="E408" s="268">
        <v>34</v>
      </c>
      <c r="F408" s="268">
        <v>2263913</v>
      </c>
      <c r="G408" s="673"/>
    </row>
    <row r="409" spans="1:7" ht="30" customHeight="1" x14ac:dyDescent="0.25">
      <c r="A409" s="268" t="s">
        <v>1508</v>
      </c>
      <c r="B409" s="268" t="s">
        <v>1148</v>
      </c>
      <c r="C409" s="268">
        <v>128</v>
      </c>
      <c r="D409" s="268">
        <v>128</v>
      </c>
      <c r="E409" s="268">
        <v>0</v>
      </c>
      <c r="F409" s="268">
        <v>32896</v>
      </c>
      <c r="G409" s="674"/>
    </row>
    <row r="410" spans="1:7" ht="30" customHeight="1" x14ac:dyDescent="0.25">
      <c r="A410" s="268" t="s">
        <v>1149</v>
      </c>
      <c r="B410" s="268" t="s">
        <v>1139</v>
      </c>
      <c r="C410" s="268">
        <v>107</v>
      </c>
      <c r="D410" s="268">
        <v>142</v>
      </c>
      <c r="E410" s="268">
        <v>35</v>
      </c>
      <c r="F410" s="268">
        <v>2330219</v>
      </c>
      <c r="G410" s="669"/>
    </row>
    <row r="411" spans="1:7" ht="30" customHeight="1" x14ac:dyDescent="0.25">
      <c r="A411" s="268" t="s">
        <v>224</v>
      </c>
      <c r="B411" s="268" t="s">
        <v>1150</v>
      </c>
      <c r="C411" s="268">
        <v>255</v>
      </c>
      <c r="D411" s="268">
        <v>128</v>
      </c>
      <c r="E411" s="268">
        <v>0</v>
      </c>
      <c r="F411" s="268">
        <v>33023</v>
      </c>
      <c r="G411" s="675"/>
    </row>
    <row r="412" spans="1:7" ht="30" customHeight="1" x14ac:dyDescent="0.25">
      <c r="A412" s="268" t="s">
        <v>1151</v>
      </c>
      <c r="B412" s="268" t="s">
        <v>1152</v>
      </c>
      <c r="C412" s="268">
        <v>255</v>
      </c>
      <c r="D412" s="268">
        <v>165</v>
      </c>
      <c r="E412" s="268">
        <v>0</v>
      </c>
      <c r="F412" s="268">
        <v>42495</v>
      </c>
      <c r="G412" s="676"/>
    </row>
    <row r="413" spans="1:7" ht="30" customHeight="1" x14ac:dyDescent="0.25">
      <c r="A413" s="268" t="s">
        <v>1153</v>
      </c>
      <c r="B413" s="268" t="s">
        <v>1154</v>
      </c>
      <c r="C413" s="268">
        <v>238</v>
      </c>
      <c r="D413" s="268">
        <v>154</v>
      </c>
      <c r="E413" s="268">
        <v>0</v>
      </c>
      <c r="F413" s="268">
        <v>39662</v>
      </c>
      <c r="G413" s="677"/>
    </row>
    <row r="414" spans="1:7" ht="30" customHeight="1" x14ac:dyDescent="0.25">
      <c r="A414" s="268" t="s">
        <v>1155</v>
      </c>
      <c r="B414" s="268" t="s">
        <v>1156</v>
      </c>
      <c r="C414" s="268">
        <v>205</v>
      </c>
      <c r="D414" s="268">
        <v>133</v>
      </c>
      <c r="E414" s="268">
        <v>0</v>
      </c>
      <c r="F414" s="268">
        <v>34253</v>
      </c>
      <c r="G414" s="678"/>
    </row>
    <row r="415" spans="1:7" ht="30" customHeight="1" x14ac:dyDescent="0.25">
      <c r="A415" s="268" t="s">
        <v>1157</v>
      </c>
      <c r="B415" s="268" t="s">
        <v>1158</v>
      </c>
      <c r="C415" s="268">
        <v>139</v>
      </c>
      <c r="D415" s="268">
        <v>90</v>
      </c>
      <c r="E415" s="268">
        <v>0</v>
      </c>
      <c r="F415" s="268">
        <v>23179</v>
      </c>
      <c r="G415" s="679"/>
    </row>
    <row r="416" spans="1:7" ht="30" customHeight="1" x14ac:dyDescent="0.25">
      <c r="A416" s="268" t="s">
        <v>1159</v>
      </c>
      <c r="B416" s="268" t="s">
        <v>1160</v>
      </c>
      <c r="C416" s="268">
        <v>255</v>
      </c>
      <c r="D416" s="268">
        <v>69</v>
      </c>
      <c r="E416" s="268">
        <v>0</v>
      </c>
      <c r="F416" s="268">
        <v>17919</v>
      </c>
      <c r="G416" s="680"/>
    </row>
    <row r="417" spans="1:7" ht="30" customHeight="1" x14ac:dyDescent="0.25">
      <c r="A417" s="268" t="s">
        <v>1161</v>
      </c>
      <c r="B417" s="268" t="s">
        <v>1162</v>
      </c>
      <c r="C417" s="268">
        <v>238</v>
      </c>
      <c r="D417" s="268">
        <v>64</v>
      </c>
      <c r="E417" s="268">
        <v>0</v>
      </c>
      <c r="F417" s="268">
        <v>16622</v>
      </c>
      <c r="G417" s="681"/>
    </row>
    <row r="418" spans="1:7" ht="30" customHeight="1" x14ac:dyDescent="0.25">
      <c r="A418" s="268" t="s">
        <v>1163</v>
      </c>
      <c r="B418" s="268" t="s">
        <v>1164</v>
      </c>
      <c r="C418" s="268">
        <v>205</v>
      </c>
      <c r="D418" s="268">
        <v>55</v>
      </c>
      <c r="E418" s="268">
        <v>0</v>
      </c>
      <c r="F418" s="268">
        <v>14285</v>
      </c>
      <c r="G418" s="682"/>
    </row>
    <row r="419" spans="1:7" ht="30" customHeight="1" x14ac:dyDescent="0.25">
      <c r="A419" s="268" t="s">
        <v>1165</v>
      </c>
      <c r="B419" s="268" t="s">
        <v>1166</v>
      </c>
      <c r="C419" s="268">
        <v>139</v>
      </c>
      <c r="D419" s="268">
        <v>37</v>
      </c>
      <c r="E419" s="268">
        <v>0</v>
      </c>
      <c r="F419" s="268">
        <v>9611</v>
      </c>
      <c r="G419" s="683"/>
    </row>
    <row r="420" spans="1:7" ht="30" customHeight="1" x14ac:dyDescent="0.25">
      <c r="A420" s="268" t="s">
        <v>310</v>
      </c>
      <c r="B420" s="268" t="s">
        <v>1167</v>
      </c>
      <c r="C420" s="268">
        <v>218</v>
      </c>
      <c r="D420" s="268">
        <v>112</v>
      </c>
      <c r="E420" s="268">
        <v>214</v>
      </c>
      <c r="F420" s="268">
        <v>14053594</v>
      </c>
      <c r="G420" s="684"/>
    </row>
    <row r="421" spans="1:7" ht="30" customHeight="1" x14ac:dyDescent="0.25">
      <c r="A421" s="268" t="s">
        <v>1168</v>
      </c>
      <c r="B421" s="268" t="s">
        <v>1169</v>
      </c>
      <c r="C421" s="268">
        <v>255</v>
      </c>
      <c r="D421" s="268">
        <v>131</v>
      </c>
      <c r="E421" s="268">
        <v>250</v>
      </c>
      <c r="F421" s="268">
        <v>16417791</v>
      </c>
      <c r="G421" s="685"/>
    </row>
    <row r="422" spans="1:7" ht="30" customHeight="1" x14ac:dyDescent="0.25">
      <c r="A422" s="268" t="s">
        <v>1170</v>
      </c>
      <c r="B422" s="268" t="s">
        <v>1171</v>
      </c>
      <c r="C422" s="268">
        <v>238</v>
      </c>
      <c r="D422" s="268">
        <v>122</v>
      </c>
      <c r="E422" s="268">
        <v>233</v>
      </c>
      <c r="F422" s="268">
        <v>15301358</v>
      </c>
      <c r="G422" s="686"/>
    </row>
    <row r="423" spans="1:7" ht="30" customHeight="1" x14ac:dyDescent="0.25">
      <c r="A423" s="268" t="s">
        <v>1172</v>
      </c>
      <c r="B423" s="268" t="s">
        <v>1173</v>
      </c>
      <c r="C423" s="268">
        <v>205</v>
      </c>
      <c r="D423" s="268">
        <v>105</v>
      </c>
      <c r="E423" s="268">
        <v>201</v>
      </c>
      <c r="F423" s="268">
        <v>13199821</v>
      </c>
      <c r="G423" s="687"/>
    </row>
    <row r="424" spans="1:7" ht="30" customHeight="1" x14ac:dyDescent="0.25">
      <c r="A424" s="268" t="s">
        <v>1174</v>
      </c>
      <c r="B424" s="268" t="s">
        <v>1175</v>
      </c>
      <c r="C424" s="268">
        <v>139</v>
      </c>
      <c r="D424" s="268">
        <v>71</v>
      </c>
      <c r="E424" s="268">
        <v>137</v>
      </c>
      <c r="F424" s="268">
        <v>8996747</v>
      </c>
      <c r="G424" s="688"/>
    </row>
    <row r="425" spans="1:7" ht="30" customHeight="1" x14ac:dyDescent="0.25">
      <c r="A425" s="268" t="s">
        <v>1176</v>
      </c>
      <c r="B425" s="268" t="s">
        <v>1177</v>
      </c>
      <c r="C425" s="268">
        <v>238</v>
      </c>
      <c r="D425" s="268">
        <v>232</v>
      </c>
      <c r="E425" s="268">
        <v>170</v>
      </c>
      <c r="F425" s="268">
        <v>11200750</v>
      </c>
      <c r="G425" s="689"/>
    </row>
    <row r="426" spans="1:7" ht="30" customHeight="1" x14ac:dyDescent="0.25">
      <c r="A426" s="268" t="s">
        <v>1178</v>
      </c>
      <c r="B426" s="268" t="s">
        <v>1179</v>
      </c>
      <c r="C426" s="268">
        <v>154</v>
      </c>
      <c r="D426" s="268">
        <v>255</v>
      </c>
      <c r="E426" s="268">
        <v>154</v>
      </c>
      <c r="F426" s="268">
        <v>10157978</v>
      </c>
      <c r="G426" s="690"/>
    </row>
    <row r="427" spans="1:7" ht="30" customHeight="1" x14ac:dyDescent="0.25">
      <c r="A427" s="268" t="s">
        <v>1180</v>
      </c>
      <c r="B427" s="268" t="s">
        <v>1181</v>
      </c>
      <c r="C427" s="268">
        <v>144</v>
      </c>
      <c r="D427" s="268">
        <v>238</v>
      </c>
      <c r="E427" s="268">
        <v>144</v>
      </c>
      <c r="F427" s="268">
        <v>9498256</v>
      </c>
      <c r="G427" s="691"/>
    </row>
    <row r="428" spans="1:7" ht="30" customHeight="1" x14ac:dyDescent="0.25">
      <c r="A428" s="268" t="s">
        <v>1182</v>
      </c>
      <c r="B428" s="268" t="s">
        <v>1183</v>
      </c>
      <c r="C428" s="268">
        <v>124</v>
      </c>
      <c r="D428" s="268">
        <v>205</v>
      </c>
      <c r="E428" s="268">
        <v>124</v>
      </c>
      <c r="F428" s="268">
        <v>8179068</v>
      </c>
      <c r="G428" s="692"/>
    </row>
    <row r="429" spans="1:7" ht="30" customHeight="1" x14ac:dyDescent="0.25">
      <c r="A429" s="268" t="s">
        <v>1184</v>
      </c>
      <c r="B429" s="268" t="s">
        <v>1185</v>
      </c>
      <c r="C429" s="268">
        <v>84</v>
      </c>
      <c r="D429" s="268">
        <v>139</v>
      </c>
      <c r="E429" s="268">
        <v>84</v>
      </c>
      <c r="F429" s="268">
        <v>5540692</v>
      </c>
      <c r="G429" s="693"/>
    </row>
    <row r="430" spans="1:7" ht="30" customHeight="1" x14ac:dyDescent="0.25">
      <c r="A430" s="268" t="s">
        <v>1186</v>
      </c>
      <c r="B430" s="268" t="s">
        <v>1187</v>
      </c>
      <c r="C430" s="268">
        <v>187</v>
      </c>
      <c r="D430" s="268">
        <v>255</v>
      </c>
      <c r="E430" s="268">
        <v>255</v>
      </c>
      <c r="F430" s="268">
        <v>16777147</v>
      </c>
      <c r="G430" s="694"/>
    </row>
    <row r="431" spans="1:7" ht="30" customHeight="1" x14ac:dyDescent="0.25">
      <c r="A431" s="268" t="s">
        <v>1188</v>
      </c>
      <c r="B431" s="268" t="s">
        <v>1189</v>
      </c>
      <c r="C431" s="268">
        <v>174</v>
      </c>
      <c r="D431" s="268">
        <v>238</v>
      </c>
      <c r="E431" s="268">
        <v>238</v>
      </c>
      <c r="F431" s="268">
        <v>15658670</v>
      </c>
      <c r="G431" s="695"/>
    </row>
    <row r="432" spans="1:7" ht="30" customHeight="1" x14ac:dyDescent="0.25">
      <c r="A432" s="268" t="s">
        <v>1190</v>
      </c>
      <c r="B432" s="268" t="s">
        <v>1191</v>
      </c>
      <c r="C432" s="268">
        <v>150</v>
      </c>
      <c r="D432" s="268">
        <v>205</v>
      </c>
      <c r="E432" s="268">
        <v>205</v>
      </c>
      <c r="F432" s="268">
        <v>13487510</v>
      </c>
      <c r="G432" s="696"/>
    </row>
    <row r="433" spans="1:7" ht="30" customHeight="1" x14ac:dyDescent="0.25">
      <c r="A433" s="268" t="s">
        <v>1192</v>
      </c>
      <c r="B433" s="268" t="s">
        <v>1193</v>
      </c>
      <c r="C433" s="268">
        <v>102</v>
      </c>
      <c r="D433" s="268">
        <v>139</v>
      </c>
      <c r="E433" s="268">
        <v>139</v>
      </c>
      <c r="F433" s="268">
        <v>9145190</v>
      </c>
      <c r="G433" s="697"/>
    </row>
    <row r="434" spans="1:7" ht="30" customHeight="1" x14ac:dyDescent="0.25">
      <c r="A434" s="268" t="s">
        <v>1194</v>
      </c>
      <c r="B434" s="268" t="s">
        <v>1195</v>
      </c>
      <c r="C434" s="268">
        <v>219</v>
      </c>
      <c r="D434" s="268">
        <v>112</v>
      </c>
      <c r="E434" s="268">
        <v>147</v>
      </c>
      <c r="F434" s="268">
        <v>9662683</v>
      </c>
      <c r="G434" s="698"/>
    </row>
    <row r="435" spans="1:7" ht="30" customHeight="1" x14ac:dyDescent="0.25">
      <c r="A435" s="268" t="s">
        <v>1196</v>
      </c>
      <c r="B435" s="268" t="s">
        <v>1197</v>
      </c>
      <c r="C435" s="268">
        <v>255</v>
      </c>
      <c r="D435" s="268">
        <v>130</v>
      </c>
      <c r="E435" s="268">
        <v>171</v>
      </c>
      <c r="F435" s="268">
        <v>11240191</v>
      </c>
      <c r="G435" s="699"/>
    </row>
    <row r="436" spans="1:7" ht="30" customHeight="1" x14ac:dyDescent="0.25">
      <c r="A436" s="268" t="s">
        <v>1198</v>
      </c>
      <c r="B436" s="268" t="s">
        <v>1199</v>
      </c>
      <c r="C436" s="268">
        <v>238</v>
      </c>
      <c r="D436" s="268">
        <v>121</v>
      </c>
      <c r="E436" s="268">
        <v>159</v>
      </c>
      <c r="F436" s="268">
        <v>10451438</v>
      </c>
      <c r="G436" s="700"/>
    </row>
    <row r="437" spans="1:7" ht="30" customHeight="1" x14ac:dyDescent="0.25">
      <c r="A437" s="268" t="s">
        <v>1200</v>
      </c>
      <c r="B437" s="268" t="s">
        <v>1201</v>
      </c>
      <c r="C437" s="268">
        <v>205</v>
      </c>
      <c r="D437" s="268">
        <v>104</v>
      </c>
      <c r="E437" s="268">
        <v>137</v>
      </c>
      <c r="F437" s="268">
        <v>9005261</v>
      </c>
      <c r="G437" s="701"/>
    </row>
    <row r="438" spans="1:7" ht="30" customHeight="1" x14ac:dyDescent="0.25">
      <c r="A438" s="268" t="s">
        <v>1202</v>
      </c>
      <c r="B438" s="268" t="s">
        <v>1203</v>
      </c>
      <c r="C438" s="268">
        <v>139</v>
      </c>
      <c r="D438" s="268">
        <v>71</v>
      </c>
      <c r="E438" s="268">
        <v>93</v>
      </c>
      <c r="F438" s="268">
        <v>6113163</v>
      </c>
      <c r="G438" s="702"/>
    </row>
    <row r="439" spans="1:7" ht="30" customHeight="1" x14ac:dyDescent="0.25">
      <c r="A439" s="268" t="s">
        <v>1204</v>
      </c>
      <c r="B439" s="268" t="s">
        <v>1205</v>
      </c>
      <c r="C439" s="268">
        <v>152</v>
      </c>
      <c r="D439" s="268">
        <v>251</v>
      </c>
      <c r="E439" s="268">
        <v>152</v>
      </c>
      <c r="F439" s="268">
        <v>10025880</v>
      </c>
      <c r="G439" s="703"/>
    </row>
    <row r="440" spans="1:7" ht="30" customHeight="1" x14ac:dyDescent="0.25">
      <c r="A440" s="268" t="s">
        <v>1206</v>
      </c>
      <c r="B440" s="268" t="s">
        <v>1207</v>
      </c>
      <c r="C440" s="268">
        <v>255</v>
      </c>
      <c r="D440" s="268">
        <v>239</v>
      </c>
      <c r="E440" s="268">
        <v>213</v>
      </c>
      <c r="F440" s="268">
        <v>14020607</v>
      </c>
      <c r="G440" s="704"/>
    </row>
    <row r="441" spans="1:7" ht="30" customHeight="1" x14ac:dyDescent="0.25">
      <c r="A441" s="268" t="s">
        <v>1208</v>
      </c>
      <c r="B441" s="268" t="s">
        <v>1209</v>
      </c>
      <c r="C441" s="268">
        <v>255</v>
      </c>
      <c r="D441" s="268">
        <v>218</v>
      </c>
      <c r="E441" s="268">
        <v>185</v>
      </c>
      <c r="F441" s="268">
        <v>12180223</v>
      </c>
      <c r="G441" s="705"/>
    </row>
    <row r="442" spans="1:7" ht="30" customHeight="1" x14ac:dyDescent="0.25">
      <c r="A442" s="268" t="s">
        <v>1210</v>
      </c>
      <c r="B442" s="268" t="s">
        <v>1211</v>
      </c>
      <c r="C442" s="268">
        <v>238</v>
      </c>
      <c r="D442" s="268">
        <v>203</v>
      </c>
      <c r="E442" s="268">
        <v>173</v>
      </c>
      <c r="F442" s="268">
        <v>11389934</v>
      </c>
      <c r="G442" s="706"/>
    </row>
    <row r="443" spans="1:7" ht="30" customHeight="1" x14ac:dyDescent="0.25">
      <c r="A443" s="268" t="s">
        <v>1212</v>
      </c>
      <c r="B443" s="268" t="s">
        <v>1213</v>
      </c>
      <c r="C443" s="268">
        <v>205</v>
      </c>
      <c r="D443" s="268">
        <v>175</v>
      </c>
      <c r="E443" s="268">
        <v>149</v>
      </c>
      <c r="F443" s="268">
        <v>9809869</v>
      </c>
      <c r="G443" s="707"/>
    </row>
    <row r="444" spans="1:7" ht="30" customHeight="1" x14ac:dyDescent="0.25">
      <c r="A444" s="268" t="s">
        <v>1214</v>
      </c>
      <c r="B444" s="268" t="s">
        <v>1215</v>
      </c>
      <c r="C444" s="268">
        <v>139</v>
      </c>
      <c r="D444" s="268">
        <v>119</v>
      </c>
      <c r="E444" s="268">
        <v>101</v>
      </c>
      <c r="F444" s="268">
        <v>6649739</v>
      </c>
      <c r="G444" s="708"/>
    </row>
    <row r="445" spans="1:7" ht="30" customHeight="1" x14ac:dyDescent="0.25">
      <c r="A445" s="268" t="s">
        <v>293</v>
      </c>
      <c r="B445" s="268" t="s">
        <v>1216</v>
      </c>
      <c r="C445" s="268">
        <v>51</v>
      </c>
      <c r="D445" s="268">
        <v>161</v>
      </c>
      <c r="E445" s="268">
        <v>201</v>
      </c>
      <c r="F445" s="268">
        <v>13214003</v>
      </c>
      <c r="G445" s="709"/>
    </row>
    <row r="446" spans="1:7" ht="30" customHeight="1" x14ac:dyDescent="0.25">
      <c r="A446" s="268" t="s">
        <v>182</v>
      </c>
      <c r="B446" s="268" t="s">
        <v>1217</v>
      </c>
      <c r="C446" s="268">
        <v>255</v>
      </c>
      <c r="D446" s="268">
        <v>192</v>
      </c>
      <c r="E446" s="268">
        <v>203</v>
      </c>
      <c r="F446" s="268">
        <v>13353215</v>
      </c>
      <c r="G446" s="710"/>
    </row>
    <row r="447" spans="1:7" ht="30" customHeight="1" x14ac:dyDescent="0.25">
      <c r="A447" s="268" t="s">
        <v>1218</v>
      </c>
      <c r="B447" s="268" t="s">
        <v>1219</v>
      </c>
      <c r="C447" s="268">
        <v>255</v>
      </c>
      <c r="D447" s="268">
        <v>181</v>
      </c>
      <c r="E447" s="268">
        <v>197</v>
      </c>
      <c r="F447" s="268">
        <v>12957183</v>
      </c>
      <c r="G447" s="711"/>
    </row>
    <row r="448" spans="1:7" ht="30" customHeight="1" x14ac:dyDescent="0.25">
      <c r="A448" s="268" t="s">
        <v>1220</v>
      </c>
      <c r="B448" s="268" t="s">
        <v>1221</v>
      </c>
      <c r="C448" s="268">
        <v>238</v>
      </c>
      <c r="D448" s="268">
        <v>169</v>
      </c>
      <c r="E448" s="268">
        <v>184</v>
      </c>
      <c r="F448" s="268">
        <v>12102126</v>
      </c>
      <c r="G448" s="712"/>
    </row>
    <row r="449" spans="1:7" ht="30" customHeight="1" x14ac:dyDescent="0.25">
      <c r="A449" s="268" t="s">
        <v>1222</v>
      </c>
      <c r="B449" s="268" t="s">
        <v>1223</v>
      </c>
      <c r="C449" s="268">
        <v>205</v>
      </c>
      <c r="D449" s="268">
        <v>145</v>
      </c>
      <c r="E449" s="268">
        <v>158</v>
      </c>
      <c r="F449" s="268">
        <v>10392013</v>
      </c>
      <c r="G449" s="713"/>
    </row>
    <row r="450" spans="1:7" ht="30" customHeight="1" x14ac:dyDescent="0.25">
      <c r="A450" s="268" t="s">
        <v>1224</v>
      </c>
      <c r="B450" s="268" t="s">
        <v>1225</v>
      </c>
      <c r="C450" s="268">
        <v>139</v>
      </c>
      <c r="D450" s="268">
        <v>99</v>
      </c>
      <c r="E450" s="268">
        <v>108</v>
      </c>
      <c r="F450" s="268">
        <v>7103371</v>
      </c>
      <c r="G450" s="714"/>
    </row>
    <row r="451" spans="1:7" ht="30" customHeight="1" x14ac:dyDescent="0.25">
      <c r="A451" s="268" t="s">
        <v>313</v>
      </c>
      <c r="B451" s="268" t="s">
        <v>1226</v>
      </c>
      <c r="C451" s="268">
        <v>221</v>
      </c>
      <c r="D451" s="268">
        <v>160</v>
      </c>
      <c r="E451" s="268">
        <v>221</v>
      </c>
      <c r="F451" s="268">
        <v>14524637</v>
      </c>
      <c r="G451" s="715"/>
    </row>
    <row r="452" spans="1:7" ht="30" customHeight="1" x14ac:dyDescent="0.25">
      <c r="A452" s="268" t="s">
        <v>1227</v>
      </c>
      <c r="B452" s="268" t="s">
        <v>1228</v>
      </c>
      <c r="C452" s="268">
        <v>255</v>
      </c>
      <c r="D452" s="268">
        <v>187</v>
      </c>
      <c r="E452" s="268">
        <v>255</v>
      </c>
      <c r="F452" s="268">
        <v>16759807</v>
      </c>
      <c r="G452" s="716"/>
    </row>
    <row r="453" spans="1:7" ht="30" customHeight="1" x14ac:dyDescent="0.25">
      <c r="A453" s="268" t="s">
        <v>1229</v>
      </c>
      <c r="B453" s="268" t="s">
        <v>1230</v>
      </c>
      <c r="C453" s="268">
        <v>238</v>
      </c>
      <c r="D453" s="268">
        <v>174</v>
      </c>
      <c r="E453" s="268">
        <v>238</v>
      </c>
      <c r="F453" s="268">
        <v>15642350</v>
      </c>
      <c r="G453" s="717"/>
    </row>
    <row r="454" spans="1:7" ht="30" customHeight="1" x14ac:dyDescent="0.25">
      <c r="A454" s="268" t="s">
        <v>1231</v>
      </c>
      <c r="B454" s="268" t="s">
        <v>1232</v>
      </c>
      <c r="C454" s="268">
        <v>205</v>
      </c>
      <c r="D454" s="268">
        <v>150</v>
      </c>
      <c r="E454" s="268">
        <v>205</v>
      </c>
      <c r="F454" s="268">
        <v>13473485</v>
      </c>
      <c r="G454" s="718"/>
    </row>
    <row r="455" spans="1:7" ht="30" customHeight="1" x14ac:dyDescent="0.25">
      <c r="A455" s="268" t="s">
        <v>1233</v>
      </c>
      <c r="B455" s="268" t="s">
        <v>1234</v>
      </c>
      <c r="C455" s="268">
        <v>139</v>
      </c>
      <c r="D455" s="268">
        <v>102</v>
      </c>
      <c r="E455" s="268">
        <v>139</v>
      </c>
      <c r="F455" s="268">
        <v>9135755</v>
      </c>
      <c r="G455" s="719"/>
    </row>
    <row r="456" spans="1:7" ht="30" customHeight="1" x14ac:dyDescent="0.25">
      <c r="A456" s="268" t="s">
        <v>1235</v>
      </c>
      <c r="B456" s="268" t="s">
        <v>1236</v>
      </c>
      <c r="C456" s="268">
        <v>176</v>
      </c>
      <c r="D456" s="268">
        <v>224</v>
      </c>
      <c r="E456" s="268">
        <v>230</v>
      </c>
      <c r="F456" s="268">
        <v>15130800</v>
      </c>
      <c r="G456" s="720"/>
    </row>
    <row r="457" spans="1:7" ht="30" customHeight="1" x14ac:dyDescent="0.25">
      <c r="A457" s="721" t="s">
        <v>314</v>
      </c>
      <c r="B457" s="287"/>
      <c r="C457" s="288">
        <v>160</v>
      </c>
      <c r="D457" s="288">
        <v>32</v>
      </c>
      <c r="E457" s="288">
        <v>240</v>
      </c>
      <c r="F457" s="287"/>
      <c r="G457" s="721"/>
    </row>
    <row r="458" spans="1:7" ht="30" customHeight="1" x14ac:dyDescent="0.25">
      <c r="A458" s="268" t="s">
        <v>1237</v>
      </c>
      <c r="B458" s="268" t="s">
        <v>1238</v>
      </c>
      <c r="C458" s="268">
        <v>155</v>
      </c>
      <c r="D458" s="268">
        <v>48</v>
      </c>
      <c r="E458" s="268">
        <v>255</v>
      </c>
      <c r="F458" s="268">
        <v>16724123</v>
      </c>
      <c r="G458" s="722"/>
    </row>
    <row r="459" spans="1:7" ht="30" customHeight="1" x14ac:dyDescent="0.25">
      <c r="A459" s="268" t="s">
        <v>1239</v>
      </c>
      <c r="B459" s="268" t="s">
        <v>1240</v>
      </c>
      <c r="C459" s="268">
        <v>145</v>
      </c>
      <c r="D459" s="268">
        <v>44</v>
      </c>
      <c r="E459" s="268">
        <v>238</v>
      </c>
      <c r="F459" s="268">
        <v>15608977</v>
      </c>
      <c r="G459" s="723"/>
    </row>
    <row r="460" spans="1:7" ht="30" customHeight="1" x14ac:dyDescent="0.25">
      <c r="A460" s="268" t="s">
        <v>1241</v>
      </c>
      <c r="B460" s="268" t="s">
        <v>1242</v>
      </c>
      <c r="C460" s="268">
        <v>125</v>
      </c>
      <c r="D460" s="268">
        <v>38</v>
      </c>
      <c r="E460" s="268">
        <v>205</v>
      </c>
      <c r="F460" s="268">
        <v>13444733</v>
      </c>
      <c r="G460" s="724"/>
    </row>
    <row r="461" spans="1:7" ht="30" customHeight="1" x14ac:dyDescent="0.25">
      <c r="A461" s="268" t="s">
        <v>1243</v>
      </c>
      <c r="B461" s="268" t="s">
        <v>1244</v>
      </c>
      <c r="C461" s="268">
        <v>85</v>
      </c>
      <c r="D461" s="268">
        <v>26</v>
      </c>
      <c r="E461" s="268">
        <v>139</v>
      </c>
      <c r="F461" s="268">
        <v>9116245</v>
      </c>
      <c r="G461" s="725"/>
    </row>
    <row r="462" spans="1:7" ht="30" customHeight="1" x14ac:dyDescent="0.25">
      <c r="A462" s="268" t="s">
        <v>1509</v>
      </c>
      <c r="B462" s="268" t="s">
        <v>1245</v>
      </c>
      <c r="C462" s="268">
        <v>128</v>
      </c>
      <c r="D462" s="268">
        <v>0</v>
      </c>
      <c r="E462" s="268">
        <v>128</v>
      </c>
      <c r="F462" s="268">
        <v>8388736</v>
      </c>
      <c r="G462" s="726"/>
    </row>
    <row r="463" spans="1:7" ht="30" customHeight="1" x14ac:dyDescent="0.25">
      <c r="A463" s="268" t="s">
        <v>184</v>
      </c>
      <c r="B463" s="268" t="s">
        <v>1246</v>
      </c>
      <c r="C463" s="268">
        <v>135</v>
      </c>
      <c r="D463" s="268">
        <v>38</v>
      </c>
      <c r="E463" s="268">
        <v>87</v>
      </c>
      <c r="F463" s="268">
        <v>5711495</v>
      </c>
      <c r="G463" s="727"/>
    </row>
    <row r="464" spans="1:7" ht="30" customHeight="1" x14ac:dyDescent="0.25">
      <c r="A464" s="268" t="s">
        <v>1247</v>
      </c>
      <c r="B464" s="268" t="s">
        <v>1248</v>
      </c>
      <c r="C464" s="268">
        <v>199</v>
      </c>
      <c r="D464" s="268">
        <v>97</v>
      </c>
      <c r="E464" s="268">
        <v>20</v>
      </c>
      <c r="F464" s="268">
        <v>1335751</v>
      </c>
      <c r="G464" s="728"/>
    </row>
    <row r="465" spans="1:7" ht="30" customHeight="1" x14ac:dyDescent="0.25">
      <c r="A465" s="268" t="s">
        <v>1249</v>
      </c>
      <c r="B465" s="268" t="s">
        <v>1250</v>
      </c>
      <c r="C465" s="268">
        <v>115</v>
      </c>
      <c r="D465" s="268">
        <v>74</v>
      </c>
      <c r="E465" s="268">
        <v>18</v>
      </c>
      <c r="F465" s="268">
        <v>1198707</v>
      </c>
      <c r="G465" s="729"/>
    </row>
    <row r="466" spans="1:7" ht="30" customHeight="1" x14ac:dyDescent="0.25">
      <c r="A466" s="268" t="s">
        <v>1251</v>
      </c>
      <c r="B466" s="268" t="s">
        <v>1252</v>
      </c>
      <c r="C466" s="268">
        <v>238</v>
      </c>
      <c r="D466" s="268">
        <v>0</v>
      </c>
      <c r="E466" s="268">
        <v>0</v>
      </c>
      <c r="F466" s="268">
        <v>238</v>
      </c>
      <c r="G466" s="730"/>
    </row>
    <row r="467" spans="1:7" ht="30" customHeight="1" x14ac:dyDescent="0.25">
      <c r="A467" s="268" t="s">
        <v>1253</v>
      </c>
      <c r="B467" s="268" t="s">
        <v>1254</v>
      </c>
      <c r="C467" s="268">
        <v>205</v>
      </c>
      <c r="D467" s="268">
        <v>0</v>
      </c>
      <c r="E467" s="268">
        <v>0</v>
      </c>
      <c r="F467" s="268">
        <v>205</v>
      </c>
      <c r="G467" s="731"/>
    </row>
    <row r="468" spans="1:7" ht="30" customHeight="1" x14ac:dyDescent="0.25">
      <c r="A468" s="268" t="s">
        <v>1255</v>
      </c>
      <c r="B468" s="268" t="s">
        <v>1256</v>
      </c>
      <c r="C468" s="268">
        <v>139</v>
      </c>
      <c r="D468" s="268">
        <v>0</v>
      </c>
      <c r="E468" s="268">
        <v>0</v>
      </c>
      <c r="F468" s="268">
        <v>139</v>
      </c>
      <c r="G468" s="732"/>
    </row>
    <row r="469" spans="1:7" ht="30" customHeight="1" x14ac:dyDescent="0.25">
      <c r="A469" s="268" t="s">
        <v>1510</v>
      </c>
      <c r="B469" s="268" t="s">
        <v>1257</v>
      </c>
      <c r="C469" s="268">
        <v>255</v>
      </c>
      <c r="D469" s="268">
        <v>0</v>
      </c>
      <c r="E469" s="268">
        <v>0</v>
      </c>
      <c r="F469" s="268">
        <v>255</v>
      </c>
      <c r="G469" s="733"/>
    </row>
    <row r="470" spans="1:7" ht="30" customHeight="1" x14ac:dyDescent="0.25">
      <c r="A470" s="734" t="s">
        <v>1258</v>
      </c>
      <c r="B470" s="287"/>
      <c r="C470" s="288">
        <v>227</v>
      </c>
      <c r="D470" s="288">
        <v>54</v>
      </c>
      <c r="E470" s="288">
        <v>56</v>
      </c>
      <c r="F470" s="287"/>
      <c r="G470" s="734"/>
    </row>
    <row r="471" spans="1:7" ht="30" customHeight="1" x14ac:dyDescent="0.25">
      <c r="A471" s="735" t="s">
        <v>1259</v>
      </c>
      <c r="B471" s="287"/>
      <c r="C471" s="288">
        <v>227</v>
      </c>
      <c r="D471" s="288">
        <v>46</v>
      </c>
      <c r="E471" s="288">
        <v>48</v>
      </c>
      <c r="F471" s="287"/>
      <c r="G471" s="735"/>
    </row>
    <row r="472" spans="1:7" ht="30" customHeight="1" x14ac:dyDescent="0.25">
      <c r="A472" s="268" t="s">
        <v>1260</v>
      </c>
      <c r="B472" s="268" t="s">
        <v>1261</v>
      </c>
      <c r="C472" s="268">
        <v>188</v>
      </c>
      <c r="D472" s="268">
        <v>143</v>
      </c>
      <c r="E472" s="268">
        <v>143</v>
      </c>
      <c r="F472" s="268">
        <v>9408444</v>
      </c>
      <c r="G472" s="736"/>
    </row>
    <row r="473" spans="1:7" ht="30" customHeight="1" x14ac:dyDescent="0.25">
      <c r="A473" s="268" t="s">
        <v>1262</v>
      </c>
      <c r="B473" s="268" t="s">
        <v>1263</v>
      </c>
      <c r="C473" s="268">
        <v>255</v>
      </c>
      <c r="D473" s="268">
        <v>193</v>
      </c>
      <c r="E473" s="268">
        <v>193</v>
      </c>
      <c r="F473" s="268">
        <v>12698111</v>
      </c>
      <c r="G473" s="737"/>
    </row>
    <row r="474" spans="1:7" ht="30" customHeight="1" x14ac:dyDescent="0.25">
      <c r="A474" s="268" t="s">
        <v>1264</v>
      </c>
      <c r="B474" s="268" t="s">
        <v>1265</v>
      </c>
      <c r="C474" s="268">
        <v>238</v>
      </c>
      <c r="D474" s="268">
        <v>180</v>
      </c>
      <c r="E474" s="268">
        <v>180</v>
      </c>
      <c r="F474" s="268">
        <v>11842798</v>
      </c>
      <c r="G474" s="738"/>
    </row>
    <row r="475" spans="1:7" ht="30" customHeight="1" x14ac:dyDescent="0.25">
      <c r="A475" s="268" t="s">
        <v>1266</v>
      </c>
      <c r="B475" s="268" t="s">
        <v>1267</v>
      </c>
      <c r="C475" s="268">
        <v>205</v>
      </c>
      <c r="D475" s="268">
        <v>155</v>
      </c>
      <c r="E475" s="268">
        <v>155</v>
      </c>
      <c r="F475" s="268">
        <v>10197965</v>
      </c>
      <c r="G475" s="739"/>
    </row>
    <row r="476" spans="1:7" ht="30" customHeight="1" x14ac:dyDescent="0.25">
      <c r="A476" s="268" t="s">
        <v>1268</v>
      </c>
      <c r="B476" s="268" t="s">
        <v>1269</v>
      </c>
      <c r="C476" s="268">
        <v>139</v>
      </c>
      <c r="D476" s="268">
        <v>105</v>
      </c>
      <c r="E476" s="268">
        <v>105</v>
      </c>
      <c r="F476" s="268">
        <v>6908299</v>
      </c>
      <c r="G476" s="740"/>
    </row>
    <row r="477" spans="1:7" ht="30" customHeight="1" x14ac:dyDescent="0.25">
      <c r="A477" s="268" t="s">
        <v>1270</v>
      </c>
      <c r="B477" s="268" t="s">
        <v>1261</v>
      </c>
      <c r="C477" s="268">
        <v>188</v>
      </c>
      <c r="D477" s="268">
        <v>143</v>
      </c>
      <c r="E477" s="268">
        <v>143</v>
      </c>
      <c r="F477" s="268">
        <v>9408444</v>
      </c>
      <c r="G477" s="736"/>
    </row>
    <row r="478" spans="1:7" ht="30" customHeight="1" x14ac:dyDescent="0.25">
      <c r="A478" s="268" t="s">
        <v>1271</v>
      </c>
      <c r="B478" s="268" t="s">
        <v>1272</v>
      </c>
      <c r="C478" s="268">
        <v>64</v>
      </c>
      <c r="D478" s="268">
        <v>105</v>
      </c>
      <c r="E478" s="268">
        <v>225</v>
      </c>
      <c r="F478" s="268">
        <v>14772544</v>
      </c>
      <c r="G478" s="741"/>
    </row>
    <row r="479" spans="1:7" ht="30" customHeight="1" x14ac:dyDescent="0.25">
      <c r="A479" s="268" t="s">
        <v>1273</v>
      </c>
      <c r="B479" s="268" t="s">
        <v>1274</v>
      </c>
      <c r="C479" s="268">
        <v>72</v>
      </c>
      <c r="D479" s="268">
        <v>118</v>
      </c>
      <c r="E479" s="268">
        <v>255</v>
      </c>
      <c r="F479" s="268">
        <v>16741960</v>
      </c>
      <c r="G479" s="742"/>
    </row>
    <row r="480" spans="1:7" ht="30" customHeight="1" x14ac:dyDescent="0.25">
      <c r="A480" s="268" t="s">
        <v>1275</v>
      </c>
      <c r="B480" s="268" t="s">
        <v>1276</v>
      </c>
      <c r="C480" s="268">
        <v>67</v>
      </c>
      <c r="D480" s="268">
        <v>110</v>
      </c>
      <c r="E480" s="268">
        <v>238</v>
      </c>
      <c r="F480" s="268">
        <v>15625795</v>
      </c>
      <c r="G480" s="743"/>
    </row>
    <row r="481" spans="1:7" ht="30" customHeight="1" x14ac:dyDescent="0.25">
      <c r="A481" s="268" t="s">
        <v>1277</v>
      </c>
      <c r="B481" s="268" t="s">
        <v>1278</v>
      </c>
      <c r="C481" s="268">
        <v>58</v>
      </c>
      <c r="D481" s="268">
        <v>95</v>
      </c>
      <c r="E481" s="268">
        <v>205</v>
      </c>
      <c r="F481" s="268">
        <v>13459258</v>
      </c>
      <c r="G481" s="744"/>
    </row>
    <row r="482" spans="1:7" ht="30" customHeight="1" x14ac:dyDescent="0.25">
      <c r="A482" s="268" t="s">
        <v>1279</v>
      </c>
      <c r="B482" s="268" t="s">
        <v>1280</v>
      </c>
      <c r="C482" s="268">
        <v>39</v>
      </c>
      <c r="D482" s="268">
        <v>64</v>
      </c>
      <c r="E482" s="268">
        <v>139</v>
      </c>
      <c r="F482" s="268">
        <v>9125927</v>
      </c>
      <c r="G482" s="745"/>
    </row>
    <row r="483" spans="1:7" ht="30" customHeight="1" x14ac:dyDescent="0.25">
      <c r="A483" s="268" t="s">
        <v>1281</v>
      </c>
      <c r="B483" s="268" t="s">
        <v>508</v>
      </c>
      <c r="C483" s="268">
        <v>139</v>
      </c>
      <c r="D483" s="268">
        <v>69</v>
      </c>
      <c r="E483" s="268">
        <v>19</v>
      </c>
      <c r="F483" s="268">
        <v>1262987</v>
      </c>
      <c r="G483" s="336"/>
    </row>
    <row r="484" spans="1:7" ht="30" customHeight="1" x14ac:dyDescent="0.25">
      <c r="A484" s="268" t="s">
        <v>187</v>
      </c>
      <c r="B484" s="268" t="s">
        <v>1282</v>
      </c>
      <c r="C484" s="268">
        <v>250</v>
      </c>
      <c r="D484" s="268">
        <v>128</v>
      </c>
      <c r="E484" s="268">
        <v>114</v>
      </c>
      <c r="F484" s="268">
        <v>7504122</v>
      </c>
      <c r="G484" s="746"/>
    </row>
    <row r="485" spans="1:7" ht="30" customHeight="1" x14ac:dyDescent="0.25">
      <c r="A485" s="268" t="s">
        <v>1283</v>
      </c>
      <c r="B485" s="268" t="s">
        <v>1284</v>
      </c>
      <c r="C485" s="268">
        <v>255</v>
      </c>
      <c r="D485" s="268">
        <v>140</v>
      </c>
      <c r="E485" s="268">
        <v>105</v>
      </c>
      <c r="F485" s="268">
        <v>6917375</v>
      </c>
      <c r="G485" s="747"/>
    </row>
    <row r="486" spans="1:7" ht="30" customHeight="1" x14ac:dyDescent="0.25">
      <c r="A486" s="268" t="s">
        <v>1285</v>
      </c>
      <c r="B486" s="268" t="s">
        <v>1286</v>
      </c>
      <c r="C486" s="268">
        <v>238</v>
      </c>
      <c r="D486" s="268">
        <v>130</v>
      </c>
      <c r="E486" s="268">
        <v>98</v>
      </c>
      <c r="F486" s="268">
        <v>6456046</v>
      </c>
      <c r="G486" s="748"/>
    </row>
    <row r="487" spans="1:7" ht="30" customHeight="1" x14ac:dyDescent="0.25">
      <c r="A487" s="268" t="s">
        <v>1287</v>
      </c>
      <c r="B487" s="268" t="s">
        <v>1288</v>
      </c>
      <c r="C487" s="268">
        <v>205</v>
      </c>
      <c r="D487" s="268">
        <v>112</v>
      </c>
      <c r="E487" s="268">
        <v>84</v>
      </c>
      <c r="F487" s="268">
        <v>5533901</v>
      </c>
      <c r="G487" s="749"/>
    </row>
    <row r="488" spans="1:7" ht="30" customHeight="1" x14ac:dyDescent="0.25">
      <c r="A488" s="268" t="s">
        <v>1289</v>
      </c>
      <c r="B488" s="268" t="s">
        <v>1290</v>
      </c>
      <c r="C488" s="268">
        <v>139</v>
      </c>
      <c r="D488" s="268">
        <v>76</v>
      </c>
      <c r="E488" s="268">
        <v>57</v>
      </c>
      <c r="F488" s="268">
        <v>3755147</v>
      </c>
      <c r="G488" s="750"/>
    </row>
    <row r="489" spans="1:7" ht="30" customHeight="1" x14ac:dyDescent="0.25">
      <c r="A489" s="268" t="s">
        <v>1291</v>
      </c>
      <c r="B489" s="268" t="s">
        <v>546</v>
      </c>
      <c r="C489" s="268">
        <v>244</v>
      </c>
      <c r="D489" s="268">
        <v>164</v>
      </c>
      <c r="E489" s="268">
        <v>96</v>
      </c>
      <c r="F489" s="268">
        <v>6333684</v>
      </c>
      <c r="G489" s="357"/>
    </row>
    <row r="490" spans="1:7" ht="30" customHeight="1" x14ac:dyDescent="0.25">
      <c r="A490" s="268" t="s">
        <v>1292</v>
      </c>
      <c r="B490" s="268" t="s">
        <v>1293</v>
      </c>
      <c r="C490" s="268">
        <v>48</v>
      </c>
      <c r="D490" s="268">
        <v>128</v>
      </c>
      <c r="E490" s="268">
        <v>20</v>
      </c>
      <c r="F490" s="268">
        <v>1343536</v>
      </c>
      <c r="G490" s="751"/>
    </row>
    <row r="491" spans="1:7" ht="30" customHeight="1" x14ac:dyDescent="0.25">
      <c r="A491" s="268" t="s">
        <v>1294</v>
      </c>
      <c r="B491" s="268" t="s">
        <v>1295</v>
      </c>
      <c r="C491" s="268">
        <v>46</v>
      </c>
      <c r="D491" s="268">
        <v>139</v>
      </c>
      <c r="E491" s="268">
        <v>87</v>
      </c>
      <c r="F491" s="268">
        <v>5737262</v>
      </c>
      <c r="G491" s="752"/>
    </row>
    <row r="492" spans="1:7" ht="30" customHeight="1" x14ac:dyDescent="0.25">
      <c r="A492" s="268" t="s">
        <v>1296</v>
      </c>
      <c r="B492" s="268" t="s">
        <v>1297</v>
      </c>
      <c r="C492" s="268">
        <v>84</v>
      </c>
      <c r="D492" s="268">
        <v>255</v>
      </c>
      <c r="E492" s="268">
        <v>159</v>
      </c>
      <c r="F492" s="268">
        <v>10485588</v>
      </c>
      <c r="G492" s="753"/>
    </row>
    <row r="493" spans="1:7" ht="30" customHeight="1" x14ac:dyDescent="0.25">
      <c r="A493" s="268" t="s">
        <v>1298</v>
      </c>
      <c r="B493" s="268" t="s">
        <v>1299</v>
      </c>
      <c r="C493" s="268">
        <v>78</v>
      </c>
      <c r="D493" s="268">
        <v>238</v>
      </c>
      <c r="E493" s="268">
        <v>148</v>
      </c>
      <c r="F493" s="268">
        <v>9760334</v>
      </c>
      <c r="G493" s="754"/>
    </row>
    <row r="494" spans="1:7" ht="30" customHeight="1" x14ac:dyDescent="0.25">
      <c r="A494" s="268" t="s">
        <v>1300</v>
      </c>
      <c r="B494" s="268" t="s">
        <v>1301</v>
      </c>
      <c r="C494" s="268">
        <v>67</v>
      </c>
      <c r="D494" s="268">
        <v>205</v>
      </c>
      <c r="E494" s="268">
        <v>128</v>
      </c>
      <c r="F494" s="268">
        <v>8441155</v>
      </c>
      <c r="G494" s="755"/>
    </row>
    <row r="495" spans="1:7" ht="30" customHeight="1" x14ac:dyDescent="0.25">
      <c r="A495" s="268" t="s">
        <v>1302</v>
      </c>
      <c r="B495" s="268" t="s">
        <v>1295</v>
      </c>
      <c r="C495" s="268">
        <v>46</v>
      </c>
      <c r="D495" s="268">
        <v>139</v>
      </c>
      <c r="E495" s="268">
        <v>87</v>
      </c>
      <c r="F495" s="268">
        <v>5737262</v>
      </c>
      <c r="G495" s="752"/>
    </row>
    <row r="496" spans="1:7" ht="30" customHeight="1" x14ac:dyDescent="0.25">
      <c r="A496" s="268" t="s">
        <v>1303</v>
      </c>
      <c r="B496" s="268" t="s">
        <v>1304</v>
      </c>
      <c r="C496" s="268">
        <v>255</v>
      </c>
      <c r="D496" s="268">
        <v>245</v>
      </c>
      <c r="E496" s="268">
        <v>238</v>
      </c>
      <c r="F496" s="268">
        <v>15660543</v>
      </c>
      <c r="G496" s="756"/>
    </row>
    <row r="497" spans="1:7" ht="30" customHeight="1" x14ac:dyDescent="0.25">
      <c r="A497" s="268" t="s">
        <v>1305</v>
      </c>
      <c r="B497" s="268" t="s">
        <v>1306</v>
      </c>
      <c r="C497" s="268">
        <v>238</v>
      </c>
      <c r="D497" s="268">
        <v>229</v>
      </c>
      <c r="E497" s="268">
        <v>222</v>
      </c>
      <c r="F497" s="268">
        <v>14607854</v>
      </c>
      <c r="G497" s="757"/>
    </row>
    <row r="498" spans="1:7" ht="30" customHeight="1" x14ac:dyDescent="0.25">
      <c r="A498" s="268" t="s">
        <v>1307</v>
      </c>
      <c r="B498" s="268" t="s">
        <v>1308</v>
      </c>
      <c r="C498" s="268">
        <v>205</v>
      </c>
      <c r="D498" s="268">
        <v>197</v>
      </c>
      <c r="E498" s="268">
        <v>191</v>
      </c>
      <c r="F498" s="268">
        <v>12568013</v>
      </c>
      <c r="G498" s="758"/>
    </row>
    <row r="499" spans="1:7" ht="30" customHeight="1" x14ac:dyDescent="0.25">
      <c r="A499" s="268" t="s">
        <v>1309</v>
      </c>
      <c r="B499" s="268" t="s">
        <v>1310</v>
      </c>
      <c r="C499" s="268">
        <v>139</v>
      </c>
      <c r="D499" s="268">
        <v>134</v>
      </c>
      <c r="E499" s="268">
        <v>130</v>
      </c>
      <c r="F499" s="268">
        <v>8554123</v>
      </c>
      <c r="G499" s="759"/>
    </row>
    <row r="500" spans="1:7" ht="30" customHeight="1" x14ac:dyDescent="0.25">
      <c r="A500" s="268" t="s">
        <v>211</v>
      </c>
      <c r="B500" s="268" t="s">
        <v>1311</v>
      </c>
      <c r="C500" s="268">
        <v>94</v>
      </c>
      <c r="D500" s="268">
        <v>38</v>
      </c>
      <c r="E500" s="268">
        <v>18</v>
      </c>
      <c r="F500" s="268">
        <v>1189470</v>
      </c>
      <c r="G500" s="760"/>
    </row>
    <row r="501" spans="1:7" ht="30" customHeight="1" x14ac:dyDescent="0.25">
      <c r="A501" s="268" t="s">
        <v>1312</v>
      </c>
      <c r="B501" s="268" t="s">
        <v>1313</v>
      </c>
      <c r="C501" s="268">
        <v>142</v>
      </c>
      <c r="D501" s="268">
        <v>56</v>
      </c>
      <c r="E501" s="268">
        <v>142</v>
      </c>
      <c r="F501" s="268">
        <v>9320590</v>
      </c>
      <c r="G501" s="761"/>
    </row>
    <row r="502" spans="1:7" ht="30" customHeight="1" x14ac:dyDescent="0.25">
      <c r="A502" s="268" t="s">
        <v>1314</v>
      </c>
      <c r="B502" s="268" t="s">
        <v>1315</v>
      </c>
      <c r="C502" s="268">
        <v>197</v>
      </c>
      <c r="D502" s="268">
        <v>193</v>
      </c>
      <c r="E502" s="268">
        <v>170</v>
      </c>
      <c r="F502" s="268">
        <v>11190725</v>
      </c>
      <c r="G502" s="762"/>
    </row>
    <row r="503" spans="1:7" ht="30" customHeight="1" x14ac:dyDescent="0.25">
      <c r="A503" s="268" t="s">
        <v>1316</v>
      </c>
      <c r="B503" s="268" t="s">
        <v>1317</v>
      </c>
      <c r="C503" s="268">
        <v>113</v>
      </c>
      <c r="D503" s="268">
        <v>198</v>
      </c>
      <c r="E503" s="268">
        <v>113</v>
      </c>
      <c r="F503" s="268">
        <v>7456369</v>
      </c>
      <c r="G503" s="763"/>
    </row>
    <row r="504" spans="1:7" ht="30" customHeight="1" x14ac:dyDescent="0.25">
      <c r="A504" s="268" t="s">
        <v>1318</v>
      </c>
      <c r="B504" s="268" t="s">
        <v>1319</v>
      </c>
      <c r="C504" s="268">
        <v>85</v>
      </c>
      <c r="D504" s="268">
        <v>85</v>
      </c>
      <c r="E504" s="268">
        <v>85</v>
      </c>
      <c r="F504" s="268">
        <v>5592405</v>
      </c>
      <c r="G504" s="764"/>
    </row>
    <row r="505" spans="1:7" ht="30" customHeight="1" x14ac:dyDescent="0.25">
      <c r="A505" s="268" t="s">
        <v>1320</v>
      </c>
      <c r="B505" s="268" t="s">
        <v>1321</v>
      </c>
      <c r="C505" s="268">
        <v>30</v>
      </c>
      <c r="D505" s="268">
        <v>30</v>
      </c>
      <c r="E505" s="268">
        <v>30</v>
      </c>
      <c r="F505" s="268">
        <v>1973790</v>
      </c>
      <c r="G505" s="765"/>
    </row>
    <row r="506" spans="1:7" ht="30" customHeight="1" x14ac:dyDescent="0.25">
      <c r="A506" s="268" t="s">
        <v>1322</v>
      </c>
      <c r="B506" s="268" t="s">
        <v>1323</v>
      </c>
      <c r="C506" s="268">
        <v>40</v>
      </c>
      <c r="D506" s="268">
        <v>40</v>
      </c>
      <c r="E506" s="268">
        <v>40</v>
      </c>
      <c r="F506" s="268">
        <v>2631720</v>
      </c>
      <c r="G506" s="766"/>
    </row>
    <row r="507" spans="1:7" ht="30" customHeight="1" x14ac:dyDescent="0.25">
      <c r="A507" s="268" t="s">
        <v>1324</v>
      </c>
      <c r="B507" s="268" t="s">
        <v>1325</v>
      </c>
      <c r="C507" s="268">
        <v>81</v>
      </c>
      <c r="D507" s="268">
        <v>81</v>
      </c>
      <c r="E507" s="268">
        <v>81</v>
      </c>
      <c r="F507" s="268">
        <v>5329233</v>
      </c>
      <c r="G507" s="767"/>
    </row>
    <row r="508" spans="1:7" ht="30" customHeight="1" x14ac:dyDescent="0.25">
      <c r="A508" s="268" t="s">
        <v>1326</v>
      </c>
      <c r="B508" s="268" t="s">
        <v>1327</v>
      </c>
      <c r="C508" s="268">
        <v>91</v>
      </c>
      <c r="D508" s="268">
        <v>91</v>
      </c>
      <c r="E508" s="268">
        <v>91</v>
      </c>
      <c r="F508" s="268">
        <v>5987163</v>
      </c>
      <c r="G508" s="768"/>
    </row>
    <row r="509" spans="1:7" ht="30" customHeight="1" x14ac:dyDescent="0.25">
      <c r="A509" s="268" t="s">
        <v>1328</v>
      </c>
      <c r="B509" s="268" t="s">
        <v>1329</v>
      </c>
      <c r="C509" s="268">
        <v>132</v>
      </c>
      <c r="D509" s="268">
        <v>132</v>
      </c>
      <c r="E509" s="268">
        <v>132</v>
      </c>
      <c r="F509" s="268">
        <v>8684676</v>
      </c>
      <c r="G509" s="769"/>
    </row>
    <row r="510" spans="1:7" ht="30" customHeight="1" x14ac:dyDescent="0.25">
      <c r="A510" s="268" t="s">
        <v>1330</v>
      </c>
      <c r="B510" s="268" t="s">
        <v>1331</v>
      </c>
      <c r="C510" s="268">
        <v>142</v>
      </c>
      <c r="D510" s="268">
        <v>142</v>
      </c>
      <c r="E510" s="268">
        <v>142</v>
      </c>
      <c r="F510" s="268">
        <v>9342606</v>
      </c>
      <c r="G510" s="770"/>
    </row>
    <row r="511" spans="1:7" ht="30" customHeight="1" x14ac:dyDescent="0.25">
      <c r="A511" s="268" t="s">
        <v>1332</v>
      </c>
      <c r="B511" s="268" t="s">
        <v>1333</v>
      </c>
      <c r="C511" s="268">
        <v>183</v>
      </c>
      <c r="D511" s="268">
        <v>183</v>
      </c>
      <c r="E511" s="268">
        <v>183</v>
      </c>
      <c r="F511" s="268">
        <v>12040119</v>
      </c>
      <c r="G511" s="771"/>
    </row>
    <row r="512" spans="1:7" ht="30" customHeight="1" x14ac:dyDescent="0.25">
      <c r="A512" s="268" t="s">
        <v>1334</v>
      </c>
      <c r="B512" s="268" t="s">
        <v>1335</v>
      </c>
      <c r="C512" s="268">
        <v>193</v>
      </c>
      <c r="D512" s="268">
        <v>193</v>
      </c>
      <c r="E512" s="268">
        <v>193</v>
      </c>
      <c r="F512" s="268">
        <v>12698049</v>
      </c>
      <c r="G512" s="772"/>
    </row>
    <row r="513" spans="1:7" ht="30" customHeight="1" x14ac:dyDescent="0.25">
      <c r="A513" s="268" t="s">
        <v>1336</v>
      </c>
      <c r="B513" s="268" t="s">
        <v>1337</v>
      </c>
      <c r="C513" s="268">
        <v>234</v>
      </c>
      <c r="D513" s="268">
        <v>234</v>
      </c>
      <c r="E513" s="268">
        <v>234</v>
      </c>
      <c r="F513" s="268">
        <v>15395562</v>
      </c>
      <c r="G513" s="773"/>
    </row>
    <row r="514" spans="1:7" ht="30" customHeight="1" x14ac:dyDescent="0.25">
      <c r="A514" s="268" t="s">
        <v>1338</v>
      </c>
      <c r="B514" s="268" t="s">
        <v>1339</v>
      </c>
      <c r="C514" s="268">
        <v>244</v>
      </c>
      <c r="D514" s="268">
        <v>244</v>
      </c>
      <c r="E514" s="268">
        <v>244</v>
      </c>
      <c r="F514" s="268">
        <v>16053492</v>
      </c>
      <c r="G514" s="774"/>
    </row>
    <row r="515" spans="1:7" ht="30" customHeight="1" x14ac:dyDescent="0.25">
      <c r="A515" s="268" t="s">
        <v>1340</v>
      </c>
      <c r="B515" s="268" t="s">
        <v>1341</v>
      </c>
      <c r="C515" s="268">
        <v>125</v>
      </c>
      <c r="D515" s="268">
        <v>158</v>
      </c>
      <c r="E515" s="268">
        <v>192</v>
      </c>
      <c r="F515" s="268">
        <v>12623485</v>
      </c>
      <c r="G515" s="775"/>
    </row>
    <row r="516" spans="1:7" ht="30" customHeight="1" x14ac:dyDescent="0.25">
      <c r="A516" s="268" t="s">
        <v>1342</v>
      </c>
      <c r="B516" s="268" t="s">
        <v>1343</v>
      </c>
      <c r="C516" s="268">
        <v>170</v>
      </c>
      <c r="D516" s="268">
        <v>170</v>
      </c>
      <c r="E516" s="268">
        <v>170</v>
      </c>
      <c r="F516" s="268">
        <v>11184810</v>
      </c>
      <c r="G516" s="776"/>
    </row>
    <row r="517" spans="1:7" ht="30" customHeight="1" x14ac:dyDescent="0.25">
      <c r="A517" s="268" t="s">
        <v>1344</v>
      </c>
      <c r="B517" s="268" t="s">
        <v>1345</v>
      </c>
      <c r="C517" s="268">
        <v>142</v>
      </c>
      <c r="D517" s="268">
        <v>142</v>
      </c>
      <c r="E517" s="268">
        <v>56</v>
      </c>
      <c r="F517" s="268">
        <v>3706510</v>
      </c>
      <c r="G517" s="777"/>
    </row>
    <row r="518" spans="1:7" ht="30" customHeight="1" x14ac:dyDescent="0.25">
      <c r="A518" s="268" t="s">
        <v>1346</v>
      </c>
      <c r="B518" s="268" t="s">
        <v>1347</v>
      </c>
      <c r="C518" s="268">
        <v>198</v>
      </c>
      <c r="D518" s="268">
        <v>113</v>
      </c>
      <c r="E518" s="268">
        <v>113</v>
      </c>
      <c r="F518" s="268">
        <v>7434694</v>
      </c>
      <c r="G518" s="778"/>
    </row>
    <row r="519" spans="1:7" ht="30" customHeight="1" x14ac:dyDescent="0.25">
      <c r="A519" s="268" t="s">
        <v>1348</v>
      </c>
      <c r="B519" s="268" t="s">
        <v>1349</v>
      </c>
      <c r="C519" s="268">
        <v>113</v>
      </c>
      <c r="D519" s="268">
        <v>113</v>
      </c>
      <c r="E519" s="268">
        <v>198</v>
      </c>
      <c r="F519" s="268">
        <v>13005169</v>
      </c>
      <c r="G519" s="779"/>
    </row>
    <row r="520" spans="1:7" ht="30" customHeight="1" x14ac:dyDescent="0.25">
      <c r="A520" s="268" t="s">
        <v>1350</v>
      </c>
      <c r="B520" s="268" t="s">
        <v>1351</v>
      </c>
      <c r="C520" s="268">
        <v>56</v>
      </c>
      <c r="D520" s="268">
        <v>142</v>
      </c>
      <c r="E520" s="268">
        <v>142</v>
      </c>
      <c r="F520" s="268">
        <v>9342520</v>
      </c>
      <c r="G520" s="780"/>
    </row>
    <row r="521" spans="1:7" ht="30" customHeight="1" x14ac:dyDescent="0.25">
      <c r="A521" s="268" t="s">
        <v>212</v>
      </c>
      <c r="B521" s="268" t="s">
        <v>1352</v>
      </c>
      <c r="C521" s="268">
        <v>160</v>
      </c>
      <c r="D521" s="268">
        <v>82</v>
      </c>
      <c r="E521" s="268">
        <v>45</v>
      </c>
      <c r="F521" s="268">
        <v>2970272</v>
      </c>
      <c r="G521" s="781"/>
    </row>
    <row r="522" spans="1:7" ht="30" customHeight="1" x14ac:dyDescent="0.25">
      <c r="A522" s="268" t="s">
        <v>1353</v>
      </c>
      <c r="B522" s="268" t="s">
        <v>1354</v>
      </c>
      <c r="C522" s="268">
        <v>255</v>
      </c>
      <c r="D522" s="268">
        <v>130</v>
      </c>
      <c r="E522" s="268">
        <v>71</v>
      </c>
      <c r="F522" s="268">
        <v>4686591</v>
      </c>
      <c r="G522" s="782"/>
    </row>
    <row r="523" spans="1:7" ht="30" customHeight="1" x14ac:dyDescent="0.25">
      <c r="A523" s="268" t="s">
        <v>1355</v>
      </c>
      <c r="B523" s="268" t="s">
        <v>1356</v>
      </c>
      <c r="C523" s="268">
        <v>238</v>
      </c>
      <c r="D523" s="268">
        <v>121</v>
      </c>
      <c r="E523" s="268">
        <v>66</v>
      </c>
      <c r="F523" s="268">
        <v>4356590</v>
      </c>
      <c r="G523" s="783"/>
    </row>
    <row r="524" spans="1:7" ht="30" customHeight="1" x14ac:dyDescent="0.25">
      <c r="A524" s="268" t="s">
        <v>1357</v>
      </c>
      <c r="B524" s="268" t="s">
        <v>1358</v>
      </c>
      <c r="C524" s="268">
        <v>205</v>
      </c>
      <c r="D524" s="268">
        <v>104</v>
      </c>
      <c r="E524" s="268">
        <v>57</v>
      </c>
      <c r="F524" s="268">
        <v>3762381</v>
      </c>
      <c r="G524" s="784"/>
    </row>
    <row r="525" spans="1:7" ht="30" customHeight="1" x14ac:dyDescent="0.25">
      <c r="A525" s="268" t="s">
        <v>1359</v>
      </c>
      <c r="B525" s="268" t="s">
        <v>1360</v>
      </c>
      <c r="C525" s="268">
        <v>139</v>
      </c>
      <c r="D525" s="268">
        <v>71</v>
      </c>
      <c r="E525" s="268">
        <v>38</v>
      </c>
      <c r="F525" s="268">
        <v>2508683</v>
      </c>
      <c r="G525" s="785"/>
    </row>
    <row r="526" spans="1:7" ht="30" customHeight="1" x14ac:dyDescent="0.25">
      <c r="A526" s="268" t="s">
        <v>1511</v>
      </c>
      <c r="B526" s="268" t="s">
        <v>899</v>
      </c>
      <c r="C526" s="268">
        <v>192</v>
      </c>
      <c r="D526" s="268">
        <v>192</v>
      </c>
      <c r="E526" s="268">
        <v>192</v>
      </c>
      <c r="F526" s="268">
        <v>12632256</v>
      </c>
      <c r="G526" s="540"/>
    </row>
    <row r="527" spans="1:7" ht="30" customHeight="1" x14ac:dyDescent="0.25">
      <c r="A527" s="268" t="s">
        <v>1361</v>
      </c>
      <c r="B527" s="268" t="s">
        <v>1362</v>
      </c>
      <c r="C527" s="268">
        <v>135</v>
      </c>
      <c r="D527" s="268">
        <v>206</v>
      </c>
      <c r="E527" s="268">
        <v>235</v>
      </c>
      <c r="F527" s="268">
        <v>15453831</v>
      </c>
      <c r="G527" s="786"/>
    </row>
    <row r="528" spans="1:7" ht="30" customHeight="1" x14ac:dyDescent="0.25">
      <c r="A528" s="268" t="s">
        <v>1363</v>
      </c>
      <c r="B528" s="268" t="s">
        <v>1364</v>
      </c>
      <c r="C528" s="268">
        <v>135</v>
      </c>
      <c r="D528" s="268">
        <v>206</v>
      </c>
      <c r="E528" s="268">
        <v>255</v>
      </c>
      <c r="F528" s="268">
        <v>16764551</v>
      </c>
      <c r="G528" s="787"/>
    </row>
    <row r="529" spans="1:7" ht="30" customHeight="1" x14ac:dyDescent="0.25">
      <c r="A529" s="268" t="s">
        <v>1365</v>
      </c>
      <c r="B529" s="268" t="s">
        <v>1366</v>
      </c>
      <c r="C529" s="268">
        <v>126</v>
      </c>
      <c r="D529" s="268">
        <v>192</v>
      </c>
      <c r="E529" s="268">
        <v>238</v>
      </c>
      <c r="F529" s="268">
        <v>15646846</v>
      </c>
      <c r="G529" s="788"/>
    </row>
    <row r="530" spans="1:7" ht="30" customHeight="1" x14ac:dyDescent="0.25">
      <c r="A530" s="268" t="s">
        <v>1367</v>
      </c>
      <c r="B530" s="268" t="s">
        <v>1368</v>
      </c>
      <c r="C530" s="268">
        <v>108</v>
      </c>
      <c r="D530" s="268">
        <v>166</v>
      </c>
      <c r="E530" s="268">
        <v>205</v>
      </c>
      <c r="F530" s="268">
        <v>13477484</v>
      </c>
      <c r="G530" s="789"/>
    </row>
    <row r="531" spans="1:7" ht="30" customHeight="1" x14ac:dyDescent="0.25">
      <c r="A531" s="268" t="s">
        <v>1369</v>
      </c>
      <c r="B531" s="268" t="s">
        <v>1370</v>
      </c>
      <c r="C531" s="268">
        <v>74</v>
      </c>
      <c r="D531" s="268">
        <v>112</v>
      </c>
      <c r="E531" s="268">
        <v>139</v>
      </c>
      <c r="F531" s="268">
        <v>9138250</v>
      </c>
      <c r="G531" s="790"/>
    </row>
    <row r="532" spans="1:7" ht="30" customHeight="1" x14ac:dyDescent="0.25">
      <c r="A532" s="268" t="s">
        <v>1371</v>
      </c>
      <c r="B532" s="268" t="s">
        <v>1372</v>
      </c>
      <c r="C532" s="268">
        <v>106</v>
      </c>
      <c r="D532" s="268">
        <v>90</v>
      </c>
      <c r="E532" s="268">
        <v>205</v>
      </c>
      <c r="F532" s="268">
        <v>13458026</v>
      </c>
      <c r="G532" s="791"/>
    </row>
    <row r="533" spans="1:7" ht="30" customHeight="1" x14ac:dyDescent="0.25">
      <c r="A533" s="268" t="s">
        <v>1373</v>
      </c>
      <c r="B533" s="268" t="s">
        <v>1374</v>
      </c>
      <c r="C533" s="268">
        <v>131</v>
      </c>
      <c r="D533" s="268">
        <v>111</v>
      </c>
      <c r="E533" s="268">
        <v>255</v>
      </c>
      <c r="F533" s="268">
        <v>16740227</v>
      </c>
      <c r="G533" s="792"/>
    </row>
    <row r="534" spans="1:7" ht="30" customHeight="1" x14ac:dyDescent="0.25">
      <c r="A534" s="268" t="s">
        <v>1375</v>
      </c>
      <c r="B534" s="268" t="s">
        <v>1376</v>
      </c>
      <c r="C534" s="268">
        <v>122</v>
      </c>
      <c r="D534" s="268">
        <v>103</v>
      </c>
      <c r="E534" s="268">
        <v>238</v>
      </c>
      <c r="F534" s="268">
        <v>15624058</v>
      </c>
      <c r="G534" s="793"/>
    </row>
    <row r="535" spans="1:7" ht="30" customHeight="1" x14ac:dyDescent="0.25">
      <c r="A535" s="268" t="s">
        <v>1377</v>
      </c>
      <c r="B535" s="268" t="s">
        <v>1378</v>
      </c>
      <c r="C535" s="268">
        <v>105</v>
      </c>
      <c r="D535" s="268">
        <v>89</v>
      </c>
      <c r="E535" s="268">
        <v>205</v>
      </c>
      <c r="F535" s="268">
        <v>13457769</v>
      </c>
      <c r="G535" s="794"/>
    </row>
    <row r="536" spans="1:7" ht="30" customHeight="1" x14ac:dyDescent="0.25">
      <c r="A536" s="268" t="s">
        <v>1379</v>
      </c>
      <c r="B536" s="268" t="s">
        <v>1380</v>
      </c>
      <c r="C536" s="268">
        <v>71</v>
      </c>
      <c r="D536" s="268">
        <v>60</v>
      </c>
      <c r="E536" s="268">
        <v>139</v>
      </c>
      <c r="F536" s="268">
        <v>9124935</v>
      </c>
      <c r="G536" s="795"/>
    </row>
    <row r="537" spans="1:7" ht="30" customHeight="1" x14ac:dyDescent="0.25">
      <c r="A537" s="268" t="s">
        <v>1381</v>
      </c>
      <c r="B537" s="268" t="s">
        <v>1382</v>
      </c>
      <c r="C537" s="268">
        <v>112</v>
      </c>
      <c r="D537" s="268">
        <v>128</v>
      </c>
      <c r="E537" s="268">
        <v>144</v>
      </c>
      <c r="F537" s="268">
        <v>9470064</v>
      </c>
      <c r="G537" s="796"/>
    </row>
    <row r="538" spans="1:7" ht="30" customHeight="1" x14ac:dyDescent="0.25">
      <c r="A538" s="268" t="s">
        <v>1383</v>
      </c>
      <c r="B538" s="268" t="s">
        <v>1384</v>
      </c>
      <c r="C538" s="268">
        <v>198</v>
      </c>
      <c r="D538" s="268">
        <v>226</v>
      </c>
      <c r="E538" s="268">
        <v>255</v>
      </c>
      <c r="F538" s="268">
        <v>16769734</v>
      </c>
      <c r="G538" s="797"/>
    </row>
    <row r="539" spans="1:7" ht="30" customHeight="1" x14ac:dyDescent="0.25">
      <c r="A539" s="268" t="s">
        <v>1385</v>
      </c>
      <c r="B539" s="268" t="s">
        <v>1386</v>
      </c>
      <c r="C539" s="268">
        <v>185</v>
      </c>
      <c r="D539" s="268">
        <v>211</v>
      </c>
      <c r="E539" s="268">
        <v>238</v>
      </c>
      <c r="F539" s="268">
        <v>15651769</v>
      </c>
      <c r="G539" s="798"/>
    </row>
    <row r="540" spans="1:7" ht="30" customHeight="1" x14ac:dyDescent="0.25">
      <c r="A540" s="268" t="s">
        <v>1387</v>
      </c>
      <c r="B540" s="268" t="s">
        <v>1388</v>
      </c>
      <c r="C540" s="268">
        <v>159</v>
      </c>
      <c r="D540" s="268">
        <v>182</v>
      </c>
      <c r="E540" s="268">
        <v>205</v>
      </c>
      <c r="F540" s="268">
        <v>13481631</v>
      </c>
      <c r="G540" s="799"/>
    </row>
    <row r="541" spans="1:7" ht="30" customHeight="1" x14ac:dyDescent="0.25">
      <c r="A541" s="268" t="s">
        <v>1389</v>
      </c>
      <c r="B541" s="268" t="s">
        <v>1390</v>
      </c>
      <c r="C541" s="268">
        <v>108</v>
      </c>
      <c r="D541" s="268">
        <v>123</v>
      </c>
      <c r="E541" s="268">
        <v>139</v>
      </c>
      <c r="F541" s="268">
        <v>9141100</v>
      </c>
      <c r="G541" s="800"/>
    </row>
    <row r="542" spans="1:7" ht="30" customHeight="1" x14ac:dyDescent="0.25">
      <c r="A542" s="268" t="s">
        <v>1391</v>
      </c>
      <c r="B542" s="268" t="s">
        <v>1372</v>
      </c>
      <c r="C542" s="268">
        <v>106</v>
      </c>
      <c r="D542" s="268">
        <v>90</v>
      </c>
      <c r="E542" s="268">
        <v>205</v>
      </c>
      <c r="F542" s="268">
        <v>13458026</v>
      </c>
      <c r="G542" s="791"/>
    </row>
    <row r="543" spans="1:7" ht="30" customHeight="1" x14ac:dyDescent="0.25">
      <c r="A543" s="268" t="s">
        <v>1392</v>
      </c>
      <c r="B543" s="268" t="s">
        <v>1393</v>
      </c>
      <c r="C543" s="268">
        <v>255</v>
      </c>
      <c r="D543" s="268">
        <v>250</v>
      </c>
      <c r="E543" s="268">
        <v>250</v>
      </c>
      <c r="F543" s="268">
        <v>16448255</v>
      </c>
      <c r="G543" s="801"/>
    </row>
    <row r="544" spans="1:7" ht="30" customHeight="1" x14ac:dyDescent="0.25">
      <c r="A544" s="268" t="s">
        <v>1394</v>
      </c>
      <c r="B544" s="268" t="s">
        <v>1395</v>
      </c>
      <c r="C544" s="268">
        <v>238</v>
      </c>
      <c r="D544" s="268">
        <v>233</v>
      </c>
      <c r="E544" s="268">
        <v>233</v>
      </c>
      <c r="F544" s="268">
        <v>15329774</v>
      </c>
      <c r="G544" s="802"/>
    </row>
    <row r="545" spans="1:7" ht="30" customHeight="1" x14ac:dyDescent="0.25">
      <c r="A545" s="268" t="s">
        <v>1396</v>
      </c>
      <c r="B545" s="268" t="s">
        <v>1397</v>
      </c>
      <c r="C545" s="268">
        <v>205</v>
      </c>
      <c r="D545" s="268">
        <v>201</v>
      </c>
      <c r="E545" s="268">
        <v>201</v>
      </c>
      <c r="F545" s="268">
        <v>13224397</v>
      </c>
      <c r="G545" s="803"/>
    </row>
    <row r="546" spans="1:7" ht="30" customHeight="1" x14ac:dyDescent="0.25">
      <c r="A546" s="268" t="s">
        <v>1398</v>
      </c>
      <c r="B546" s="268" t="s">
        <v>1399</v>
      </c>
      <c r="C546" s="268">
        <v>139</v>
      </c>
      <c r="D546" s="268">
        <v>137</v>
      </c>
      <c r="E546" s="268">
        <v>137</v>
      </c>
      <c r="F546" s="268">
        <v>9013643</v>
      </c>
      <c r="G546" s="804"/>
    </row>
    <row r="547" spans="1:7" ht="30" customHeight="1" x14ac:dyDescent="0.25">
      <c r="A547" s="268" t="s">
        <v>1400</v>
      </c>
      <c r="B547" s="268" t="s">
        <v>1401</v>
      </c>
      <c r="C547" s="268">
        <v>0</v>
      </c>
      <c r="D547" s="268">
        <v>255</v>
      </c>
      <c r="E547" s="268">
        <v>127</v>
      </c>
      <c r="F547" s="268">
        <v>8388352</v>
      </c>
      <c r="G547" s="805"/>
    </row>
    <row r="548" spans="1:7" ht="30" customHeight="1" x14ac:dyDescent="0.25">
      <c r="A548" s="268" t="s">
        <v>1402</v>
      </c>
      <c r="B548" s="268" t="s">
        <v>1403</v>
      </c>
      <c r="C548" s="268">
        <v>0</v>
      </c>
      <c r="D548" s="268">
        <v>238</v>
      </c>
      <c r="E548" s="268">
        <v>118</v>
      </c>
      <c r="F548" s="268">
        <v>7794176</v>
      </c>
      <c r="G548" s="806"/>
    </row>
    <row r="549" spans="1:7" ht="30" customHeight="1" x14ac:dyDescent="0.25">
      <c r="A549" s="268" t="s">
        <v>1404</v>
      </c>
      <c r="B549" s="268" t="s">
        <v>1405</v>
      </c>
      <c r="C549" s="268">
        <v>0</v>
      </c>
      <c r="D549" s="268">
        <v>205</v>
      </c>
      <c r="E549" s="268">
        <v>102</v>
      </c>
      <c r="F549" s="268">
        <v>6737152</v>
      </c>
      <c r="G549" s="807"/>
    </row>
    <row r="550" spans="1:7" ht="30" customHeight="1" x14ac:dyDescent="0.25">
      <c r="A550" s="268" t="s">
        <v>1406</v>
      </c>
      <c r="B550" s="268" t="s">
        <v>1407</v>
      </c>
      <c r="C550" s="268">
        <v>0</v>
      </c>
      <c r="D550" s="268">
        <v>139</v>
      </c>
      <c r="E550" s="268">
        <v>69</v>
      </c>
      <c r="F550" s="268">
        <v>4557568</v>
      </c>
      <c r="G550" s="808"/>
    </row>
    <row r="551" spans="1:7" ht="30" customHeight="1" x14ac:dyDescent="0.25">
      <c r="A551" s="268" t="s">
        <v>1408</v>
      </c>
      <c r="B551" s="268" t="s">
        <v>1409</v>
      </c>
      <c r="C551" s="268">
        <v>70</v>
      </c>
      <c r="D551" s="268">
        <v>130</v>
      </c>
      <c r="E551" s="268">
        <v>180</v>
      </c>
      <c r="F551" s="268">
        <v>11829830</v>
      </c>
      <c r="G551" s="809"/>
    </row>
    <row r="552" spans="1:7" ht="30" customHeight="1" x14ac:dyDescent="0.25">
      <c r="A552" s="268" t="s">
        <v>1410</v>
      </c>
      <c r="B552" s="268" t="s">
        <v>1411</v>
      </c>
      <c r="C552" s="268">
        <v>99</v>
      </c>
      <c r="D552" s="268">
        <v>184</v>
      </c>
      <c r="E552" s="268">
        <v>255</v>
      </c>
      <c r="F552" s="268">
        <v>16758883</v>
      </c>
      <c r="G552" s="810"/>
    </row>
    <row r="553" spans="1:7" ht="30" customHeight="1" x14ac:dyDescent="0.25">
      <c r="A553" s="268" t="s">
        <v>1412</v>
      </c>
      <c r="B553" s="268" t="s">
        <v>1413</v>
      </c>
      <c r="C553" s="268">
        <v>92</v>
      </c>
      <c r="D553" s="268">
        <v>172</v>
      </c>
      <c r="E553" s="268">
        <v>238</v>
      </c>
      <c r="F553" s="268">
        <v>15641692</v>
      </c>
      <c r="G553" s="811"/>
    </row>
    <row r="554" spans="1:7" ht="30" customHeight="1" x14ac:dyDescent="0.25">
      <c r="A554" s="268" t="s">
        <v>1414</v>
      </c>
      <c r="B554" s="268" t="s">
        <v>1415</v>
      </c>
      <c r="C554" s="268">
        <v>79</v>
      </c>
      <c r="D554" s="268">
        <v>148</v>
      </c>
      <c r="E554" s="268">
        <v>205</v>
      </c>
      <c r="F554" s="268">
        <v>13472847</v>
      </c>
      <c r="G554" s="812"/>
    </row>
    <row r="555" spans="1:7" ht="30" customHeight="1" x14ac:dyDescent="0.25">
      <c r="A555" s="268" t="s">
        <v>1416</v>
      </c>
      <c r="B555" s="268" t="s">
        <v>1417</v>
      </c>
      <c r="C555" s="268">
        <v>54</v>
      </c>
      <c r="D555" s="268">
        <v>100</v>
      </c>
      <c r="E555" s="268">
        <v>139</v>
      </c>
      <c r="F555" s="268">
        <v>9135158</v>
      </c>
      <c r="G555" s="813"/>
    </row>
    <row r="556" spans="1:7" ht="30" customHeight="1" x14ac:dyDescent="0.25">
      <c r="A556" s="268" t="s">
        <v>1418</v>
      </c>
      <c r="B556" s="268" t="s">
        <v>1409</v>
      </c>
      <c r="C556" s="268">
        <v>70</v>
      </c>
      <c r="D556" s="268">
        <v>130</v>
      </c>
      <c r="E556" s="268">
        <v>180</v>
      </c>
      <c r="F556" s="268">
        <v>11829830</v>
      </c>
      <c r="G556" s="809"/>
    </row>
    <row r="557" spans="1:7" ht="30" customHeight="1" x14ac:dyDescent="0.25">
      <c r="A557" s="268" t="s">
        <v>215</v>
      </c>
      <c r="B557" s="268" t="s">
        <v>1419</v>
      </c>
      <c r="C557" s="268">
        <v>210</v>
      </c>
      <c r="D557" s="268">
        <v>180</v>
      </c>
      <c r="E557" s="268">
        <v>140</v>
      </c>
      <c r="F557" s="268">
        <v>9221330</v>
      </c>
      <c r="G557" s="814"/>
    </row>
    <row r="558" spans="1:7" ht="30" customHeight="1" x14ac:dyDescent="0.25">
      <c r="A558" s="268" t="s">
        <v>1420</v>
      </c>
      <c r="B558" s="268" t="s">
        <v>1421</v>
      </c>
      <c r="C558" s="268">
        <v>255</v>
      </c>
      <c r="D558" s="268">
        <v>165</v>
      </c>
      <c r="E558" s="268">
        <v>79</v>
      </c>
      <c r="F558" s="268">
        <v>5219839</v>
      </c>
      <c r="G558" s="815"/>
    </row>
    <row r="559" spans="1:7" ht="30" customHeight="1" x14ac:dyDescent="0.25">
      <c r="A559" s="268" t="s">
        <v>1422</v>
      </c>
      <c r="B559" s="268" t="s">
        <v>1423</v>
      </c>
      <c r="C559" s="268">
        <v>238</v>
      </c>
      <c r="D559" s="268">
        <v>154</v>
      </c>
      <c r="E559" s="268">
        <v>73</v>
      </c>
      <c r="F559" s="268">
        <v>4823790</v>
      </c>
      <c r="G559" s="816"/>
    </row>
    <row r="560" spans="1:7" ht="30" customHeight="1" x14ac:dyDescent="0.25">
      <c r="A560" s="268" t="s">
        <v>1424</v>
      </c>
      <c r="B560" s="268" t="s">
        <v>1425</v>
      </c>
      <c r="C560" s="268">
        <v>205</v>
      </c>
      <c r="D560" s="268">
        <v>133</v>
      </c>
      <c r="E560" s="268">
        <v>63</v>
      </c>
      <c r="F560" s="268">
        <v>4163021</v>
      </c>
      <c r="G560" s="817"/>
    </row>
    <row r="561" spans="1:7" ht="30" customHeight="1" x14ac:dyDescent="0.25">
      <c r="A561" s="268" t="s">
        <v>1426</v>
      </c>
      <c r="B561" s="268" t="s">
        <v>1427</v>
      </c>
      <c r="C561" s="268">
        <v>139</v>
      </c>
      <c r="D561" s="268">
        <v>90</v>
      </c>
      <c r="E561" s="268">
        <v>43</v>
      </c>
      <c r="F561" s="268">
        <v>2841227</v>
      </c>
      <c r="G561" s="818"/>
    </row>
    <row r="562" spans="1:7" ht="30" customHeight="1" x14ac:dyDescent="0.25">
      <c r="A562" s="268" t="s">
        <v>1512</v>
      </c>
      <c r="B562" s="268" t="s">
        <v>1428</v>
      </c>
      <c r="C562" s="268">
        <v>0</v>
      </c>
      <c r="D562" s="268">
        <v>128</v>
      </c>
      <c r="E562" s="268">
        <v>128</v>
      </c>
      <c r="F562" s="268">
        <v>8421376</v>
      </c>
      <c r="G562" s="819"/>
    </row>
    <row r="563" spans="1:7" ht="30" customHeight="1" x14ac:dyDescent="0.25">
      <c r="A563" s="268" t="s">
        <v>1429</v>
      </c>
      <c r="B563" s="268" t="s">
        <v>1430</v>
      </c>
      <c r="C563" s="268">
        <v>0</v>
      </c>
      <c r="D563" s="268">
        <v>133</v>
      </c>
      <c r="E563" s="268">
        <v>239</v>
      </c>
      <c r="F563" s="268">
        <v>1007160</v>
      </c>
      <c r="G563" s="820"/>
    </row>
    <row r="564" spans="1:7" ht="30" customHeight="1" x14ac:dyDescent="0.25">
      <c r="A564" s="268" t="s">
        <v>149</v>
      </c>
      <c r="B564" s="268" t="s">
        <v>1431</v>
      </c>
      <c r="C564" s="268">
        <v>216</v>
      </c>
      <c r="D564" s="268">
        <v>191</v>
      </c>
      <c r="E564" s="268">
        <v>216</v>
      </c>
      <c r="F564" s="268">
        <v>14204888</v>
      </c>
      <c r="G564" s="821"/>
    </row>
    <row r="565" spans="1:7" ht="30" customHeight="1" x14ac:dyDescent="0.25">
      <c r="A565" s="268" t="s">
        <v>1432</v>
      </c>
      <c r="B565" s="268" t="s">
        <v>1433</v>
      </c>
      <c r="C565" s="268">
        <v>255</v>
      </c>
      <c r="D565" s="268">
        <v>225</v>
      </c>
      <c r="E565" s="268">
        <v>255</v>
      </c>
      <c r="F565" s="268">
        <v>16769535</v>
      </c>
      <c r="G565" s="822"/>
    </row>
    <row r="566" spans="1:7" ht="30" customHeight="1" x14ac:dyDescent="0.25">
      <c r="A566" s="823" t="s">
        <v>1434</v>
      </c>
      <c r="B566" s="824" t="s">
        <v>1435</v>
      </c>
      <c r="C566" s="823">
        <v>238</v>
      </c>
      <c r="D566" s="823">
        <v>210</v>
      </c>
      <c r="E566" s="823">
        <v>238</v>
      </c>
      <c r="F566" s="824">
        <v>15651566</v>
      </c>
      <c r="G566" s="825"/>
    </row>
    <row r="567" spans="1:7" ht="30" customHeight="1" x14ac:dyDescent="0.25">
      <c r="A567" s="823" t="s">
        <v>1436</v>
      </c>
      <c r="B567" s="824" t="s">
        <v>1437</v>
      </c>
      <c r="C567" s="823">
        <v>205</v>
      </c>
      <c r="D567" s="823">
        <v>181</v>
      </c>
      <c r="E567" s="823">
        <v>205</v>
      </c>
      <c r="F567" s="824">
        <v>13481421</v>
      </c>
      <c r="G567" s="826"/>
    </row>
    <row r="568" spans="1:7" ht="30" customHeight="1" x14ac:dyDescent="0.25">
      <c r="A568" s="823" t="s">
        <v>1438</v>
      </c>
      <c r="B568" s="824" t="s">
        <v>1439</v>
      </c>
      <c r="C568" s="823">
        <v>139</v>
      </c>
      <c r="D568" s="823">
        <v>123</v>
      </c>
      <c r="E568" s="823">
        <v>139</v>
      </c>
      <c r="F568" s="824">
        <v>9141131</v>
      </c>
      <c r="G568" s="827"/>
    </row>
    <row r="569" spans="1:7" ht="30" customHeight="1" x14ac:dyDescent="0.25">
      <c r="A569" s="823" t="s">
        <v>1440</v>
      </c>
      <c r="B569" s="824" t="s">
        <v>1441</v>
      </c>
      <c r="C569" s="823">
        <v>255</v>
      </c>
      <c r="D569" s="823">
        <v>99</v>
      </c>
      <c r="E569" s="823">
        <v>71</v>
      </c>
      <c r="F569" s="824">
        <v>4678655</v>
      </c>
      <c r="G569" s="828"/>
    </row>
    <row r="570" spans="1:7" ht="30" customHeight="1" x14ac:dyDescent="0.25">
      <c r="A570" s="823" t="s">
        <v>1442</v>
      </c>
      <c r="B570" s="824" t="s">
        <v>1443</v>
      </c>
      <c r="C570" s="823">
        <v>238</v>
      </c>
      <c r="D570" s="823">
        <v>92</v>
      </c>
      <c r="E570" s="823">
        <v>66</v>
      </c>
      <c r="F570" s="824">
        <v>4349166</v>
      </c>
      <c r="G570" s="829"/>
    </row>
    <row r="571" spans="1:7" ht="30" customHeight="1" x14ac:dyDescent="0.25">
      <c r="A571" s="823" t="s">
        <v>1444</v>
      </c>
      <c r="B571" s="824" t="s">
        <v>1445</v>
      </c>
      <c r="C571" s="823">
        <v>205</v>
      </c>
      <c r="D571" s="823">
        <v>79</v>
      </c>
      <c r="E571" s="823">
        <v>57</v>
      </c>
      <c r="F571" s="824">
        <v>3755981</v>
      </c>
      <c r="G571" s="830"/>
    </row>
    <row r="572" spans="1:7" ht="30" customHeight="1" x14ac:dyDescent="0.25">
      <c r="A572" s="823" t="s">
        <v>1446</v>
      </c>
      <c r="B572" s="824" t="s">
        <v>1447</v>
      </c>
      <c r="C572" s="823">
        <v>139</v>
      </c>
      <c r="D572" s="823">
        <v>54</v>
      </c>
      <c r="E572" s="823">
        <v>38</v>
      </c>
      <c r="F572" s="824">
        <v>2504331</v>
      </c>
      <c r="G572" s="831"/>
    </row>
    <row r="573" spans="1:7" ht="30" customHeight="1" x14ac:dyDescent="0.25">
      <c r="A573" s="823" t="s">
        <v>1448</v>
      </c>
      <c r="B573" s="824" t="s">
        <v>1449</v>
      </c>
      <c r="C573" s="823">
        <v>0</v>
      </c>
      <c r="D573" s="823">
        <v>199</v>
      </c>
      <c r="E573" s="823">
        <v>140</v>
      </c>
      <c r="F573" s="824">
        <v>9225984</v>
      </c>
      <c r="G573" s="832"/>
    </row>
    <row r="574" spans="1:7" ht="30" customHeight="1" x14ac:dyDescent="0.25">
      <c r="A574" s="823" t="s">
        <v>275</v>
      </c>
      <c r="B574" s="824" t="s">
        <v>1450</v>
      </c>
      <c r="C574" s="823">
        <v>64</v>
      </c>
      <c r="D574" s="823">
        <v>224</v>
      </c>
      <c r="E574" s="823">
        <v>208</v>
      </c>
      <c r="F574" s="824">
        <v>13688896</v>
      </c>
      <c r="G574" s="833"/>
    </row>
    <row r="575" spans="1:7" ht="30" customHeight="1" x14ac:dyDescent="0.25">
      <c r="A575" s="823" t="s">
        <v>1451</v>
      </c>
      <c r="B575" s="824" t="s">
        <v>1452</v>
      </c>
      <c r="C575" s="823">
        <v>0</v>
      </c>
      <c r="D575" s="823">
        <v>245</v>
      </c>
      <c r="E575" s="823">
        <v>255</v>
      </c>
      <c r="F575" s="824">
        <v>16774400</v>
      </c>
      <c r="G575" s="834"/>
    </row>
    <row r="576" spans="1:7" ht="30" customHeight="1" x14ac:dyDescent="0.25">
      <c r="A576" s="823" t="s">
        <v>1453</v>
      </c>
      <c r="B576" s="824" t="s">
        <v>1454</v>
      </c>
      <c r="C576" s="823">
        <v>0</v>
      </c>
      <c r="D576" s="823">
        <v>229</v>
      </c>
      <c r="E576" s="823">
        <v>238</v>
      </c>
      <c r="F576" s="824">
        <v>15656192</v>
      </c>
      <c r="G576" s="835"/>
    </row>
    <row r="577" spans="1:7" ht="30" customHeight="1" x14ac:dyDescent="0.25">
      <c r="A577" s="823" t="s">
        <v>1455</v>
      </c>
      <c r="B577" s="824" t="s">
        <v>1456</v>
      </c>
      <c r="C577" s="823">
        <v>0</v>
      </c>
      <c r="D577" s="823">
        <v>197</v>
      </c>
      <c r="E577" s="823">
        <v>205</v>
      </c>
      <c r="F577" s="824">
        <v>13485312</v>
      </c>
      <c r="G577" s="836"/>
    </row>
    <row r="578" spans="1:7" ht="30" customHeight="1" x14ac:dyDescent="0.25">
      <c r="A578" s="823" t="s">
        <v>1457</v>
      </c>
      <c r="B578" s="824" t="s">
        <v>1458</v>
      </c>
      <c r="C578" s="823">
        <v>0</v>
      </c>
      <c r="D578" s="823">
        <v>134</v>
      </c>
      <c r="E578" s="823">
        <v>139</v>
      </c>
      <c r="F578" s="824">
        <v>9143808</v>
      </c>
      <c r="G578" s="837"/>
    </row>
    <row r="579" spans="1:7" ht="30" customHeight="1" x14ac:dyDescent="0.25">
      <c r="A579" s="144" t="s">
        <v>1459</v>
      </c>
      <c r="B579" s="2"/>
      <c r="C579" s="17">
        <v>10</v>
      </c>
      <c r="D579" s="17">
        <v>201</v>
      </c>
      <c r="E579" s="17">
        <v>43</v>
      </c>
      <c r="F579" s="2"/>
      <c r="G579" s="144"/>
    </row>
    <row r="580" spans="1:7" ht="30" customHeight="1" x14ac:dyDescent="0.25">
      <c r="A580" s="823" t="s">
        <v>305</v>
      </c>
      <c r="B580" s="824" t="s">
        <v>1460</v>
      </c>
      <c r="C580" s="823">
        <v>0</v>
      </c>
      <c r="D580" s="823">
        <v>42</v>
      </c>
      <c r="E580" s="823">
        <v>143</v>
      </c>
      <c r="F580" s="824">
        <v>9382400</v>
      </c>
      <c r="G580" s="838"/>
    </row>
    <row r="581" spans="1:7" ht="30" customHeight="1" x14ac:dyDescent="0.25">
      <c r="A581" s="189" t="s">
        <v>305</v>
      </c>
      <c r="B581" s="2"/>
      <c r="C581" s="17">
        <v>18</v>
      </c>
      <c r="D581" s="17">
        <v>10</v>
      </c>
      <c r="E581" s="17">
        <v>143</v>
      </c>
      <c r="F581" s="2"/>
      <c r="G581" s="189"/>
    </row>
    <row r="582" spans="1:7" ht="30" customHeight="1" x14ac:dyDescent="0.25">
      <c r="A582" s="200" t="s">
        <v>1461</v>
      </c>
      <c r="B582" s="2"/>
      <c r="C582" s="17">
        <v>92</v>
      </c>
      <c r="D582" s="17">
        <v>36</v>
      </c>
      <c r="E582" s="17">
        <v>110</v>
      </c>
      <c r="F582" s="2"/>
      <c r="G582" s="200"/>
    </row>
    <row r="583" spans="1:7" ht="30" customHeight="1" x14ac:dyDescent="0.25">
      <c r="A583" s="104" t="s">
        <v>1462</v>
      </c>
      <c r="B583" s="2"/>
      <c r="C583" s="17">
        <v>94</v>
      </c>
      <c r="D583" s="17">
        <v>38</v>
      </c>
      <c r="E583" s="17">
        <v>5</v>
      </c>
      <c r="F583" s="2"/>
      <c r="G583" s="104"/>
    </row>
    <row r="584" spans="1:7" ht="30" customHeight="1" x14ac:dyDescent="0.25">
      <c r="A584" s="78" t="s">
        <v>1463</v>
      </c>
      <c r="B584" s="2"/>
      <c r="C584" s="17">
        <v>212</v>
      </c>
      <c r="D584" s="17">
        <v>26</v>
      </c>
      <c r="E584" s="17">
        <v>31</v>
      </c>
      <c r="F584" s="2"/>
      <c r="G584" s="78"/>
    </row>
    <row r="585" spans="1:7" ht="30" customHeight="1" x14ac:dyDescent="0.25">
      <c r="A585" s="823" t="s">
        <v>317</v>
      </c>
      <c r="B585" s="824" t="s">
        <v>1464</v>
      </c>
      <c r="C585" s="823">
        <v>238</v>
      </c>
      <c r="D585" s="823">
        <v>130</v>
      </c>
      <c r="E585" s="823">
        <v>238</v>
      </c>
      <c r="F585" s="824">
        <v>15631086</v>
      </c>
      <c r="G585" s="839"/>
    </row>
    <row r="586" spans="1:7" ht="30" customHeight="1" x14ac:dyDescent="0.25">
      <c r="A586" s="201" t="s">
        <v>1465</v>
      </c>
      <c r="B586" s="2"/>
      <c r="C586" s="17">
        <v>143</v>
      </c>
      <c r="D586" s="17">
        <v>94</v>
      </c>
      <c r="E586" s="17">
        <v>153</v>
      </c>
      <c r="F586" s="2"/>
      <c r="G586" s="201"/>
    </row>
    <row r="587" spans="1:7" ht="30" customHeight="1" x14ac:dyDescent="0.25">
      <c r="A587" s="840" t="s">
        <v>1466</v>
      </c>
      <c r="B587" s="287"/>
      <c r="C587" s="288">
        <v>145</v>
      </c>
      <c r="D587" s="288">
        <v>33</v>
      </c>
      <c r="E587" s="288">
        <v>158</v>
      </c>
      <c r="F587" s="287"/>
      <c r="G587" s="840"/>
    </row>
    <row r="588" spans="1:7" ht="30" customHeight="1" x14ac:dyDescent="0.25">
      <c r="A588" s="823" t="s">
        <v>1467</v>
      </c>
      <c r="B588" s="824" t="s">
        <v>1468</v>
      </c>
      <c r="C588" s="823">
        <v>208</v>
      </c>
      <c r="D588" s="823">
        <v>32</v>
      </c>
      <c r="E588" s="823">
        <v>144</v>
      </c>
      <c r="F588" s="824">
        <v>9445584</v>
      </c>
      <c r="G588" s="841"/>
    </row>
    <row r="589" spans="1:7" ht="30" customHeight="1" x14ac:dyDescent="0.25">
      <c r="A589" s="823" t="s">
        <v>1469</v>
      </c>
      <c r="B589" s="824" t="s">
        <v>1470</v>
      </c>
      <c r="C589" s="823">
        <v>255</v>
      </c>
      <c r="D589" s="823">
        <v>62</v>
      </c>
      <c r="E589" s="823">
        <v>150</v>
      </c>
      <c r="F589" s="824">
        <v>9846527</v>
      </c>
      <c r="G589" s="842"/>
    </row>
    <row r="590" spans="1:7" ht="30" customHeight="1" x14ac:dyDescent="0.25">
      <c r="A590" s="823" t="s">
        <v>1471</v>
      </c>
      <c r="B590" s="824" t="s">
        <v>1472</v>
      </c>
      <c r="C590" s="823">
        <v>238</v>
      </c>
      <c r="D590" s="823">
        <v>58</v>
      </c>
      <c r="E590" s="823">
        <v>140</v>
      </c>
      <c r="F590" s="824">
        <v>9190126</v>
      </c>
      <c r="G590" s="843"/>
    </row>
    <row r="591" spans="1:7" ht="30" customHeight="1" x14ac:dyDescent="0.25">
      <c r="A591" s="823" t="s">
        <v>1473</v>
      </c>
      <c r="B591" s="824" t="s">
        <v>1474</v>
      </c>
      <c r="C591" s="823">
        <v>205</v>
      </c>
      <c r="D591" s="823">
        <v>50</v>
      </c>
      <c r="E591" s="823">
        <v>120</v>
      </c>
      <c r="F591" s="824">
        <v>7877325</v>
      </c>
      <c r="G591" s="844"/>
    </row>
    <row r="592" spans="1:7" ht="30" customHeight="1" x14ac:dyDescent="0.25">
      <c r="A592" s="823" t="s">
        <v>1475</v>
      </c>
      <c r="B592" s="824" t="s">
        <v>1476</v>
      </c>
      <c r="C592" s="823">
        <v>139</v>
      </c>
      <c r="D592" s="823">
        <v>34</v>
      </c>
      <c r="E592" s="823">
        <v>82</v>
      </c>
      <c r="F592" s="824">
        <v>5382795</v>
      </c>
      <c r="G592" s="845"/>
    </row>
    <row r="593" spans="1:7" ht="30" customHeight="1" x14ac:dyDescent="0.25">
      <c r="A593" s="846" t="s">
        <v>1477</v>
      </c>
      <c r="B593" s="287"/>
      <c r="C593" s="288">
        <v>219</v>
      </c>
      <c r="D593" s="288">
        <v>38</v>
      </c>
      <c r="E593" s="288">
        <v>69</v>
      </c>
      <c r="F593" s="287"/>
      <c r="G593" s="846"/>
    </row>
    <row r="594" spans="1:7" ht="30" customHeight="1" x14ac:dyDescent="0.25">
      <c r="A594" s="153" t="s">
        <v>1478</v>
      </c>
      <c r="B594" s="2"/>
      <c r="C594" s="17">
        <v>110</v>
      </c>
      <c r="D594" s="17">
        <v>255</v>
      </c>
      <c r="E594" s="17">
        <v>112</v>
      </c>
      <c r="F594" s="2"/>
      <c r="G594" s="153"/>
    </row>
    <row r="595" spans="1:7" ht="30" customHeight="1" x14ac:dyDescent="0.25">
      <c r="A595" s="823" t="s">
        <v>1479</v>
      </c>
      <c r="B595" s="824" t="s">
        <v>1480</v>
      </c>
      <c r="C595" s="823">
        <v>128</v>
      </c>
      <c r="D595" s="823">
        <v>128</v>
      </c>
      <c r="E595" s="823">
        <v>105</v>
      </c>
      <c r="F595" s="824">
        <v>6914176</v>
      </c>
      <c r="G595" s="847"/>
    </row>
    <row r="596" spans="1:7" ht="30" customHeight="1" x14ac:dyDescent="0.25">
      <c r="A596" s="823" t="s">
        <v>151</v>
      </c>
      <c r="B596" s="824" t="s">
        <v>1481</v>
      </c>
      <c r="C596" s="823">
        <v>245</v>
      </c>
      <c r="D596" s="823">
        <v>222</v>
      </c>
      <c r="E596" s="823">
        <v>179</v>
      </c>
      <c r="F596" s="824">
        <v>11788021</v>
      </c>
      <c r="G596" s="848"/>
    </row>
    <row r="597" spans="1:7" ht="30" customHeight="1" x14ac:dyDescent="0.25">
      <c r="A597" s="823" t="s">
        <v>1482</v>
      </c>
      <c r="B597" s="824" t="s">
        <v>1483</v>
      </c>
      <c r="C597" s="823">
        <v>255</v>
      </c>
      <c r="D597" s="823">
        <v>231</v>
      </c>
      <c r="E597" s="823">
        <v>186</v>
      </c>
      <c r="F597" s="824">
        <v>12249087</v>
      </c>
      <c r="G597" s="849"/>
    </row>
    <row r="598" spans="1:7" ht="30" customHeight="1" x14ac:dyDescent="0.25">
      <c r="A598" s="823" t="s">
        <v>1484</v>
      </c>
      <c r="B598" s="824" t="s">
        <v>1485</v>
      </c>
      <c r="C598" s="823">
        <v>238</v>
      </c>
      <c r="D598" s="823">
        <v>216</v>
      </c>
      <c r="E598" s="823">
        <v>174</v>
      </c>
      <c r="F598" s="824">
        <v>11458798</v>
      </c>
      <c r="G598" s="850"/>
    </row>
    <row r="599" spans="1:7" ht="30" customHeight="1" x14ac:dyDescent="0.25">
      <c r="A599" s="823" t="s">
        <v>1486</v>
      </c>
      <c r="B599" s="824" t="s">
        <v>1487</v>
      </c>
      <c r="C599" s="823">
        <v>205</v>
      </c>
      <c r="D599" s="823">
        <v>186</v>
      </c>
      <c r="E599" s="823">
        <v>150</v>
      </c>
      <c r="F599" s="824">
        <v>9878221</v>
      </c>
      <c r="G599" s="851"/>
    </row>
    <row r="600" spans="1:7" ht="30" customHeight="1" x14ac:dyDescent="0.25">
      <c r="A600" s="823" t="s">
        <v>1488</v>
      </c>
      <c r="B600" s="824" t="s">
        <v>1489</v>
      </c>
      <c r="C600" s="823">
        <v>139</v>
      </c>
      <c r="D600" s="823">
        <v>126</v>
      </c>
      <c r="E600" s="823">
        <v>102</v>
      </c>
      <c r="F600" s="824">
        <v>6717067</v>
      </c>
      <c r="G600" s="852"/>
    </row>
    <row r="601" spans="1:7" ht="30" customHeight="1" x14ac:dyDescent="0.25">
      <c r="A601" s="823" t="s">
        <v>1490</v>
      </c>
      <c r="B601" s="824" t="s">
        <v>880</v>
      </c>
      <c r="C601" s="823">
        <v>245</v>
      </c>
      <c r="D601" s="823">
        <v>245</v>
      </c>
      <c r="E601" s="823">
        <v>245</v>
      </c>
      <c r="F601" s="824">
        <v>16119285</v>
      </c>
      <c r="G601" s="853"/>
    </row>
    <row r="602" spans="1:7" ht="30" customHeight="1" x14ac:dyDescent="0.25">
      <c r="A602" s="823" t="s">
        <v>152</v>
      </c>
      <c r="B602" s="824" t="s">
        <v>1491</v>
      </c>
      <c r="C602" s="823">
        <v>255</v>
      </c>
      <c r="D602" s="823">
        <v>255</v>
      </c>
      <c r="E602" s="823">
        <v>255</v>
      </c>
      <c r="F602" s="824">
        <v>16777215</v>
      </c>
      <c r="G602" s="854"/>
    </row>
    <row r="603" spans="1:7" ht="30" customHeight="1" x14ac:dyDescent="0.25">
      <c r="A603" s="41" t="s">
        <v>1492</v>
      </c>
      <c r="B603" s="2"/>
      <c r="C603" s="17">
        <v>252</v>
      </c>
      <c r="D603" s="17">
        <v>255</v>
      </c>
      <c r="E603" s="17">
        <v>240</v>
      </c>
      <c r="F603" s="2"/>
      <c r="G603" s="41"/>
    </row>
    <row r="604" spans="1:7" ht="30" customHeight="1" x14ac:dyDescent="0.25">
      <c r="A604" s="45" t="s">
        <v>1493</v>
      </c>
      <c r="B604" s="2"/>
      <c r="C604" s="17">
        <v>253</v>
      </c>
      <c r="D604" s="17">
        <v>248</v>
      </c>
      <c r="E604" s="17">
        <v>255</v>
      </c>
      <c r="F604" s="2"/>
      <c r="G604" s="45"/>
    </row>
    <row r="605" spans="1:7" ht="30" customHeight="1" x14ac:dyDescent="0.25">
      <c r="A605" s="823" t="s">
        <v>1494</v>
      </c>
      <c r="B605" s="824" t="s">
        <v>1495</v>
      </c>
      <c r="C605" s="823">
        <v>255</v>
      </c>
      <c r="D605" s="823">
        <v>255</v>
      </c>
      <c r="E605" s="823">
        <v>0</v>
      </c>
      <c r="F605" s="824">
        <v>65535</v>
      </c>
      <c r="G605" s="855"/>
    </row>
    <row r="606" spans="1:7" ht="30" customHeight="1" x14ac:dyDescent="0.25">
      <c r="A606" s="823" t="s">
        <v>1496</v>
      </c>
      <c r="B606" s="824" t="s">
        <v>1497</v>
      </c>
      <c r="C606" s="823">
        <v>238</v>
      </c>
      <c r="D606" s="823">
        <v>238</v>
      </c>
      <c r="E606" s="823">
        <v>0</v>
      </c>
      <c r="F606" s="824">
        <v>61166</v>
      </c>
      <c r="G606" s="856"/>
    </row>
    <row r="607" spans="1:7" ht="30" customHeight="1" x14ac:dyDescent="0.25">
      <c r="A607" s="857" t="s">
        <v>1498</v>
      </c>
      <c r="B607" s="287"/>
      <c r="C607" s="288">
        <v>255</v>
      </c>
      <c r="D607" s="288">
        <v>227</v>
      </c>
      <c r="E607" s="288">
        <v>3</v>
      </c>
      <c r="F607" s="287"/>
      <c r="G607" s="857"/>
    </row>
    <row r="608" spans="1:7" ht="30" customHeight="1" x14ac:dyDescent="0.25">
      <c r="A608" s="823" t="s">
        <v>1499</v>
      </c>
      <c r="B608" s="824" t="s">
        <v>1500</v>
      </c>
      <c r="C608" s="823">
        <v>205</v>
      </c>
      <c r="D608" s="823">
        <v>205</v>
      </c>
      <c r="E608" s="823">
        <v>0</v>
      </c>
      <c r="F608" s="824">
        <v>52685</v>
      </c>
      <c r="G608" s="858"/>
    </row>
    <row r="609" spans="1:7" ht="30" customHeight="1" x14ac:dyDescent="0.25">
      <c r="A609" s="823" t="s">
        <v>1501</v>
      </c>
      <c r="B609" s="824" t="s">
        <v>1502</v>
      </c>
      <c r="C609" s="823">
        <v>139</v>
      </c>
      <c r="D609" s="823">
        <v>139</v>
      </c>
      <c r="E609" s="823">
        <v>0</v>
      </c>
      <c r="F609" s="824">
        <v>35723</v>
      </c>
      <c r="G609" s="859"/>
    </row>
    <row r="610" spans="1:7" ht="30" customHeight="1" x14ac:dyDescent="0.25">
      <c r="A610" s="113" t="s">
        <v>1503</v>
      </c>
      <c r="B610" s="2"/>
      <c r="C610" s="17">
        <v>227</v>
      </c>
      <c r="D610" s="17">
        <v>130</v>
      </c>
      <c r="E610" s="17">
        <v>23</v>
      </c>
      <c r="F610" s="2"/>
      <c r="G610" s="113"/>
    </row>
    <row r="611" spans="1:7" ht="30" customHeight="1" x14ac:dyDescent="0.25">
      <c r="A611" s="860" t="s">
        <v>1504</v>
      </c>
      <c r="B611" s="287"/>
      <c r="C611" s="288">
        <v>255</v>
      </c>
      <c r="D611" s="288">
        <v>168</v>
      </c>
      <c r="E611" s="288">
        <v>36</v>
      </c>
      <c r="F611" s="287"/>
      <c r="G611" s="860"/>
    </row>
  </sheetData>
  <autoFilter ref="A1:I611" xr:uid="{00000000-0009-0000-0000-000003000000}"/>
  <hyperlinks>
    <hyperlink ref="K6" r:id="rId1" xr:uid="{00000000-0004-0000-0300-000000000000}"/>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M31"/>
  <sheetViews>
    <sheetView showGridLines="0" topLeftCell="A8" zoomScaleNormal="100" workbookViewId="0">
      <selection activeCell="B21" sqref="B21"/>
    </sheetView>
  </sheetViews>
  <sheetFormatPr defaultRowHeight="15" x14ac:dyDescent="0.25"/>
  <cols>
    <col min="1" max="1" width="14.140625" style="1" bestFit="1" customWidth="1"/>
    <col min="2" max="2" width="17.7109375" style="1" bestFit="1" customWidth="1"/>
    <col min="3" max="6" width="7.140625" style="1" customWidth="1"/>
    <col min="7" max="8" width="9.140625" style="1"/>
    <col min="9" max="9" width="19.42578125" style="1" bestFit="1" customWidth="1"/>
    <col min="10" max="10" width="6.7109375" style="1" bestFit="1" customWidth="1"/>
    <col min="11" max="11" width="7" style="1" bestFit="1" customWidth="1"/>
    <col min="12" max="12" width="6.7109375" style="1" bestFit="1" customWidth="1"/>
    <col min="13" max="13" width="0" style="1" hidden="1" customWidth="1"/>
    <col min="14" max="16384" width="9.140625" style="1"/>
  </cols>
  <sheetData>
    <row r="1" spans="1:13" ht="15.75" thickBot="1" x14ac:dyDescent="0.3">
      <c r="A1" s="866" t="s">
        <v>322</v>
      </c>
      <c r="B1" s="867" t="s">
        <v>323</v>
      </c>
      <c r="C1" s="867" t="s">
        <v>121</v>
      </c>
      <c r="D1" s="867" t="s">
        <v>122</v>
      </c>
      <c r="E1" s="867" t="s">
        <v>123</v>
      </c>
    </row>
    <row r="2" spans="1:13" ht="51.75" customHeight="1" thickBot="1" x14ac:dyDescent="0.3">
      <c r="A2" s="872" t="s">
        <v>279</v>
      </c>
      <c r="B2" s="959" t="s">
        <v>1448</v>
      </c>
      <c r="C2" s="873">
        <v>0</v>
      </c>
      <c r="D2" s="873">
        <v>199</v>
      </c>
      <c r="E2" s="873">
        <v>140</v>
      </c>
      <c r="M2" s="868" t="s">
        <v>324</v>
      </c>
    </row>
    <row r="3" spans="1:13" ht="51.75" customHeight="1" x14ac:dyDescent="0.25">
      <c r="A3" s="875" t="s">
        <v>306</v>
      </c>
      <c r="B3" s="960" t="s">
        <v>1477</v>
      </c>
      <c r="C3" s="876">
        <v>219</v>
      </c>
      <c r="D3" s="876">
        <v>38</v>
      </c>
      <c r="E3" s="876">
        <v>69</v>
      </c>
      <c r="M3" s="874">
        <v>4</v>
      </c>
    </row>
    <row r="4" spans="1:13" ht="51.75" customHeight="1" x14ac:dyDescent="0.25">
      <c r="A4" s="878" t="s">
        <v>279</v>
      </c>
      <c r="B4" s="961" t="s">
        <v>637</v>
      </c>
      <c r="C4" s="879">
        <v>30</v>
      </c>
      <c r="D4" s="879">
        <v>144</v>
      </c>
      <c r="E4" s="879">
        <v>255</v>
      </c>
      <c r="M4" s="877">
        <v>5</v>
      </c>
    </row>
    <row r="5" spans="1:13" ht="51.75" customHeight="1" x14ac:dyDescent="0.25">
      <c r="A5" s="881" t="s">
        <v>227</v>
      </c>
      <c r="B5" s="962" t="s">
        <v>1494</v>
      </c>
      <c r="C5" s="882">
        <v>255</v>
      </c>
      <c r="D5" s="882">
        <v>255</v>
      </c>
      <c r="E5" s="882">
        <v>0</v>
      </c>
      <c r="M5" s="880">
        <v>6</v>
      </c>
    </row>
    <row r="6" spans="1:13" ht="51.75" customHeight="1" x14ac:dyDescent="0.25">
      <c r="A6" s="884" t="s">
        <v>217</v>
      </c>
      <c r="B6" s="963" t="s">
        <v>1159</v>
      </c>
      <c r="C6" s="885">
        <v>255</v>
      </c>
      <c r="D6" s="885">
        <v>69</v>
      </c>
      <c r="E6" s="885">
        <v>0</v>
      </c>
      <c r="M6" s="883"/>
    </row>
    <row r="7" spans="1:13" ht="51.75" customHeight="1" x14ac:dyDescent="0.25">
      <c r="A7" s="887" t="s">
        <v>306</v>
      </c>
      <c r="B7" s="964" t="s">
        <v>1465</v>
      </c>
      <c r="C7" s="888">
        <v>143</v>
      </c>
      <c r="D7" s="888">
        <v>94</v>
      </c>
      <c r="E7" s="888">
        <v>153</v>
      </c>
      <c r="M7" s="886">
        <v>7</v>
      </c>
    </row>
    <row r="8" spans="1:13" ht="51.75" customHeight="1" x14ac:dyDescent="0.25">
      <c r="A8" s="890" t="s">
        <v>164</v>
      </c>
      <c r="B8" s="965" t="s">
        <v>953</v>
      </c>
      <c r="C8" s="891">
        <v>46</v>
      </c>
      <c r="D8" s="891">
        <v>71</v>
      </c>
      <c r="E8" s="891">
        <v>59</v>
      </c>
      <c r="M8" s="889">
        <v>8</v>
      </c>
    </row>
    <row r="9" spans="1:13" ht="51.75" customHeight="1" x14ac:dyDescent="0.25">
      <c r="A9" s="893" t="s">
        <v>227</v>
      </c>
      <c r="B9" s="966" t="s">
        <v>1126</v>
      </c>
      <c r="C9" s="894">
        <v>255</v>
      </c>
      <c r="D9" s="894">
        <v>168</v>
      </c>
      <c r="E9" s="894">
        <v>18</v>
      </c>
      <c r="M9" s="892">
        <v>9</v>
      </c>
    </row>
    <row r="10" spans="1:13" ht="51.75" customHeight="1" x14ac:dyDescent="0.25">
      <c r="A10" s="896" t="s">
        <v>168</v>
      </c>
      <c r="B10" s="967" t="s">
        <v>457</v>
      </c>
      <c r="C10" s="897">
        <v>227</v>
      </c>
      <c r="D10" s="897">
        <v>38</v>
      </c>
      <c r="E10" s="897">
        <v>54</v>
      </c>
      <c r="M10" s="895">
        <v>10</v>
      </c>
    </row>
    <row r="11" spans="1:13" ht="51.75" customHeight="1" x14ac:dyDescent="0.25">
      <c r="A11" s="899" t="s">
        <v>168</v>
      </c>
      <c r="B11" s="968" t="s">
        <v>184</v>
      </c>
      <c r="C11" s="900">
        <v>135</v>
      </c>
      <c r="D11" s="900">
        <v>38</v>
      </c>
      <c r="E11" s="900">
        <v>87</v>
      </c>
      <c r="M11" s="898">
        <v>11</v>
      </c>
    </row>
    <row r="12" spans="1:13" ht="51.75" customHeight="1" x14ac:dyDescent="0.25">
      <c r="A12" s="902" t="s">
        <v>279</v>
      </c>
      <c r="B12" s="969" t="s">
        <v>629</v>
      </c>
      <c r="C12" s="903">
        <v>0</v>
      </c>
      <c r="D12" s="903">
        <v>191</v>
      </c>
      <c r="E12" s="903">
        <v>255</v>
      </c>
      <c r="M12" s="901">
        <v>12</v>
      </c>
    </row>
    <row r="13" spans="1:13" ht="51.75" customHeight="1" x14ac:dyDescent="0.25">
      <c r="A13" s="905" t="s">
        <v>306</v>
      </c>
      <c r="B13" s="970" t="s">
        <v>1461</v>
      </c>
      <c r="C13" s="906">
        <v>92</v>
      </c>
      <c r="D13" s="906">
        <v>36</v>
      </c>
      <c r="E13" s="906">
        <v>110</v>
      </c>
      <c r="M13" s="904">
        <v>13</v>
      </c>
    </row>
    <row r="14" spans="1:13" ht="51.75" customHeight="1" x14ac:dyDescent="0.25">
      <c r="A14" s="908" t="s">
        <v>242</v>
      </c>
      <c r="B14" s="971" t="s">
        <v>1101</v>
      </c>
      <c r="C14" s="909">
        <v>60</v>
      </c>
      <c r="D14" s="909">
        <v>179</v>
      </c>
      <c r="E14" s="909">
        <v>113</v>
      </c>
      <c r="M14" s="907">
        <v>14</v>
      </c>
    </row>
    <row r="15" spans="1:13" ht="51.75" customHeight="1" x14ac:dyDescent="0.25">
      <c r="A15" s="911" t="s">
        <v>306</v>
      </c>
      <c r="B15" s="972" t="s">
        <v>1109</v>
      </c>
      <c r="C15" s="912">
        <v>199</v>
      </c>
      <c r="D15" s="912">
        <v>21</v>
      </c>
      <c r="E15" s="912">
        <v>133</v>
      </c>
      <c r="M15" s="910">
        <v>15</v>
      </c>
    </row>
    <row r="16" spans="1:13" ht="51.75" customHeight="1" x14ac:dyDescent="0.25">
      <c r="A16" s="914" t="s">
        <v>270</v>
      </c>
      <c r="B16" s="973" t="s">
        <v>407</v>
      </c>
      <c r="C16" s="915">
        <v>0</v>
      </c>
      <c r="D16" s="915">
        <v>255</v>
      </c>
      <c r="E16" s="915">
        <v>255</v>
      </c>
      <c r="M16" s="913">
        <v>16</v>
      </c>
    </row>
    <row r="17" spans="1:13" ht="51.75" customHeight="1" x14ac:dyDescent="0.25">
      <c r="A17" s="917" t="s">
        <v>168</v>
      </c>
      <c r="B17" s="974" t="s">
        <v>1259</v>
      </c>
      <c r="C17" s="918">
        <v>227</v>
      </c>
      <c r="D17" s="918">
        <v>46</v>
      </c>
      <c r="E17" s="918">
        <v>48</v>
      </c>
      <c r="M17" s="916">
        <v>17</v>
      </c>
    </row>
    <row r="18" spans="1:13" ht="51.75" customHeight="1" x14ac:dyDescent="0.25">
      <c r="A18" s="920" t="s">
        <v>190</v>
      </c>
      <c r="B18" s="975" t="s">
        <v>427</v>
      </c>
      <c r="C18" s="921">
        <v>163</v>
      </c>
      <c r="D18" s="921">
        <v>148</v>
      </c>
      <c r="E18" s="921">
        <v>128</v>
      </c>
      <c r="M18" s="919">
        <v>18</v>
      </c>
    </row>
    <row r="19" spans="1:13" ht="51.75" customHeight="1" x14ac:dyDescent="0.25">
      <c r="A19" s="923" t="s">
        <v>279</v>
      </c>
      <c r="B19" s="976" t="s">
        <v>287</v>
      </c>
      <c r="C19" s="924">
        <v>5</v>
      </c>
      <c r="D19" s="924">
        <v>184</v>
      </c>
      <c r="E19" s="924">
        <v>204</v>
      </c>
      <c r="M19" s="922">
        <v>19</v>
      </c>
    </row>
    <row r="20" spans="1:13" ht="51.75" customHeight="1" x14ac:dyDescent="0.25">
      <c r="A20" s="926" t="s">
        <v>155</v>
      </c>
      <c r="B20" s="977" t="s">
        <v>1038</v>
      </c>
      <c r="C20" s="927">
        <v>119</v>
      </c>
      <c r="D20" s="927">
        <v>136</v>
      </c>
      <c r="E20" s="927">
        <v>153</v>
      </c>
      <c r="M20" s="925">
        <v>21</v>
      </c>
    </row>
    <row r="21" spans="1:13" ht="51.75" customHeight="1" x14ac:dyDescent="0.25">
      <c r="A21" s="929" t="s">
        <v>270</v>
      </c>
      <c r="B21" s="978" t="s">
        <v>1188</v>
      </c>
      <c r="C21" s="930">
        <v>175</v>
      </c>
      <c r="D21" s="930">
        <v>238</v>
      </c>
      <c r="E21" s="930">
        <v>238</v>
      </c>
      <c r="M21" s="928">
        <v>23</v>
      </c>
    </row>
    <row r="22" spans="1:13" ht="51.75" customHeight="1" x14ac:dyDescent="0.25">
      <c r="A22" s="932" t="s">
        <v>190</v>
      </c>
      <c r="B22" s="979" t="s">
        <v>1260</v>
      </c>
      <c r="C22" s="933">
        <v>188</v>
      </c>
      <c r="D22" s="933">
        <v>143</v>
      </c>
      <c r="E22" s="933">
        <v>143</v>
      </c>
      <c r="M22" s="931">
        <v>24</v>
      </c>
    </row>
    <row r="23" spans="1:13" ht="51.75" customHeight="1" x14ac:dyDescent="0.25">
      <c r="A23" s="935" t="s">
        <v>279</v>
      </c>
      <c r="B23" s="980" t="s">
        <v>1068</v>
      </c>
      <c r="C23" s="936">
        <v>3</v>
      </c>
      <c r="D23" s="936">
        <v>168</v>
      </c>
      <c r="E23" s="936">
        <v>158</v>
      </c>
      <c r="M23" s="934">
        <v>25</v>
      </c>
    </row>
    <row r="24" spans="1:13" ht="51.75" customHeight="1" x14ac:dyDescent="0.25">
      <c r="A24" s="938" t="s">
        <v>279</v>
      </c>
      <c r="B24" s="981" t="s">
        <v>1507</v>
      </c>
      <c r="C24" s="939">
        <v>0</v>
      </c>
      <c r="D24" s="939">
        <v>0</v>
      </c>
      <c r="E24" s="939">
        <v>128</v>
      </c>
      <c r="M24" s="937">
        <v>26</v>
      </c>
    </row>
    <row r="25" spans="1:13" ht="51.75" customHeight="1" x14ac:dyDescent="0.25">
      <c r="A25" s="941" t="s">
        <v>270</v>
      </c>
      <c r="B25" s="982" t="s">
        <v>1107</v>
      </c>
      <c r="C25" s="942">
        <v>72</v>
      </c>
      <c r="D25" s="942">
        <v>209</v>
      </c>
      <c r="E25" s="942">
        <v>204</v>
      </c>
      <c r="M25" s="940">
        <v>27</v>
      </c>
    </row>
    <row r="26" spans="1:13" ht="51.75" customHeight="1" x14ac:dyDescent="0.25">
      <c r="A26" s="944" t="s">
        <v>168</v>
      </c>
      <c r="B26" s="983" t="s">
        <v>918</v>
      </c>
      <c r="C26" s="945">
        <v>176</v>
      </c>
      <c r="D26" s="945">
        <v>23</v>
      </c>
      <c r="E26" s="945">
        <v>31</v>
      </c>
      <c r="M26" s="943">
        <v>29</v>
      </c>
    </row>
    <row r="27" spans="1:13" ht="51.75" customHeight="1" x14ac:dyDescent="0.25">
      <c r="A27" s="947" t="s">
        <v>270</v>
      </c>
      <c r="B27" s="984" t="s">
        <v>617</v>
      </c>
      <c r="C27" s="948">
        <v>0</v>
      </c>
      <c r="D27" s="948">
        <v>206</v>
      </c>
      <c r="E27" s="948">
        <v>209</v>
      </c>
      <c r="M27" s="946">
        <v>30</v>
      </c>
    </row>
    <row r="28" spans="1:13" ht="51.75" customHeight="1" x14ac:dyDescent="0.25">
      <c r="A28" s="950" t="s">
        <v>190</v>
      </c>
      <c r="B28" s="985" t="s">
        <v>211</v>
      </c>
      <c r="C28" s="951">
        <v>94</v>
      </c>
      <c r="D28" s="951">
        <v>38</v>
      </c>
      <c r="E28" s="951">
        <v>18</v>
      </c>
      <c r="M28" s="949">
        <v>31</v>
      </c>
    </row>
    <row r="29" spans="1:13" ht="51.75" customHeight="1" x14ac:dyDescent="0.25">
      <c r="A29" s="953" t="s">
        <v>279</v>
      </c>
      <c r="B29" s="986" t="s">
        <v>1112</v>
      </c>
      <c r="C29" s="954">
        <v>25</v>
      </c>
      <c r="D29" s="954">
        <v>25</v>
      </c>
      <c r="E29" s="954">
        <v>112</v>
      </c>
      <c r="M29" s="952">
        <v>32</v>
      </c>
    </row>
    <row r="30" spans="1:13" ht="51.75" customHeight="1" x14ac:dyDescent="0.25">
      <c r="A30" s="956" t="s">
        <v>242</v>
      </c>
      <c r="B30" s="987" t="s">
        <v>1024</v>
      </c>
      <c r="C30" s="957">
        <v>32</v>
      </c>
      <c r="D30" s="957">
        <v>178</v>
      </c>
      <c r="E30" s="957">
        <v>170</v>
      </c>
      <c r="M30" s="955">
        <v>33</v>
      </c>
    </row>
    <row r="31" spans="1:13" ht="45" customHeight="1" x14ac:dyDescent="0.25">
      <c r="A31"/>
      <c r="B31"/>
      <c r="C31"/>
      <c r="D31"/>
      <c r="E31"/>
      <c r="F31"/>
      <c r="G31"/>
      <c r="M31" s="958">
        <v>35</v>
      </c>
    </row>
  </sheetData>
  <autoFilter ref="H2:M2" xr:uid="{00000000-0009-0000-0000-000004000000}">
    <sortState xmlns:xlrd2="http://schemas.microsoft.com/office/spreadsheetml/2017/richdata2" ref="H3:M37">
      <sortCondition ref="M1"/>
    </sortState>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G1048575"/>
  <sheetViews>
    <sheetView showGridLines="0" topLeftCell="A30" workbookViewId="0">
      <selection activeCell="B39" sqref="B39"/>
    </sheetView>
  </sheetViews>
  <sheetFormatPr defaultRowHeight="23.25" x14ac:dyDescent="0.35"/>
  <cols>
    <col min="1" max="1" width="44.5703125" style="1" customWidth="1"/>
    <col min="2" max="2" width="93.42578125" style="10" bestFit="1" customWidth="1"/>
    <col min="3" max="7" width="9.140625" style="5"/>
    <col min="8" max="16384" width="9.140625" style="1"/>
  </cols>
  <sheetData>
    <row r="1" spans="2:3" ht="24" thickBot="1" x14ac:dyDescent="0.4">
      <c r="B1" s="4"/>
    </row>
    <row r="2" spans="2:3" ht="15.75" thickBot="1" x14ac:dyDescent="0.3">
      <c r="B2" s="1102" t="s">
        <v>325</v>
      </c>
      <c r="C2" s="1103"/>
    </row>
    <row r="3" spans="2:3" ht="22.5" x14ac:dyDescent="0.3">
      <c r="B3" s="8" t="s">
        <v>326</v>
      </c>
      <c r="C3" s="6" t="s">
        <v>123</v>
      </c>
    </row>
    <row r="4" spans="2:3" ht="22.5" x14ac:dyDescent="0.3">
      <c r="B4" s="9" t="s">
        <v>327</v>
      </c>
      <c r="C4" s="7" t="s">
        <v>123</v>
      </c>
    </row>
    <row r="5" spans="2:3" ht="22.5" x14ac:dyDescent="0.3">
      <c r="B5" s="9" t="s">
        <v>328</v>
      </c>
      <c r="C5" s="7" t="s">
        <v>123</v>
      </c>
    </row>
    <row r="6" spans="2:3" ht="22.5" x14ac:dyDescent="0.3">
      <c r="B6" s="9" t="s">
        <v>329</v>
      </c>
      <c r="C6" s="7" t="s">
        <v>123</v>
      </c>
    </row>
    <row r="7" spans="2:3" ht="22.5" x14ac:dyDescent="0.3">
      <c r="B7" s="9" t="s">
        <v>330</v>
      </c>
      <c r="C7" s="7" t="s">
        <v>123</v>
      </c>
    </row>
    <row r="8" spans="2:3" ht="22.5" x14ac:dyDescent="0.3">
      <c r="B8" s="9" t="s">
        <v>331</v>
      </c>
      <c r="C8" s="7" t="s">
        <v>123</v>
      </c>
    </row>
    <row r="9" spans="2:3" ht="22.5" x14ac:dyDescent="0.3">
      <c r="B9" s="11" t="s">
        <v>332</v>
      </c>
      <c r="C9" s="12" t="s">
        <v>123</v>
      </c>
    </row>
    <row r="10" spans="2:3" ht="22.5" x14ac:dyDescent="0.3">
      <c r="B10" s="9" t="s">
        <v>333</v>
      </c>
      <c r="C10" s="7" t="s">
        <v>123</v>
      </c>
    </row>
    <row r="11" spans="2:3" ht="22.5" x14ac:dyDescent="0.3">
      <c r="B11" s="9" t="s">
        <v>334</v>
      </c>
      <c r="C11" s="7" t="s">
        <v>123</v>
      </c>
    </row>
    <row r="12" spans="2:3" ht="22.5" x14ac:dyDescent="0.3">
      <c r="B12" s="9" t="s">
        <v>335</v>
      </c>
      <c r="C12" s="7" t="s">
        <v>123</v>
      </c>
    </row>
    <row r="13" spans="2:3" ht="22.5" x14ac:dyDescent="0.3">
      <c r="B13" s="9" t="s">
        <v>336</v>
      </c>
      <c r="C13" s="7" t="s">
        <v>337</v>
      </c>
    </row>
    <row r="14" spans="2:3" ht="22.5" x14ac:dyDescent="0.3">
      <c r="B14" s="9" t="s">
        <v>338</v>
      </c>
      <c r="C14" s="7" t="s">
        <v>123</v>
      </c>
    </row>
    <row r="15" spans="2:3" ht="22.5" x14ac:dyDescent="0.3">
      <c r="B15" s="9" t="s">
        <v>339</v>
      </c>
      <c r="C15" s="7" t="s">
        <v>123</v>
      </c>
    </row>
    <row r="16" spans="2:3" ht="22.5" x14ac:dyDescent="0.3">
      <c r="B16" s="9" t="s">
        <v>340</v>
      </c>
      <c r="C16" s="7" t="s">
        <v>123</v>
      </c>
    </row>
    <row r="17" spans="2:3" ht="22.5" x14ac:dyDescent="0.3">
      <c r="B17" s="9" t="s">
        <v>341</v>
      </c>
      <c r="C17" s="7" t="s">
        <v>123</v>
      </c>
    </row>
    <row r="18" spans="2:3" ht="22.5" x14ac:dyDescent="0.3">
      <c r="B18" s="9" t="s">
        <v>342</v>
      </c>
      <c r="C18" s="7" t="s">
        <v>123</v>
      </c>
    </row>
    <row r="19" spans="2:3" ht="22.5" x14ac:dyDescent="0.3">
      <c r="B19" s="9" t="s">
        <v>343</v>
      </c>
      <c r="C19" s="7" t="s">
        <v>123</v>
      </c>
    </row>
    <row r="20" spans="2:3" ht="22.5" x14ac:dyDescent="0.3">
      <c r="B20" s="9" t="s">
        <v>344</v>
      </c>
      <c r="C20" s="7" t="s">
        <v>123</v>
      </c>
    </row>
    <row r="21" spans="2:3" ht="22.5" x14ac:dyDescent="0.3">
      <c r="B21" s="9" t="s">
        <v>345</v>
      </c>
      <c r="C21" s="7" t="s">
        <v>123</v>
      </c>
    </row>
    <row r="22" spans="2:3" ht="22.5" x14ac:dyDescent="0.3">
      <c r="B22" s="9" t="s">
        <v>346</v>
      </c>
      <c r="C22" s="7"/>
    </row>
    <row r="23" spans="2:3" ht="22.5" x14ac:dyDescent="0.3">
      <c r="B23" s="9" t="s">
        <v>347</v>
      </c>
      <c r="C23" s="7" t="s">
        <v>123</v>
      </c>
    </row>
    <row r="24" spans="2:3" ht="22.5" x14ac:dyDescent="0.3">
      <c r="B24" s="9" t="s">
        <v>348</v>
      </c>
      <c r="C24" s="7" t="s">
        <v>123</v>
      </c>
    </row>
    <row r="25" spans="2:3" ht="22.5" x14ac:dyDescent="0.3">
      <c r="B25" s="9" t="s">
        <v>349</v>
      </c>
      <c r="C25" s="7" t="s">
        <v>123</v>
      </c>
    </row>
    <row r="26" spans="2:3" ht="22.5" x14ac:dyDescent="0.3">
      <c r="B26" s="9" t="s">
        <v>350</v>
      </c>
      <c r="C26" s="7"/>
    </row>
    <row r="27" spans="2:3" ht="22.5" x14ac:dyDescent="0.3">
      <c r="B27" s="9" t="s">
        <v>351</v>
      </c>
      <c r="C27" s="7"/>
    </row>
    <row r="28" spans="2:3" ht="30.75" x14ac:dyDescent="0.3">
      <c r="B28" s="208" t="s">
        <v>352</v>
      </c>
      <c r="C28" s="7"/>
    </row>
    <row r="29" spans="2:3" ht="22.5" x14ac:dyDescent="0.3">
      <c r="B29" s="9" t="s">
        <v>353</v>
      </c>
      <c r="C29" s="7" t="s">
        <v>123</v>
      </c>
    </row>
    <row r="30" spans="2:3" ht="22.5" x14ac:dyDescent="0.3">
      <c r="B30" s="9" t="s">
        <v>354</v>
      </c>
      <c r="C30" s="7"/>
    </row>
    <row r="31" spans="2:3" ht="22.5" x14ac:dyDescent="0.3">
      <c r="B31" s="9" t="s">
        <v>355</v>
      </c>
      <c r="C31" s="7" t="s">
        <v>337</v>
      </c>
    </row>
    <row r="32" spans="2:3" ht="22.5" x14ac:dyDescent="0.3">
      <c r="B32" s="9" t="s">
        <v>356</v>
      </c>
      <c r="C32" s="7"/>
    </row>
    <row r="33" spans="2:3" ht="22.5" x14ac:dyDescent="0.3">
      <c r="B33" s="9" t="s">
        <v>1529</v>
      </c>
      <c r="C33" s="7"/>
    </row>
    <row r="34" spans="2:3" ht="22.5" x14ac:dyDescent="0.3">
      <c r="B34" s="9" t="s">
        <v>1531</v>
      </c>
      <c r="C34" s="7" t="s">
        <v>123</v>
      </c>
    </row>
    <row r="35" spans="2:3" ht="22.5" x14ac:dyDescent="0.3">
      <c r="B35" s="9" t="s">
        <v>1532</v>
      </c>
      <c r="C35" s="7"/>
    </row>
    <row r="36" spans="2:3" ht="22.5" x14ac:dyDescent="0.3">
      <c r="B36" s="9" t="s">
        <v>1533</v>
      </c>
      <c r="C36" s="7"/>
    </row>
    <row r="37" spans="2:3" ht="22.5" x14ac:dyDescent="0.3">
      <c r="B37" s="9" t="s">
        <v>1534</v>
      </c>
      <c r="C37" s="7"/>
    </row>
    <row r="38" spans="2:3" ht="22.5" x14ac:dyDescent="0.3">
      <c r="B38" s="9" t="s">
        <v>1536</v>
      </c>
      <c r="C38" s="7"/>
    </row>
    <row r="39" spans="2:3" ht="30.75" x14ac:dyDescent="0.3">
      <c r="B39" s="208" t="s">
        <v>1537</v>
      </c>
      <c r="C39" s="7"/>
    </row>
    <row r="40" spans="2:3" ht="22.5" x14ac:dyDescent="0.3">
      <c r="B40" s="9"/>
      <c r="C40" s="7"/>
    </row>
    <row r="41" spans="2:3" ht="22.5" x14ac:dyDescent="0.3">
      <c r="B41" s="9"/>
      <c r="C41" s="7"/>
    </row>
    <row r="42" spans="2:3" ht="22.5" x14ac:dyDescent="0.3">
      <c r="B42" s="9"/>
      <c r="C42" s="7"/>
    </row>
    <row r="43" spans="2:3" ht="22.5" x14ac:dyDescent="0.3">
      <c r="B43" s="9"/>
      <c r="C43" s="7"/>
    </row>
    <row r="44" spans="2:3" ht="22.5" x14ac:dyDescent="0.3">
      <c r="B44" s="9"/>
      <c r="C44" s="7"/>
    </row>
    <row r="45" spans="2:3" ht="22.5" x14ac:dyDescent="0.3">
      <c r="B45" s="9"/>
      <c r="C45" s="7"/>
    </row>
    <row r="46" spans="2:3" ht="22.5" x14ac:dyDescent="0.3">
      <c r="B46" s="9"/>
      <c r="C46" s="7"/>
    </row>
    <row r="47" spans="2:3" ht="22.5" x14ac:dyDescent="0.3">
      <c r="B47" s="9"/>
      <c r="C47" s="7"/>
    </row>
    <row r="48" spans="2:3" ht="22.5" x14ac:dyDescent="0.3">
      <c r="B48" s="9"/>
      <c r="C48" s="7"/>
    </row>
    <row r="49" spans="2:3" ht="22.5" x14ac:dyDescent="0.3">
      <c r="B49" s="9"/>
      <c r="C49" s="7"/>
    </row>
    <row r="50" spans="2:3" ht="22.5" x14ac:dyDescent="0.3">
      <c r="B50" s="9"/>
      <c r="C50" s="7"/>
    </row>
    <row r="51" spans="2:3" ht="22.5" x14ac:dyDescent="0.3">
      <c r="B51" s="9"/>
      <c r="C51" s="7"/>
    </row>
    <row r="52" spans="2:3" ht="22.5" x14ac:dyDescent="0.3">
      <c r="B52" s="9"/>
      <c r="C52" s="7"/>
    </row>
    <row r="1048574" spans="1:1" x14ac:dyDescent="0.35">
      <c r="A1048574" s="3" t="s">
        <v>123</v>
      </c>
    </row>
    <row r="1048575" spans="1:1" x14ac:dyDescent="0.35">
      <c r="A1048575" s="3" t="s">
        <v>337</v>
      </c>
    </row>
  </sheetData>
  <mergeCells count="1">
    <mergeCell ref="B2:C2"/>
  </mergeCells>
  <dataValidations count="1">
    <dataValidation type="list" allowBlank="1" showInputMessage="1" showErrorMessage="1" sqref="C29 C23:C25 C31 C3:C21 C34" xr:uid="{00000000-0002-0000-0500-000000000000}">
      <formula1>$A$1048574:$A$1048576</formula1>
    </dataValidation>
  </dataValidations>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10</vt:i4>
      </vt:variant>
    </vt:vector>
  </HeadingPairs>
  <TitlesOfParts>
    <vt:vector size="16" baseType="lpstr">
      <vt:lpstr>Tutorial</vt:lpstr>
      <vt:lpstr>DATA</vt:lpstr>
      <vt:lpstr>colors short</vt:lpstr>
      <vt:lpstr>colors large</vt:lpstr>
      <vt:lpstr>Cols to choose for tutorial</vt:lpstr>
      <vt:lpstr>ToDo</vt:lpstr>
      <vt:lpstr>'colors large'!colors</vt:lpstr>
      <vt:lpstr>'colors short'!colourspace</vt:lpstr>
      <vt:lpstr>confidence_bix_X</vt:lpstr>
      <vt:lpstr>Confidence_Bounds</vt:lpstr>
      <vt:lpstr>Confidence_data</vt:lpstr>
      <vt:lpstr>Confidence_X</vt:lpstr>
      <vt:lpstr>Tutorial!Print_Area</vt:lpstr>
      <vt:lpstr>x</vt:lpstr>
      <vt:lpstr>y</vt:lpstr>
      <vt:lpstr>y_1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Gin</dc:creator>
  <cp:lastModifiedBy>Gin</cp:lastModifiedBy>
  <cp:lastPrinted>2019-05-29T17:23:57Z</cp:lastPrinted>
  <dcterms:created xsi:type="dcterms:W3CDTF">2018-05-28T19:36:39Z</dcterms:created>
  <dcterms:modified xsi:type="dcterms:W3CDTF">2019-11-29T22:52:06Z</dcterms:modified>
</cp:coreProperties>
</file>